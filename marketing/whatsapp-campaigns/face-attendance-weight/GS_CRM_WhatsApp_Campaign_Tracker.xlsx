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biz\gardensuite.in\marketing\whatsapp-campaigns\face-attendance-weight\"/>
    </mc:Choice>
  </mc:AlternateContent>
  <xr:revisionPtr revIDLastSave="0" documentId="13_ncr:1_{A2CAEB6A-649B-4D94-B39B-DC3E322B5D30}" xr6:coauthVersionLast="47" xr6:coauthVersionMax="47" xr10:uidLastSave="{00000000-0000-0000-0000-000000000000}"/>
  <bookViews>
    <workbookView xWindow="-105" yWindow="0" windowWidth="19410" windowHeight="20985" activeTab="2" xr2:uid="{00000000-000D-0000-FFFF-FFFF00000000}"/>
  </bookViews>
  <sheets>
    <sheet name="Dashboard" sheetId="1" r:id="rId1"/>
    <sheet name="Work Queue" sheetId="2" r:id="rId2"/>
    <sheet name="WhatsApp Tracker" sheetId="3" r:id="rId3"/>
    <sheet name="Campaign Setup" sheetId="4" r:id="rId4"/>
    <sheet name="Source CRM Export" sheetId="5" r:id="rId5"/>
  </sheets>
  <definedNames>
    <definedName name="_xlnm._FilterDatabase" localSheetId="4" hidden="1">'Source CRM Export'!$A$1:$J$39</definedName>
    <definedName name="_xlnm._FilterDatabase" localSheetId="2" hidden="1">'WhatsApp Tracker'!$A$1:$AR$523</definedName>
    <definedName name="_xlnm._FilterDatabase" localSheetId="1" hidden="1">'Work Queue'!$A$4:$O$526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99" i="3" l="1"/>
  <c r="AG499" i="3"/>
  <c r="AF499" i="3"/>
  <c r="AA499" i="3"/>
  <c r="AD499" i="3" s="1"/>
  <c r="X499" i="3"/>
  <c r="M499" i="3"/>
  <c r="K499" i="3"/>
  <c r="AI498" i="3"/>
  <c r="AG498" i="3"/>
  <c r="AF498" i="3"/>
  <c r="AA498" i="3"/>
  <c r="AD498" i="3" s="1"/>
  <c r="X498" i="3"/>
  <c r="M498" i="3"/>
  <c r="AE498" i="3" s="1"/>
  <c r="K498" i="3"/>
  <c r="AI497" i="3"/>
  <c r="AG497" i="3"/>
  <c r="AF497" i="3"/>
  <c r="AA497" i="3"/>
  <c r="X497" i="3"/>
  <c r="M497" i="3"/>
  <c r="K497" i="3"/>
  <c r="AI496" i="3"/>
  <c r="AG496" i="3"/>
  <c r="AF496" i="3"/>
  <c r="AA496" i="3"/>
  <c r="AD496" i="3" s="1"/>
  <c r="X496" i="3"/>
  <c r="AJ496" i="3" s="1"/>
  <c r="M496" i="3"/>
  <c r="AE496" i="3" s="1"/>
  <c r="K496" i="3"/>
  <c r="AI495" i="3"/>
  <c r="AG495" i="3"/>
  <c r="AF495" i="3"/>
  <c r="AA495" i="3"/>
  <c r="X495" i="3"/>
  <c r="M495" i="3"/>
  <c r="K495" i="3"/>
  <c r="AI494" i="3"/>
  <c r="AG494" i="3"/>
  <c r="AF494" i="3"/>
  <c r="AA494" i="3"/>
  <c r="X494" i="3"/>
  <c r="M494" i="3"/>
  <c r="K494" i="3"/>
  <c r="AI493" i="3"/>
  <c r="AG493" i="3"/>
  <c r="AF493" i="3"/>
  <c r="AA493" i="3"/>
  <c r="B496" i="2" s="1"/>
  <c r="X493" i="3"/>
  <c r="M493" i="3"/>
  <c r="C496" i="2" s="1"/>
  <c r="K493" i="3"/>
  <c r="AI492" i="3"/>
  <c r="AG492" i="3"/>
  <c r="AF492" i="3"/>
  <c r="AA492" i="3"/>
  <c r="AD492" i="3" s="1"/>
  <c r="X492" i="3"/>
  <c r="M492" i="3"/>
  <c r="AE492" i="3" s="1"/>
  <c r="K492" i="3"/>
  <c r="AI491" i="3"/>
  <c r="AG491" i="3"/>
  <c r="AF491" i="3"/>
  <c r="AA491" i="3"/>
  <c r="X491" i="3"/>
  <c r="AJ491" i="3" s="1"/>
  <c r="M491" i="3"/>
  <c r="K491" i="3"/>
  <c r="AI490" i="3"/>
  <c r="AG490" i="3"/>
  <c r="AF490" i="3"/>
  <c r="AA490" i="3"/>
  <c r="X490" i="3"/>
  <c r="M490" i="3"/>
  <c r="AE490" i="3" s="1"/>
  <c r="K490" i="3"/>
  <c r="AI489" i="3"/>
  <c r="AG489" i="3"/>
  <c r="AF489" i="3"/>
  <c r="AA489" i="3"/>
  <c r="AD489" i="3" s="1"/>
  <c r="X489" i="3"/>
  <c r="AJ489" i="3" s="1"/>
  <c r="M489" i="3"/>
  <c r="AE489" i="3" s="1"/>
  <c r="K489" i="3"/>
  <c r="AI488" i="3"/>
  <c r="AG488" i="3"/>
  <c r="AF488" i="3"/>
  <c r="AA488" i="3"/>
  <c r="X488" i="3"/>
  <c r="M488" i="3"/>
  <c r="K488" i="3"/>
  <c r="AI487" i="3"/>
  <c r="AG487" i="3"/>
  <c r="AF487" i="3"/>
  <c r="AA487" i="3"/>
  <c r="X487" i="3"/>
  <c r="M487" i="3"/>
  <c r="AE487" i="3" s="1"/>
  <c r="K487" i="3"/>
  <c r="AI486" i="3"/>
  <c r="AG486" i="3"/>
  <c r="AF486" i="3"/>
  <c r="AA486" i="3"/>
  <c r="X486" i="3"/>
  <c r="M486" i="3"/>
  <c r="AE486" i="3" s="1"/>
  <c r="K486" i="3"/>
  <c r="AI485" i="3"/>
  <c r="AG485" i="3"/>
  <c r="AF485" i="3"/>
  <c r="AA485" i="3"/>
  <c r="AD485" i="3" s="1"/>
  <c r="X485" i="3"/>
  <c r="AJ485" i="3" s="1"/>
  <c r="M485" i="3"/>
  <c r="C489" i="2" s="1"/>
  <c r="K485" i="3"/>
  <c r="AI484" i="3"/>
  <c r="AG484" i="3"/>
  <c r="AF484" i="3"/>
  <c r="AA484" i="3"/>
  <c r="AD484" i="3" s="1"/>
  <c r="X484" i="3"/>
  <c r="M484" i="3"/>
  <c r="AE484" i="3" s="1"/>
  <c r="K484" i="3"/>
  <c r="AI483" i="3"/>
  <c r="AG483" i="3"/>
  <c r="AF483" i="3"/>
  <c r="AA483" i="3"/>
  <c r="X483" i="3"/>
  <c r="M483" i="3"/>
  <c r="K483" i="3"/>
  <c r="AI482" i="3"/>
  <c r="AG482" i="3"/>
  <c r="AF482" i="3"/>
  <c r="AA482" i="3"/>
  <c r="AD482" i="3" s="1"/>
  <c r="X482" i="3"/>
  <c r="AJ482" i="3" s="1"/>
  <c r="M482" i="3"/>
  <c r="K482" i="3"/>
  <c r="AI481" i="3"/>
  <c r="AG481" i="3"/>
  <c r="AF481" i="3"/>
  <c r="AA481" i="3"/>
  <c r="X481" i="3"/>
  <c r="AJ481" i="3" s="1"/>
  <c r="M481" i="3"/>
  <c r="K481" i="3"/>
  <c r="AI480" i="3"/>
  <c r="AG480" i="3"/>
  <c r="AF480" i="3"/>
  <c r="AA480" i="3"/>
  <c r="X480" i="3"/>
  <c r="AJ480" i="3" s="1"/>
  <c r="M480" i="3"/>
  <c r="K480" i="3"/>
  <c r="AI479" i="3"/>
  <c r="AG479" i="3"/>
  <c r="AF479" i="3"/>
  <c r="AA479" i="3"/>
  <c r="AD479" i="3" s="1"/>
  <c r="X479" i="3"/>
  <c r="AJ479" i="3" s="1"/>
  <c r="M479" i="3"/>
  <c r="K479" i="3"/>
  <c r="AI478" i="3"/>
  <c r="AG478" i="3"/>
  <c r="AF478" i="3"/>
  <c r="AA478" i="3"/>
  <c r="AD478" i="3" s="1"/>
  <c r="X478" i="3"/>
  <c r="AJ478" i="3" s="1"/>
  <c r="M478" i="3"/>
  <c r="K478" i="3"/>
  <c r="AI477" i="3"/>
  <c r="AG477" i="3"/>
  <c r="AF477" i="3"/>
  <c r="AA477" i="3"/>
  <c r="AD477" i="3" s="1"/>
  <c r="X477" i="3"/>
  <c r="M477" i="3"/>
  <c r="AE477" i="3" s="1"/>
  <c r="K477" i="3"/>
  <c r="AI476" i="3"/>
  <c r="AG476" i="3"/>
  <c r="AF476" i="3"/>
  <c r="AA476" i="3"/>
  <c r="X476" i="3"/>
  <c r="M476" i="3"/>
  <c r="AE476" i="3" s="1"/>
  <c r="K476" i="3"/>
  <c r="AI475" i="3"/>
  <c r="AG475" i="3"/>
  <c r="AF475" i="3"/>
  <c r="AA475" i="3"/>
  <c r="X475" i="3"/>
  <c r="M475" i="3"/>
  <c r="AE475" i="3" s="1"/>
  <c r="K475" i="3"/>
  <c r="AI474" i="3"/>
  <c r="AG474" i="3"/>
  <c r="AF474" i="3"/>
  <c r="AA474" i="3"/>
  <c r="AD474" i="3" s="1"/>
  <c r="X474" i="3"/>
  <c r="AJ474" i="3" s="1"/>
  <c r="M474" i="3"/>
  <c r="K474" i="3"/>
  <c r="AI473" i="3"/>
  <c r="AG473" i="3"/>
  <c r="AF473" i="3"/>
  <c r="AA473" i="3"/>
  <c r="AD473" i="3" s="1"/>
  <c r="X473" i="3"/>
  <c r="M473" i="3"/>
  <c r="K473" i="3"/>
  <c r="AI472" i="3"/>
  <c r="AG472" i="3"/>
  <c r="AF472" i="3"/>
  <c r="AA472" i="3"/>
  <c r="AD472" i="3" s="1"/>
  <c r="X472" i="3"/>
  <c r="M472" i="3"/>
  <c r="K472" i="3"/>
  <c r="AI471" i="3"/>
  <c r="AG471" i="3"/>
  <c r="AF471" i="3"/>
  <c r="AA471" i="3"/>
  <c r="B475" i="2" s="1"/>
  <c r="X471" i="3"/>
  <c r="M471" i="3"/>
  <c r="C474" i="2" s="1"/>
  <c r="K471" i="3"/>
  <c r="AI470" i="3"/>
  <c r="AG470" i="3"/>
  <c r="AF470" i="3"/>
  <c r="AA470" i="3"/>
  <c r="AD470" i="3" s="1"/>
  <c r="X470" i="3"/>
  <c r="M470" i="3"/>
  <c r="K470" i="3"/>
  <c r="AI469" i="3"/>
  <c r="AG469" i="3"/>
  <c r="AF469" i="3"/>
  <c r="AA469" i="3"/>
  <c r="AD469" i="3" s="1"/>
  <c r="X469" i="3"/>
  <c r="AJ469" i="3" s="1"/>
  <c r="M469" i="3"/>
  <c r="K469" i="3"/>
  <c r="AI468" i="3"/>
  <c r="AG468" i="3"/>
  <c r="AF468" i="3"/>
  <c r="AA468" i="3"/>
  <c r="X468" i="3"/>
  <c r="M468" i="3"/>
  <c r="AE468" i="3" s="1"/>
  <c r="K468" i="3"/>
  <c r="AI467" i="3"/>
  <c r="AG467" i="3"/>
  <c r="AF467" i="3"/>
  <c r="AA467" i="3"/>
  <c r="X467" i="3"/>
  <c r="M467" i="3"/>
  <c r="K467" i="3"/>
  <c r="AI466" i="3"/>
  <c r="AG466" i="3"/>
  <c r="AF466" i="3"/>
  <c r="AA466" i="3"/>
  <c r="X466" i="3"/>
  <c r="M466" i="3"/>
  <c r="K466" i="3"/>
  <c r="AI465" i="3"/>
  <c r="AG465" i="3"/>
  <c r="AF465" i="3"/>
  <c r="AA465" i="3"/>
  <c r="X465" i="3"/>
  <c r="M465" i="3"/>
  <c r="AE465" i="3" s="1"/>
  <c r="K465" i="3"/>
  <c r="AI464" i="3"/>
  <c r="AG464" i="3"/>
  <c r="AF464" i="3"/>
  <c r="AA464" i="3"/>
  <c r="X464" i="3"/>
  <c r="M467" i="2" s="1"/>
  <c r="M464" i="3"/>
  <c r="C467" i="2" s="1"/>
  <c r="K464" i="3"/>
  <c r="AI463" i="3"/>
  <c r="AG463" i="3"/>
  <c r="AF463" i="3"/>
  <c r="AA463" i="3"/>
  <c r="AD463" i="3" s="1"/>
  <c r="X463" i="3"/>
  <c r="AJ463" i="3" s="1"/>
  <c r="M463" i="3"/>
  <c r="K463" i="3"/>
  <c r="AI462" i="3"/>
  <c r="AG462" i="3"/>
  <c r="AF462" i="3"/>
  <c r="AA462" i="3"/>
  <c r="AD462" i="3" s="1"/>
  <c r="X462" i="3"/>
  <c r="M462" i="3"/>
  <c r="AE462" i="3" s="1"/>
  <c r="K462" i="3"/>
  <c r="AI461" i="3"/>
  <c r="AG461" i="3"/>
  <c r="AF461" i="3"/>
  <c r="AA461" i="3"/>
  <c r="X461" i="3"/>
  <c r="M461" i="3"/>
  <c r="K461" i="3"/>
  <c r="AI460" i="3"/>
  <c r="AG460" i="3"/>
  <c r="AF460" i="3"/>
  <c r="AA460" i="3"/>
  <c r="AD460" i="3" s="1"/>
  <c r="X460" i="3"/>
  <c r="AJ460" i="3" s="1"/>
  <c r="M460" i="3"/>
  <c r="AE460" i="3" s="1"/>
  <c r="K460" i="3"/>
  <c r="AI459" i="3"/>
  <c r="AG459" i="3"/>
  <c r="AF459" i="3"/>
  <c r="AA459" i="3"/>
  <c r="X459" i="3"/>
  <c r="M462" i="2" s="1"/>
  <c r="M459" i="3"/>
  <c r="AE459" i="3" s="1"/>
  <c r="K459" i="3"/>
  <c r="AI458" i="3"/>
  <c r="AG458" i="3"/>
  <c r="AF458" i="3"/>
  <c r="AA458" i="3"/>
  <c r="AD458" i="3" s="1"/>
  <c r="X458" i="3"/>
  <c r="AJ458" i="3" s="1"/>
  <c r="M458" i="3"/>
  <c r="K458" i="3"/>
  <c r="AI457" i="3"/>
  <c r="AG457" i="3"/>
  <c r="AF457" i="3"/>
  <c r="AA457" i="3"/>
  <c r="AD457" i="3" s="1"/>
  <c r="X457" i="3"/>
  <c r="AJ457" i="3" s="1"/>
  <c r="M457" i="3"/>
  <c r="AE457" i="3" s="1"/>
  <c r="K457" i="3"/>
  <c r="AI456" i="3"/>
  <c r="AG456" i="3"/>
  <c r="AF456" i="3"/>
  <c r="AA456" i="3"/>
  <c r="X456" i="3"/>
  <c r="M456" i="3"/>
  <c r="C459" i="2" s="1"/>
  <c r="K456" i="3"/>
  <c r="AI455" i="3"/>
  <c r="AG455" i="3"/>
  <c r="AF455" i="3"/>
  <c r="AA455" i="3"/>
  <c r="X455" i="3"/>
  <c r="AJ455" i="3" s="1"/>
  <c r="M455" i="3"/>
  <c r="K455" i="3"/>
  <c r="AI454" i="3"/>
  <c r="AG454" i="3"/>
  <c r="AF454" i="3"/>
  <c r="AA454" i="3"/>
  <c r="X454" i="3"/>
  <c r="AJ454" i="3" s="1"/>
  <c r="M454" i="3"/>
  <c r="AE454" i="3" s="1"/>
  <c r="K454" i="3"/>
  <c r="AI453" i="3"/>
  <c r="AG453" i="3"/>
  <c r="AF453" i="3"/>
  <c r="AA453" i="3"/>
  <c r="X453" i="3"/>
  <c r="M453" i="3"/>
  <c r="AE453" i="3" s="1"/>
  <c r="K453" i="3"/>
  <c r="AI452" i="3"/>
  <c r="AG452" i="3"/>
  <c r="AF452" i="3"/>
  <c r="AA452" i="3"/>
  <c r="X452" i="3"/>
  <c r="AJ452" i="3" s="1"/>
  <c r="M452" i="3"/>
  <c r="K452" i="3"/>
  <c r="AI451" i="3"/>
  <c r="AG451" i="3"/>
  <c r="AF451" i="3"/>
  <c r="AA451" i="3"/>
  <c r="AD451" i="3" s="1"/>
  <c r="X451" i="3"/>
  <c r="AJ451" i="3" s="1"/>
  <c r="M451" i="3"/>
  <c r="AE451" i="3" s="1"/>
  <c r="K451" i="3"/>
  <c r="AI450" i="3"/>
  <c r="AG450" i="3"/>
  <c r="AF450" i="3"/>
  <c r="AA450" i="3"/>
  <c r="X450" i="3"/>
  <c r="AJ450" i="3" s="1"/>
  <c r="M450" i="3"/>
  <c r="K450" i="3"/>
  <c r="AI449" i="3"/>
  <c r="AG449" i="3"/>
  <c r="AF449" i="3"/>
  <c r="AA449" i="3"/>
  <c r="B452" i="2" s="1"/>
  <c r="X449" i="3"/>
  <c r="M449" i="3"/>
  <c r="AE449" i="3" s="1"/>
  <c r="K449" i="3"/>
  <c r="AI448" i="3"/>
  <c r="AG448" i="3"/>
  <c r="AF448" i="3"/>
  <c r="AA448" i="3"/>
  <c r="AD448" i="3" s="1"/>
  <c r="X448" i="3"/>
  <c r="AJ448" i="3" s="1"/>
  <c r="M448" i="3"/>
  <c r="AE448" i="3" s="1"/>
  <c r="K448" i="3"/>
  <c r="AI447" i="3"/>
  <c r="AG447" i="3"/>
  <c r="AF447" i="3"/>
  <c r="AA447" i="3"/>
  <c r="X447" i="3"/>
  <c r="AJ447" i="3" s="1"/>
  <c r="M447" i="3"/>
  <c r="AE447" i="3" s="1"/>
  <c r="K447" i="3"/>
  <c r="AI446" i="3"/>
  <c r="AG446" i="3"/>
  <c r="AF446" i="3"/>
  <c r="AA446" i="3"/>
  <c r="AD446" i="3" s="1"/>
  <c r="X446" i="3"/>
  <c r="M446" i="3"/>
  <c r="K446" i="3"/>
  <c r="AI445" i="3"/>
  <c r="AG445" i="3"/>
  <c r="AF445" i="3"/>
  <c r="AA445" i="3"/>
  <c r="X445" i="3"/>
  <c r="M445" i="3"/>
  <c r="K445" i="3"/>
  <c r="AI444" i="3"/>
  <c r="AG444" i="3"/>
  <c r="AF444" i="3"/>
  <c r="AA444" i="3"/>
  <c r="X444" i="3"/>
  <c r="M444" i="3"/>
  <c r="K444" i="3"/>
  <c r="AI443" i="3"/>
  <c r="AG443" i="3"/>
  <c r="AF443" i="3"/>
  <c r="AA443" i="3"/>
  <c r="AD443" i="3" s="1"/>
  <c r="X443" i="3"/>
  <c r="M443" i="3"/>
  <c r="K443" i="3"/>
  <c r="AI442" i="3"/>
  <c r="AG442" i="3"/>
  <c r="AF442" i="3"/>
  <c r="AA442" i="3"/>
  <c r="AD442" i="3" s="1"/>
  <c r="X442" i="3"/>
  <c r="AJ442" i="3" s="1"/>
  <c r="M442" i="3"/>
  <c r="AE442" i="3" s="1"/>
  <c r="K442" i="3"/>
  <c r="AI441" i="3"/>
  <c r="AG441" i="3"/>
  <c r="AF441" i="3"/>
  <c r="AA441" i="3"/>
  <c r="X441" i="3"/>
  <c r="M441" i="3"/>
  <c r="K441" i="3"/>
  <c r="AI440" i="3"/>
  <c r="AG440" i="3"/>
  <c r="AF440" i="3"/>
  <c r="AA440" i="3"/>
  <c r="X440" i="3"/>
  <c r="AJ440" i="3" s="1"/>
  <c r="M440" i="3"/>
  <c r="AE440" i="3" s="1"/>
  <c r="K440" i="3"/>
  <c r="AI439" i="3"/>
  <c r="AG439" i="3"/>
  <c r="AF439" i="3"/>
  <c r="AA439" i="3"/>
  <c r="X439" i="3"/>
  <c r="M439" i="3"/>
  <c r="AE439" i="3" s="1"/>
  <c r="K439" i="3"/>
  <c r="AI438" i="3"/>
  <c r="AG438" i="3"/>
  <c r="AF438" i="3"/>
  <c r="AA438" i="3"/>
  <c r="X438" i="3"/>
  <c r="AJ438" i="3" s="1"/>
  <c r="M438" i="3"/>
  <c r="K438" i="3"/>
  <c r="AI437" i="3"/>
  <c r="AG437" i="3"/>
  <c r="AF437" i="3"/>
  <c r="AA437" i="3"/>
  <c r="AD437" i="3" s="1"/>
  <c r="X437" i="3"/>
  <c r="M440" i="2" s="1"/>
  <c r="M437" i="3"/>
  <c r="AE437" i="3" s="1"/>
  <c r="K437" i="3"/>
  <c r="AI436" i="3"/>
  <c r="AG436" i="3"/>
  <c r="AF436" i="3"/>
  <c r="AA436" i="3"/>
  <c r="X436" i="3"/>
  <c r="M436" i="3"/>
  <c r="K436" i="3"/>
  <c r="AI435" i="3"/>
  <c r="AG435" i="3"/>
  <c r="AF435" i="3"/>
  <c r="AA435" i="3"/>
  <c r="AD435" i="3" s="1"/>
  <c r="X435" i="3"/>
  <c r="AJ435" i="3" s="1"/>
  <c r="M435" i="3"/>
  <c r="AE435" i="3" s="1"/>
  <c r="K435" i="3"/>
  <c r="AI434" i="3"/>
  <c r="AG434" i="3"/>
  <c r="AF434" i="3"/>
  <c r="AA434" i="3"/>
  <c r="AD434" i="3" s="1"/>
  <c r="X434" i="3"/>
  <c r="AJ434" i="3" s="1"/>
  <c r="M434" i="3"/>
  <c r="AE434" i="3" s="1"/>
  <c r="K434" i="3"/>
  <c r="AI433" i="3"/>
  <c r="AG433" i="3"/>
  <c r="AF433" i="3"/>
  <c r="AA433" i="3"/>
  <c r="AD433" i="3" s="1"/>
  <c r="X433" i="3"/>
  <c r="AJ433" i="3" s="1"/>
  <c r="M433" i="3"/>
  <c r="K433" i="3"/>
  <c r="AI432" i="3"/>
  <c r="AG432" i="3"/>
  <c r="AF432" i="3"/>
  <c r="AA432" i="3"/>
  <c r="AD432" i="3" s="1"/>
  <c r="X432" i="3"/>
  <c r="AJ432" i="3" s="1"/>
  <c r="M432" i="3"/>
  <c r="AE432" i="3" s="1"/>
  <c r="K432" i="3"/>
  <c r="AI431" i="3"/>
  <c r="AG431" i="3"/>
  <c r="AF431" i="3"/>
  <c r="AA431" i="3"/>
  <c r="X431" i="3"/>
  <c r="M431" i="3"/>
  <c r="AE431" i="3" s="1"/>
  <c r="K431" i="3"/>
  <c r="AI430" i="3"/>
  <c r="AG430" i="3"/>
  <c r="AF430" i="3"/>
  <c r="AA430" i="3"/>
  <c r="AD430" i="3" s="1"/>
  <c r="X430" i="3"/>
  <c r="M430" i="3"/>
  <c r="K430" i="3"/>
  <c r="AI429" i="3"/>
  <c r="AG429" i="3"/>
  <c r="AF429" i="3"/>
  <c r="AA429" i="3"/>
  <c r="AD429" i="3" s="1"/>
  <c r="X429" i="3"/>
  <c r="AJ429" i="3" s="1"/>
  <c r="M429" i="3"/>
  <c r="AE429" i="3" s="1"/>
  <c r="K429" i="3"/>
  <c r="AI428" i="3"/>
  <c r="AG428" i="3"/>
  <c r="AF428" i="3"/>
  <c r="AA428" i="3"/>
  <c r="X428" i="3"/>
  <c r="M428" i="3"/>
  <c r="AE428" i="3" s="1"/>
  <c r="K428" i="3"/>
  <c r="AI427" i="3"/>
  <c r="AG427" i="3"/>
  <c r="AF427" i="3"/>
  <c r="AA427" i="3"/>
  <c r="AD427" i="3" s="1"/>
  <c r="X427" i="3"/>
  <c r="AJ427" i="3" s="1"/>
  <c r="M427" i="3"/>
  <c r="C430" i="2" s="1"/>
  <c r="K427" i="3"/>
  <c r="AI426" i="3"/>
  <c r="AG426" i="3"/>
  <c r="AF426" i="3"/>
  <c r="AA426" i="3"/>
  <c r="X426" i="3"/>
  <c r="M426" i="3"/>
  <c r="AE426" i="3" s="1"/>
  <c r="K426" i="3"/>
  <c r="AI425" i="3"/>
  <c r="AG425" i="3"/>
  <c r="AF425" i="3"/>
  <c r="AA425" i="3"/>
  <c r="AD425" i="3" s="1"/>
  <c r="X425" i="3"/>
  <c r="AJ425" i="3" s="1"/>
  <c r="M425" i="3"/>
  <c r="K425" i="3"/>
  <c r="AI424" i="3"/>
  <c r="AG424" i="3"/>
  <c r="AF424" i="3"/>
  <c r="AA424" i="3"/>
  <c r="AD424" i="3" s="1"/>
  <c r="X424" i="3"/>
  <c r="AJ424" i="3" s="1"/>
  <c r="M424" i="3"/>
  <c r="AE424" i="3" s="1"/>
  <c r="K424" i="3"/>
  <c r="AI423" i="3"/>
  <c r="AG423" i="3"/>
  <c r="AF423" i="3"/>
  <c r="AA423" i="3"/>
  <c r="AD423" i="3" s="1"/>
  <c r="X423" i="3"/>
  <c r="AJ423" i="3" s="1"/>
  <c r="M423" i="3"/>
  <c r="C437" i="2" s="1"/>
  <c r="K423" i="3"/>
  <c r="AI422" i="3"/>
  <c r="AG422" i="3"/>
  <c r="AF422" i="3"/>
  <c r="AA422" i="3"/>
  <c r="X422" i="3"/>
  <c r="M422" i="3"/>
  <c r="AE422" i="3" s="1"/>
  <c r="K422" i="3"/>
  <c r="AI421" i="3"/>
  <c r="AG421" i="3"/>
  <c r="AF421" i="3"/>
  <c r="AA421" i="3"/>
  <c r="B435" i="2" s="1"/>
  <c r="X421" i="3"/>
  <c r="M421" i="3"/>
  <c r="K421" i="3"/>
  <c r="AI420" i="3"/>
  <c r="AG420" i="3"/>
  <c r="AF420" i="3"/>
  <c r="AA420" i="3"/>
  <c r="AD420" i="3" s="1"/>
  <c r="X420" i="3"/>
  <c r="M423" i="2" s="1"/>
  <c r="M420" i="3"/>
  <c r="AE420" i="3" s="1"/>
  <c r="K420" i="3"/>
  <c r="AI419" i="3"/>
  <c r="AG419" i="3"/>
  <c r="AF419" i="3"/>
  <c r="AA419" i="3"/>
  <c r="X419" i="3"/>
  <c r="M419" i="3"/>
  <c r="K419" i="3"/>
  <c r="AI418" i="3"/>
  <c r="AG418" i="3"/>
  <c r="AF418" i="3"/>
  <c r="AA418" i="3"/>
  <c r="AD418" i="3" s="1"/>
  <c r="X418" i="3"/>
  <c r="M418" i="3"/>
  <c r="K418" i="3"/>
  <c r="AI417" i="3"/>
  <c r="AG417" i="3"/>
  <c r="AF417" i="3"/>
  <c r="AA417" i="3"/>
  <c r="AD417" i="3" s="1"/>
  <c r="X417" i="3"/>
  <c r="M420" i="2" s="1"/>
  <c r="M417" i="3"/>
  <c r="AE417" i="3" s="1"/>
  <c r="K417" i="3"/>
  <c r="AI416" i="3"/>
  <c r="AG416" i="3"/>
  <c r="AF416" i="3"/>
  <c r="AA416" i="3"/>
  <c r="X416" i="3"/>
  <c r="AJ416" i="3" s="1"/>
  <c r="M416" i="3"/>
  <c r="AE416" i="3" s="1"/>
  <c r="K416" i="3"/>
  <c r="AI415" i="3"/>
  <c r="AG415" i="3"/>
  <c r="AF415" i="3"/>
  <c r="AA415" i="3"/>
  <c r="AD415" i="3" s="1"/>
  <c r="X415" i="3"/>
  <c r="AJ415" i="3" s="1"/>
  <c r="M415" i="3"/>
  <c r="AE415" i="3" s="1"/>
  <c r="K415" i="3"/>
  <c r="AI414" i="3"/>
  <c r="AG414" i="3"/>
  <c r="AF414" i="3"/>
  <c r="AA414" i="3"/>
  <c r="X414" i="3"/>
  <c r="M414" i="3"/>
  <c r="K414" i="3"/>
  <c r="AI413" i="3"/>
  <c r="AG413" i="3"/>
  <c r="AF413" i="3"/>
  <c r="AA413" i="3"/>
  <c r="X413" i="3"/>
  <c r="AJ413" i="3" s="1"/>
  <c r="M413" i="3"/>
  <c r="AE413" i="3" s="1"/>
  <c r="K413" i="3"/>
  <c r="AI412" i="3"/>
  <c r="AG412" i="3"/>
  <c r="AF412" i="3"/>
  <c r="AA412" i="3"/>
  <c r="AD412" i="3" s="1"/>
  <c r="X412" i="3"/>
  <c r="M412" i="3"/>
  <c r="K412" i="3"/>
  <c r="AI411" i="3"/>
  <c r="AG411" i="3"/>
  <c r="AF411" i="3"/>
  <c r="AA411" i="3"/>
  <c r="AD411" i="3" s="1"/>
  <c r="X411" i="3"/>
  <c r="AJ411" i="3" s="1"/>
  <c r="M411" i="3"/>
  <c r="K411" i="3"/>
  <c r="AI410" i="3"/>
  <c r="AG410" i="3"/>
  <c r="AF410" i="3"/>
  <c r="AA410" i="3"/>
  <c r="AD410" i="3" s="1"/>
  <c r="X410" i="3"/>
  <c r="AJ410" i="3" s="1"/>
  <c r="M410" i="3"/>
  <c r="AE410" i="3" s="1"/>
  <c r="K410" i="3"/>
  <c r="AI409" i="3"/>
  <c r="AG409" i="3"/>
  <c r="AF409" i="3"/>
  <c r="AA409" i="3"/>
  <c r="X409" i="3"/>
  <c r="AJ409" i="3" s="1"/>
  <c r="M409" i="3"/>
  <c r="AE409" i="3" s="1"/>
  <c r="K409" i="3"/>
  <c r="AI408" i="3"/>
  <c r="AG408" i="3"/>
  <c r="AF408" i="3"/>
  <c r="AA408" i="3"/>
  <c r="AD408" i="3" s="1"/>
  <c r="X408" i="3"/>
  <c r="AJ408" i="3" s="1"/>
  <c r="M408" i="3"/>
  <c r="K408" i="3"/>
  <c r="AI407" i="3"/>
  <c r="AG407" i="3"/>
  <c r="AF407" i="3"/>
  <c r="AA407" i="3"/>
  <c r="X407" i="3"/>
  <c r="AJ407" i="3" s="1"/>
  <c r="M407" i="3"/>
  <c r="K407" i="3"/>
  <c r="AI406" i="3"/>
  <c r="AG406" i="3"/>
  <c r="AF406" i="3"/>
  <c r="AA406" i="3"/>
  <c r="AD406" i="3" s="1"/>
  <c r="X406" i="3"/>
  <c r="M406" i="3"/>
  <c r="AE406" i="3" s="1"/>
  <c r="K406" i="3"/>
  <c r="AI405" i="3"/>
  <c r="AG405" i="3"/>
  <c r="AF405" i="3"/>
  <c r="AA405" i="3"/>
  <c r="AD405" i="3" s="1"/>
  <c r="X405" i="3"/>
  <c r="AJ405" i="3" s="1"/>
  <c r="M405" i="3"/>
  <c r="K405" i="3"/>
  <c r="AI404" i="3"/>
  <c r="AG404" i="3"/>
  <c r="AF404" i="3"/>
  <c r="AA404" i="3"/>
  <c r="AD404" i="3" s="1"/>
  <c r="X404" i="3"/>
  <c r="M404" i="3"/>
  <c r="AE404" i="3" s="1"/>
  <c r="K404" i="3"/>
  <c r="AI403" i="3"/>
  <c r="AG403" i="3"/>
  <c r="AF403" i="3"/>
  <c r="AA403" i="3"/>
  <c r="AD403" i="3" s="1"/>
  <c r="X403" i="3"/>
  <c r="AJ403" i="3" s="1"/>
  <c r="M403" i="3"/>
  <c r="AE403" i="3" s="1"/>
  <c r="K403" i="3"/>
  <c r="AI402" i="3"/>
  <c r="AG402" i="3"/>
  <c r="AF402" i="3"/>
  <c r="AA402" i="3"/>
  <c r="X402" i="3"/>
  <c r="M402" i="3"/>
  <c r="K402" i="3"/>
  <c r="AI401" i="3"/>
  <c r="AG401" i="3"/>
  <c r="AF401" i="3"/>
  <c r="AA401" i="3"/>
  <c r="X401" i="3"/>
  <c r="AJ401" i="3" s="1"/>
  <c r="M401" i="3"/>
  <c r="AE401" i="3" s="1"/>
  <c r="K401" i="3"/>
  <c r="AI400" i="3"/>
  <c r="AG400" i="3"/>
  <c r="AF400" i="3"/>
  <c r="AA400" i="3"/>
  <c r="AD400" i="3" s="1"/>
  <c r="X400" i="3"/>
  <c r="M400" i="3"/>
  <c r="AE400" i="3" s="1"/>
  <c r="K400" i="3"/>
  <c r="AI399" i="3"/>
  <c r="AG399" i="3"/>
  <c r="AF399" i="3"/>
  <c r="AA399" i="3"/>
  <c r="AD399" i="3" s="1"/>
  <c r="X399" i="3"/>
  <c r="AJ399" i="3" s="1"/>
  <c r="M399" i="3"/>
  <c r="K399" i="3"/>
  <c r="AI398" i="3"/>
  <c r="AG398" i="3"/>
  <c r="AF398" i="3"/>
  <c r="AA398" i="3"/>
  <c r="X398" i="3"/>
  <c r="M398" i="3"/>
  <c r="C401" i="2" s="1"/>
  <c r="K398" i="3"/>
  <c r="AI397" i="3"/>
  <c r="AG397" i="3"/>
  <c r="AF397" i="3"/>
  <c r="AA397" i="3"/>
  <c r="AD397" i="3" s="1"/>
  <c r="X397" i="3"/>
  <c r="AJ397" i="3" s="1"/>
  <c r="M397" i="3"/>
  <c r="AE397" i="3" s="1"/>
  <c r="K397" i="3"/>
  <c r="AI396" i="3"/>
  <c r="AG396" i="3"/>
  <c r="AF396" i="3"/>
  <c r="AA396" i="3"/>
  <c r="AD396" i="3" s="1"/>
  <c r="X396" i="3"/>
  <c r="M396" i="3"/>
  <c r="AE396" i="3" s="1"/>
  <c r="K396" i="3"/>
  <c r="AI395" i="3"/>
  <c r="AG395" i="3"/>
  <c r="AF395" i="3"/>
  <c r="AA395" i="3"/>
  <c r="AD395" i="3" s="1"/>
  <c r="X395" i="3"/>
  <c r="M395" i="3"/>
  <c r="K395" i="3"/>
  <c r="AI394" i="3"/>
  <c r="AG394" i="3"/>
  <c r="AF394" i="3"/>
  <c r="AA394" i="3"/>
  <c r="AD394" i="3" s="1"/>
  <c r="X394" i="3"/>
  <c r="AJ394" i="3" s="1"/>
  <c r="M394" i="3"/>
  <c r="K394" i="3"/>
  <c r="AI393" i="3"/>
  <c r="AG393" i="3"/>
  <c r="AF393" i="3"/>
  <c r="AA393" i="3"/>
  <c r="AD393" i="3" s="1"/>
  <c r="X393" i="3"/>
  <c r="M393" i="3"/>
  <c r="K393" i="3"/>
  <c r="AI392" i="3"/>
  <c r="AG392" i="3"/>
  <c r="AF392" i="3"/>
  <c r="AA392" i="3"/>
  <c r="X392" i="3"/>
  <c r="M392" i="3"/>
  <c r="K392" i="3"/>
  <c r="AI391" i="3"/>
  <c r="AG391" i="3"/>
  <c r="AF391" i="3"/>
  <c r="AA391" i="3"/>
  <c r="X391" i="3"/>
  <c r="M391" i="3"/>
  <c r="K391" i="3"/>
  <c r="AI390" i="3"/>
  <c r="AG390" i="3"/>
  <c r="AF390" i="3"/>
  <c r="AA390" i="3"/>
  <c r="X390" i="3"/>
  <c r="AJ390" i="3" s="1"/>
  <c r="M390" i="3"/>
  <c r="K390" i="3"/>
  <c r="AI389" i="3"/>
  <c r="AG389" i="3"/>
  <c r="AF389" i="3"/>
  <c r="AA389" i="3"/>
  <c r="X389" i="3"/>
  <c r="AJ389" i="3" s="1"/>
  <c r="M389" i="3"/>
  <c r="AE389" i="3" s="1"/>
  <c r="K389" i="3"/>
  <c r="AI388" i="3"/>
  <c r="AG388" i="3"/>
  <c r="AF388" i="3"/>
  <c r="AA388" i="3"/>
  <c r="AD388" i="3" s="1"/>
  <c r="X388" i="3"/>
  <c r="M388" i="3"/>
  <c r="K388" i="3"/>
  <c r="AI387" i="3"/>
  <c r="AG387" i="3"/>
  <c r="AF387" i="3"/>
  <c r="AA387" i="3"/>
  <c r="X387" i="3"/>
  <c r="M387" i="3"/>
  <c r="K387" i="3"/>
  <c r="AI386" i="3"/>
  <c r="AG386" i="3"/>
  <c r="AF386" i="3"/>
  <c r="AA386" i="3"/>
  <c r="X386" i="3"/>
  <c r="M386" i="3"/>
  <c r="C389" i="2" s="1"/>
  <c r="K386" i="3"/>
  <c r="AI385" i="3"/>
  <c r="AG385" i="3"/>
  <c r="AF385" i="3"/>
  <c r="AA385" i="3"/>
  <c r="X385" i="3"/>
  <c r="M385" i="3"/>
  <c r="AE385" i="3" s="1"/>
  <c r="K385" i="3"/>
  <c r="AI384" i="3"/>
  <c r="AG384" i="3"/>
  <c r="AF384" i="3"/>
  <c r="AA384" i="3"/>
  <c r="B387" i="2" s="1"/>
  <c r="X384" i="3"/>
  <c r="AJ384" i="3" s="1"/>
  <c r="M384" i="3"/>
  <c r="AE384" i="3" s="1"/>
  <c r="K384" i="3"/>
  <c r="AI383" i="3"/>
  <c r="AG383" i="3"/>
  <c r="AF383" i="3"/>
  <c r="AA383" i="3"/>
  <c r="X383" i="3"/>
  <c r="M383" i="3"/>
  <c r="K383" i="3"/>
  <c r="AI382" i="3"/>
  <c r="AG382" i="3"/>
  <c r="AF382" i="3"/>
  <c r="AA382" i="3"/>
  <c r="X382" i="3"/>
  <c r="AJ382" i="3" s="1"/>
  <c r="M382" i="3"/>
  <c r="AE382" i="3" s="1"/>
  <c r="K382" i="3"/>
  <c r="AI381" i="3"/>
  <c r="AG381" i="3"/>
  <c r="AF381" i="3"/>
  <c r="AA381" i="3"/>
  <c r="X381" i="3"/>
  <c r="M381" i="3"/>
  <c r="K381" i="3"/>
  <c r="AI380" i="3"/>
  <c r="AG380" i="3"/>
  <c r="AF380" i="3"/>
  <c r="AA380" i="3"/>
  <c r="AD380" i="3" s="1"/>
  <c r="X380" i="3"/>
  <c r="AJ380" i="3" s="1"/>
  <c r="M380" i="3"/>
  <c r="K380" i="3"/>
  <c r="AI379" i="3"/>
  <c r="AG379" i="3"/>
  <c r="AF379" i="3"/>
  <c r="AA379" i="3"/>
  <c r="X379" i="3"/>
  <c r="AJ379" i="3" s="1"/>
  <c r="M379" i="3"/>
  <c r="AE379" i="3" s="1"/>
  <c r="K379" i="3"/>
  <c r="AI378" i="3"/>
  <c r="AG378" i="3"/>
  <c r="AF378" i="3"/>
  <c r="AA378" i="3"/>
  <c r="AD378" i="3" s="1"/>
  <c r="X378" i="3"/>
  <c r="M378" i="3"/>
  <c r="K378" i="3"/>
  <c r="AI377" i="3"/>
  <c r="AG377" i="3"/>
  <c r="AF377" i="3"/>
  <c r="AA377" i="3"/>
  <c r="X377" i="3"/>
  <c r="M377" i="3"/>
  <c r="AE377" i="3" s="1"/>
  <c r="K377" i="3"/>
  <c r="AI376" i="3"/>
  <c r="AG376" i="3"/>
  <c r="AF376" i="3"/>
  <c r="AA376" i="3"/>
  <c r="X376" i="3"/>
  <c r="AJ376" i="3" s="1"/>
  <c r="M376" i="3"/>
  <c r="AE376" i="3" s="1"/>
  <c r="K376" i="3"/>
  <c r="AI375" i="3"/>
  <c r="AG375" i="3"/>
  <c r="AF375" i="3"/>
  <c r="AA375" i="3"/>
  <c r="AD375" i="3" s="1"/>
  <c r="X375" i="3"/>
  <c r="AJ375" i="3" s="1"/>
  <c r="M375" i="3"/>
  <c r="K375" i="3"/>
  <c r="AI374" i="3"/>
  <c r="AG374" i="3"/>
  <c r="AF374" i="3"/>
  <c r="AA374" i="3"/>
  <c r="X374" i="3"/>
  <c r="AJ374" i="3" s="1"/>
  <c r="M374" i="3"/>
  <c r="AE374" i="3" s="1"/>
  <c r="K374" i="3"/>
  <c r="AI373" i="3"/>
  <c r="AG373" i="3"/>
  <c r="AF373" i="3"/>
  <c r="AA373" i="3"/>
  <c r="AD373" i="3" s="1"/>
  <c r="X373" i="3"/>
  <c r="AJ373" i="3" s="1"/>
  <c r="M373" i="3"/>
  <c r="AE373" i="3" s="1"/>
  <c r="K373" i="3"/>
  <c r="AI372" i="3"/>
  <c r="AG372" i="3"/>
  <c r="AF372" i="3"/>
  <c r="AA372" i="3"/>
  <c r="X372" i="3"/>
  <c r="M372" i="3"/>
  <c r="AE372" i="3" s="1"/>
  <c r="K372" i="3"/>
  <c r="AI371" i="3"/>
  <c r="AG371" i="3"/>
  <c r="AF371" i="3"/>
  <c r="AA371" i="3"/>
  <c r="X371" i="3"/>
  <c r="AJ371" i="3" s="1"/>
  <c r="M371" i="3"/>
  <c r="AE371" i="3" s="1"/>
  <c r="K371" i="3"/>
  <c r="AI370" i="3"/>
  <c r="AG370" i="3"/>
  <c r="AF370" i="3"/>
  <c r="AA370" i="3"/>
  <c r="B373" i="2" s="1"/>
  <c r="X370" i="3"/>
  <c r="M370" i="3"/>
  <c r="AE370" i="3" s="1"/>
  <c r="K370" i="3"/>
  <c r="AI369" i="3"/>
  <c r="AG369" i="3"/>
  <c r="AF369" i="3"/>
  <c r="AA369" i="3"/>
  <c r="X369" i="3"/>
  <c r="M369" i="3"/>
  <c r="K369" i="3"/>
  <c r="AI368" i="3"/>
  <c r="AG368" i="3"/>
  <c r="AF368" i="3"/>
  <c r="AA368" i="3"/>
  <c r="X368" i="3"/>
  <c r="M368" i="3"/>
  <c r="AE368" i="3" s="1"/>
  <c r="K368" i="3"/>
  <c r="AI367" i="3"/>
  <c r="AG367" i="3"/>
  <c r="AF367" i="3"/>
  <c r="AA367" i="3"/>
  <c r="AD367" i="3" s="1"/>
  <c r="X367" i="3"/>
  <c r="AJ367" i="3" s="1"/>
  <c r="M367" i="3"/>
  <c r="K367" i="3"/>
  <c r="AI366" i="3"/>
  <c r="AG366" i="3"/>
  <c r="AF366" i="3"/>
  <c r="AA366" i="3"/>
  <c r="X366" i="3"/>
  <c r="M366" i="3"/>
  <c r="K366" i="3"/>
  <c r="AI365" i="3"/>
  <c r="AG365" i="3"/>
  <c r="AF365" i="3"/>
  <c r="AA365" i="3"/>
  <c r="X365" i="3"/>
  <c r="AJ365" i="3" s="1"/>
  <c r="M365" i="3"/>
  <c r="AE365" i="3" s="1"/>
  <c r="K365" i="3"/>
  <c r="AI364" i="3"/>
  <c r="AG364" i="3"/>
  <c r="AF364" i="3"/>
  <c r="AA364" i="3"/>
  <c r="X364" i="3"/>
  <c r="M364" i="3"/>
  <c r="K364" i="3"/>
  <c r="AI363" i="3"/>
  <c r="AG363" i="3"/>
  <c r="AF363" i="3"/>
  <c r="AA363" i="3"/>
  <c r="AD363" i="3" s="1"/>
  <c r="X363" i="3"/>
  <c r="AJ363" i="3" s="1"/>
  <c r="M363" i="3"/>
  <c r="K363" i="3"/>
  <c r="AI362" i="3"/>
  <c r="AG362" i="3"/>
  <c r="AF362" i="3"/>
  <c r="AA362" i="3"/>
  <c r="AD362" i="3" s="1"/>
  <c r="X362" i="3"/>
  <c r="AJ362" i="3" s="1"/>
  <c r="M362" i="3"/>
  <c r="AE362" i="3" s="1"/>
  <c r="K362" i="3"/>
  <c r="AI361" i="3"/>
  <c r="AG361" i="3"/>
  <c r="AF361" i="3"/>
  <c r="AA361" i="3"/>
  <c r="X361" i="3"/>
  <c r="M361" i="3"/>
  <c r="K361" i="3"/>
  <c r="AI360" i="3"/>
  <c r="AG360" i="3"/>
  <c r="AF360" i="3"/>
  <c r="AA360" i="3"/>
  <c r="AD360" i="3" s="1"/>
  <c r="X360" i="3"/>
  <c r="AJ360" i="3" s="1"/>
  <c r="M360" i="3"/>
  <c r="K360" i="3"/>
  <c r="AI359" i="3"/>
  <c r="AG359" i="3"/>
  <c r="AF359" i="3"/>
  <c r="AA359" i="3"/>
  <c r="AD359" i="3" s="1"/>
  <c r="X359" i="3"/>
  <c r="AJ359" i="3" s="1"/>
  <c r="M359" i="3"/>
  <c r="AE359" i="3" s="1"/>
  <c r="K359" i="3"/>
  <c r="AI358" i="3"/>
  <c r="AG358" i="3"/>
  <c r="AF358" i="3"/>
  <c r="AA358" i="3"/>
  <c r="X358" i="3"/>
  <c r="AJ358" i="3" s="1"/>
  <c r="M358" i="3"/>
  <c r="K358" i="3"/>
  <c r="AI357" i="3"/>
  <c r="AG357" i="3"/>
  <c r="AF357" i="3"/>
  <c r="AA357" i="3"/>
  <c r="AD357" i="3" s="1"/>
  <c r="X357" i="3"/>
  <c r="M357" i="3"/>
  <c r="AE357" i="3" s="1"/>
  <c r="K357" i="3"/>
  <c r="AI356" i="3"/>
  <c r="AG356" i="3"/>
  <c r="AF356" i="3"/>
  <c r="AA356" i="3"/>
  <c r="AD356" i="3" s="1"/>
  <c r="X356" i="3"/>
  <c r="M356" i="3"/>
  <c r="AE356" i="3" s="1"/>
  <c r="K356" i="3"/>
  <c r="AI355" i="3"/>
  <c r="AG355" i="3"/>
  <c r="AF355" i="3"/>
  <c r="AA355" i="3"/>
  <c r="X355" i="3"/>
  <c r="AJ355" i="3" s="1"/>
  <c r="M355" i="3"/>
  <c r="K355" i="3"/>
  <c r="AI354" i="3"/>
  <c r="AG354" i="3"/>
  <c r="AF354" i="3"/>
  <c r="AA354" i="3"/>
  <c r="X354" i="3"/>
  <c r="M354" i="3"/>
  <c r="K354" i="3"/>
  <c r="AI353" i="3"/>
  <c r="AG353" i="3"/>
  <c r="AF353" i="3"/>
  <c r="AA353" i="3"/>
  <c r="AD353" i="3" s="1"/>
  <c r="X353" i="3"/>
  <c r="M353" i="3"/>
  <c r="AE353" i="3" s="1"/>
  <c r="K353" i="3"/>
  <c r="AI352" i="3"/>
  <c r="AG352" i="3"/>
  <c r="AF352" i="3"/>
  <c r="AA352" i="3"/>
  <c r="AD352" i="3" s="1"/>
  <c r="X352" i="3"/>
  <c r="AJ352" i="3" s="1"/>
  <c r="M352" i="3"/>
  <c r="AE352" i="3" s="1"/>
  <c r="K352" i="3"/>
  <c r="AI351" i="3"/>
  <c r="AG351" i="3"/>
  <c r="AF351" i="3"/>
  <c r="AA351" i="3"/>
  <c r="X351" i="3"/>
  <c r="M351" i="3"/>
  <c r="K351" i="3"/>
  <c r="AI350" i="3"/>
  <c r="AG350" i="3"/>
  <c r="AF350" i="3"/>
  <c r="AA350" i="3"/>
  <c r="AD350" i="3" s="1"/>
  <c r="X350" i="3"/>
  <c r="AJ350" i="3" s="1"/>
  <c r="M350" i="3"/>
  <c r="K350" i="3"/>
  <c r="AI349" i="3"/>
  <c r="AG349" i="3"/>
  <c r="AF349" i="3"/>
  <c r="AA349" i="3"/>
  <c r="X349" i="3"/>
  <c r="M349" i="3"/>
  <c r="AE349" i="3" s="1"/>
  <c r="K349" i="3"/>
  <c r="AI348" i="3"/>
  <c r="AG348" i="3"/>
  <c r="AF348" i="3"/>
  <c r="AA348" i="3"/>
  <c r="X348" i="3"/>
  <c r="M348" i="3"/>
  <c r="K348" i="3"/>
  <c r="AI347" i="3"/>
  <c r="AG347" i="3"/>
  <c r="AF347" i="3"/>
  <c r="AA347" i="3"/>
  <c r="X347" i="3"/>
  <c r="M347" i="3"/>
  <c r="K347" i="3"/>
  <c r="AI346" i="3"/>
  <c r="AG346" i="3"/>
  <c r="AF346" i="3"/>
  <c r="AA346" i="3"/>
  <c r="AD346" i="3" s="1"/>
  <c r="X346" i="3"/>
  <c r="M346" i="3"/>
  <c r="AE346" i="3" s="1"/>
  <c r="K346" i="3"/>
  <c r="AI345" i="3"/>
  <c r="AG345" i="3"/>
  <c r="AF345" i="3"/>
  <c r="AA345" i="3"/>
  <c r="AD345" i="3" s="1"/>
  <c r="X345" i="3"/>
  <c r="AJ345" i="3" s="1"/>
  <c r="M345" i="3"/>
  <c r="K345" i="3"/>
  <c r="AI344" i="3"/>
  <c r="AG344" i="3"/>
  <c r="AF344" i="3"/>
  <c r="AA344" i="3"/>
  <c r="X344" i="3"/>
  <c r="AJ344" i="3" s="1"/>
  <c r="M344" i="3"/>
  <c r="AE344" i="3" s="1"/>
  <c r="K344" i="3"/>
  <c r="AI343" i="3"/>
  <c r="AG343" i="3"/>
  <c r="AF343" i="3"/>
  <c r="AA343" i="3"/>
  <c r="AD343" i="3" s="1"/>
  <c r="X343" i="3"/>
  <c r="AJ343" i="3" s="1"/>
  <c r="M343" i="3"/>
  <c r="AE343" i="3" s="1"/>
  <c r="K343" i="3"/>
  <c r="AI342" i="3"/>
  <c r="AG342" i="3"/>
  <c r="AF342" i="3"/>
  <c r="AA342" i="3"/>
  <c r="AD342" i="3" s="1"/>
  <c r="X342" i="3"/>
  <c r="AJ342" i="3" s="1"/>
  <c r="M342" i="3"/>
  <c r="AE342" i="3" s="1"/>
  <c r="K342" i="3"/>
  <c r="AI341" i="3"/>
  <c r="AG341" i="3"/>
  <c r="AF341" i="3"/>
  <c r="AA341" i="3"/>
  <c r="X341" i="3"/>
  <c r="M341" i="3"/>
  <c r="K341" i="3"/>
  <c r="AI340" i="3"/>
  <c r="AG340" i="3"/>
  <c r="AF340" i="3"/>
  <c r="AA340" i="3"/>
  <c r="AD340" i="3" s="1"/>
  <c r="X340" i="3"/>
  <c r="AJ340" i="3" s="1"/>
  <c r="M340" i="3"/>
  <c r="AE340" i="3" s="1"/>
  <c r="K340" i="3"/>
  <c r="AI339" i="3"/>
  <c r="AG339" i="3"/>
  <c r="AF339" i="3"/>
  <c r="AA339" i="3"/>
  <c r="X339" i="3"/>
  <c r="M339" i="3"/>
  <c r="K339" i="3"/>
  <c r="AI338" i="3"/>
  <c r="AG338" i="3"/>
  <c r="AF338" i="3"/>
  <c r="AA338" i="3"/>
  <c r="X338" i="3"/>
  <c r="M338" i="3"/>
  <c r="K338" i="3"/>
  <c r="AI337" i="3"/>
  <c r="AG337" i="3"/>
  <c r="AF337" i="3"/>
  <c r="AA337" i="3"/>
  <c r="AD337" i="3" s="1"/>
  <c r="X337" i="3"/>
  <c r="AJ337" i="3" s="1"/>
  <c r="M337" i="3"/>
  <c r="AE337" i="3" s="1"/>
  <c r="K337" i="3"/>
  <c r="AI336" i="3"/>
  <c r="AG336" i="3"/>
  <c r="AF336" i="3"/>
  <c r="AA336" i="3"/>
  <c r="X336" i="3"/>
  <c r="M336" i="3"/>
  <c r="AE336" i="3" s="1"/>
  <c r="K336" i="3"/>
  <c r="AI335" i="3"/>
  <c r="AG335" i="3"/>
  <c r="AF335" i="3"/>
  <c r="AA335" i="3"/>
  <c r="AD335" i="3" s="1"/>
  <c r="X335" i="3"/>
  <c r="M335" i="3"/>
  <c r="K335" i="3"/>
  <c r="AI334" i="3"/>
  <c r="AG334" i="3"/>
  <c r="AF334" i="3"/>
  <c r="AA334" i="3"/>
  <c r="X334" i="3"/>
  <c r="AJ334" i="3" s="1"/>
  <c r="M334" i="3"/>
  <c r="K334" i="3"/>
  <c r="AI333" i="3"/>
  <c r="AG333" i="3"/>
  <c r="AF333" i="3"/>
  <c r="AA333" i="3"/>
  <c r="X333" i="3"/>
  <c r="M333" i="3"/>
  <c r="K333" i="3"/>
  <c r="AI332" i="3"/>
  <c r="AG332" i="3"/>
  <c r="AF332" i="3"/>
  <c r="AA332" i="3"/>
  <c r="AD332" i="3" s="1"/>
  <c r="X332" i="3"/>
  <c r="AJ332" i="3" s="1"/>
  <c r="M332" i="3"/>
  <c r="AE332" i="3" s="1"/>
  <c r="K332" i="3"/>
  <c r="AI331" i="3"/>
  <c r="AG331" i="3"/>
  <c r="AF331" i="3"/>
  <c r="AA331" i="3"/>
  <c r="AD331" i="3" s="1"/>
  <c r="X331" i="3"/>
  <c r="AJ331" i="3" s="1"/>
  <c r="M331" i="3"/>
  <c r="AE331" i="3" s="1"/>
  <c r="K331" i="3"/>
  <c r="AI330" i="3"/>
  <c r="AG330" i="3"/>
  <c r="AF330" i="3"/>
  <c r="AA330" i="3"/>
  <c r="AD330" i="3" s="1"/>
  <c r="X330" i="3"/>
  <c r="AJ330" i="3" s="1"/>
  <c r="M330" i="3"/>
  <c r="AE330" i="3" s="1"/>
  <c r="K330" i="3"/>
  <c r="AI329" i="3"/>
  <c r="AG329" i="3"/>
  <c r="AF329" i="3"/>
  <c r="AA329" i="3"/>
  <c r="X329" i="3"/>
  <c r="AJ329" i="3" s="1"/>
  <c r="M329" i="3"/>
  <c r="AE329" i="3" s="1"/>
  <c r="K329" i="3"/>
  <c r="AI328" i="3"/>
  <c r="AG328" i="3"/>
  <c r="AF328" i="3"/>
  <c r="AA328" i="3"/>
  <c r="AD328" i="3" s="1"/>
  <c r="X328" i="3"/>
  <c r="M328" i="3"/>
  <c r="AE328" i="3" s="1"/>
  <c r="K328" i="3"/>
  <c r="AI327" i="3"/>
  <c r="AG327" i="3"/>
  <c r="AF327" i="3"/>
  <c r="AA327" i="3"/>
  <c r="B330" i="2" s="1"/>
  <c r="X327" i="3"/>
  <c r="M330" i="2" s="1"/>
  <c r="M327" i="3"/>
  <c r="AE327" i="3" s="1"/>
  <c r="K327" i="3"/>
  <c r="AI326" i="3"/>
  <c r="AG326" i="3"/>
  <c r="AF326" i="3"/>
  <c r="AA326" i="3"/>
  <c r="AD326" i="3" s="1"/>
  <c r="X326" i="3"/>
  <c r="AJ326" i="3" s="1"/>
  <c r="M326" i="3"/>
  <c r="AE326" i="3" s="1"/>
  <c r="K326" i="3"/>
  <c r="AI325" i="3"/>
  <c r="AG325" i="3"/>
  <c r="AF325" i="3"/>
  <c r="AA325" i="3"/>
  <c r="AD325" i="3" s="1"/>
  <c r="X325" i="3"/>
  <c r="M328" i="2" s="1"/>
  <c r="M325" i="3"/>
  <c r="K325" i="3"/>
  <c r="AI324" i="3"/>
  <c r="AG324" i="3"/>
  <c r="AF324" i="3"/>
  <c r="AA324" i="3"/>
  <c r="AD324" i="3" s="1"/>
  <c r="X324" i="3"/>
  <c r="M324" i="3"/>
  <c r="AE324" i="3" s="1"/>
  <c r="K324" i="3"/>
  <c r="AI323" i="3"/>
  <c r="AG323" i="3"/>
  <c r="AF323" i="3"/>
  <c r="AA323" i="3"/>
  <c r="AD323" i="3" s="1"/>
  <c r="X323" i="3"/>
  <c r="AJ323" i="3" s="1"/>
  <c r="M323" i="3"/>
  <c r="AE323" i="3" s="1"/>
  <c r="K323" i="3"/>
  <c r="AI322" i="3"/>
  <c r="AG322" i="3"/>
  <c r="AF322" i="3"/>
  <c r="AA322" i="3"/>
  <c r="X322" i="3"/>
  <c r="AJ322" i="3" s="1"/>
  <c r="M322" i="3"/>
  <c r="AE322" i="3" s="1"/>
  <c r="K322" i="3"/>
  <c r="AI321" i="3"/>
  <c r="AG321" i="3"/>
  <c r="AF321" i="3"/>
  <c r="AA321" i="3"/>
  <c r="X321" i="3"/>
  <c r="M321" i="3"/>
  <c r="AE321" i="3" s="1"/>
  <c r="K321" i="3"/>
  <c r="AI320" i="3"/>
  <c r="AG320" i="3"/>
  <c r="AF320" i="3"/>
  <c r="AA320" i="3"/>
  <c r="AD320" i="3" s="1"/>
  <c r="X320" i="3"/>
  <c r="AJ320" i="3" s="1"/>
  <c r="M320" i="3"/>
  <c r="K320" i="3"/>
  <c r="AI319" i="3"/>
  <c r="AG319" i="3"/>
  <c r="AF319" i="3"/>
  <c r="AA319" i="3"/>
  <c r="AD319" i="3" s="1"/>
  <c r="X319" i="3"/>
  <c r="AJ319" i="3" s="1"/>
  <c r="M319" i="3"/>
  <c r="K319" i="3"/>
  <c r="AI318" i="3"/>
  <c r="AG318" i="3"/>
  <c r="AF318" i="3"/>
  <c r="AA318" i="3"/>
  <c r="X318" i="3"/>
  <c r="AJ318" i="3" s="1"/>
  <c r="M318" i="3"/>
  <c r="AE318" i="3" s="1"/>
  <c r="K318" i="3"/>
  <c r="AI317" i="3"/>
  <c r="AG317" i="3"/>
  <c r="AF317" i="3"/>
  <c r="AA317" i="3"/>
  <c r="AD317" i="3" s="1"/>
  <c r="X317" i="3"/>
  <c r="AJ317" i="3" s="1"/>
  <c r="M317" i="3"/>
  <c r="AE317" i="3" s="1"/>
  <c r="K317" i="3"/>
  <c r="AI316" i="3"/>
  <c r="AG316" i="3"/>
  <c r="AF316" i="3"/>
  <c r="AA316" i="3"/>
  <c r="AD316" i="3" s="1"/>
  <c r="X316" i="3"/>
  <c r="AJ316" i="3" s="1"/>
  <c r="M316" i="3"/>
  <c r="AE316" i="3" s="1"/>
  <c r="K316" i="3"/>
  <c r="AI315" i="3"/>
  <c r="AG315" i="3"/>
  <c r="AF315" i="3"/>
  <c r="AA315" i="3"/>
  <c r="AD315" i="3" s="1"/>
  <c r="X315" i="3"/>
  <c r="AJ315" i="3" s="1"/>
  <c r="M315" i="3"/>
  <c r="AE315" i="3" s="1"/>
  <c r="K315" i="3"/>
  <c r="AI314" i="3"/>
  <c r="AG314" i="3"/>
  <c r="AF314" i="3"/>
  <c r="AA314" i="3"/>
  <c r="X314" i="3"/>
  <c r="M314" i="3"/>
  <c r="AE314" i="3" s="1"/>
  <c r="K314" i="3"/>
  <c r="AI313" i="3"/>
  <c r="AG313" i="3"/>
  <c r="AF313" i="3"/>
  <c r="AA313" i="3"/>
  <c r="X313" i="3"/>
  <c r="M313" i="3"/>
  <c r="AE313" i="3" s="1"/>
  <c r="K313" i="3"/>
  <c r="AI312" i="3"/>
  <c r="AG312" i="3"/>
  <c r="AF312" i="3"/>
  <c r="AA312" i="3"/>
  <c r="AD312" i="3" s="1"/>
  <c r="X312" i="3"/>
  <c r="M312" i="3"/>
  <c r="AE312" i="3" s="1"/>
  <c r="K312" i="3"/>
  <c r="AI311" i="3"/>
  <c r="AG311" i="3"/>
  <c r="AF311" i="3"/>
  <c r="AA311" i="3"/>
  <c r="X311" i="3"/>
  <c r="AJ311" i="3" s="1"/>
  <c r="M311" i="3"/>
  <c r="K311" i="3"/>
  <c r="AI310" i="3"/>
  <c r="AG310" i="3"/>
  <c r="AF310" i="3"/>
  <c r="AA310" i="3"/>
  <c r="X310" i="3"/>
  <c r="AJ310" i="3" s="1"/>
  <c r="M310" i="3"/>
  <c r="AE310" i="3" s="1"/>
  <c r="K310" i="3"/>
  <c r="AI309" i="3"/>
  <c r="AG309" i="3"/>
  <c r="AF309" i="3"/>
  <c r="AA309" i="3"/>
  <c r="X309" i="3"/>
  <c r="AJ309" i="3" s="1"/>
  <c r="M309" i="3"/>
  <c r="K309" i="3"/>
  <c r="AI308" i="3"/>
  <c r="AG308" i="3"/>
  <c r="AF308" i="3"/>
  <c r="AA308" i="3"/>
  <c r="X308" i="3"/>
  <c r="AJ308" i="3" s="1"/>
  <c r="M308" i="3"/>
  <c r="AE308" i="3" s="1"/>
  <c r="K308" i="3"/>
  <c r="AI307" i="3"/>
  <c r="AG307" i="3"/>
  <c r="AF307" i="3"/>
  <c r="AA307" i="3"/>
  <c r="X307" i="3"/>
  <c r="M307" i="3"/>
  <c r="AE307" i="3" s="1"/>
  <c r="K307" i="3"/>
  <c r="AI306" i="3"/>
  <c r="AG306" i="3"/>
  <c r="AF306" i="3"/>
  <c r="AA306" i="3"/>
  <c r="AD306" i="3" s="1"/>
  <c r="X306" i="3"/>
  <c r="M306" i="3"/>
  <c r="K306" i="3"/>
  <c r="AI305" i="3"/>
  <c r="AG305" i="3"/>
  <c r="AF305" i="3"/>
  <c r="AA305" i="3"/>
  <c r="AD305" i="3" s="1"/>
  <c r="X305" i="3"/>
  <c r="AJ305" i="3" s="1"/>
  <c r="M305" i="3"/>
  <c r="K305" i="3"/>
  <c r="AI304" i="3"/>
  <c r="AG304" i="3"/>
  <c r="AF304" i="3"/>
  <c r="AA304" i="3"/>
  <c r="X304" i="3"/>
  <c r="M304" i="3"/>
  <c r="K304" i="3"/>
  <c r="AI303" i="3"/>
  <c r="AG303" i="3"/>
  <c r="AF303" i="3"/>
  <c r="AA303" i="3"/>
  <c r="AD303" i="3" s="1"/>
  <c r="X303" i="3"/>
  <c r="AJ303" i="3" s="1"/>
  <c r="M303" i="3"/>
  <c r="AE303" i="3" s="1"/>
  <c r="K303" i="3"/>
  <c r="AI302" i="3"/>
  <c r="AG302" i="3"/>
  <c r="AF302" i="3"/>
  <c r="AA302" i="3"/>
  <c r="AD302" i="3" s="1"/>
  <c r="X302" i="3"/>
  <c r="AJ302" i="3" s="1"/>
  <c r="M302" i="3"/>
  <c r="K302" i="3"/>
  <c r="AI301" i="3"/>
  <c r="AG301" i="3"/>
  <c r="AF301" i="3"/>
  <c r="AA301" i="3"/>
  <c r="AD301" i="3" s="1"/>
  <c r="X301" i="3"/>
  <c r="AJ301" i="3" s="1"/>
  <c r="M301" i="3"/>
  <c r="K301" i="3"/>
  <c r="AI300" i="3"/>
  <c r="AG300" i="3"/>
  <c r="AF300" i="3"/>
  <c r="AA300" i="3"/>
  <c r="X300" i="3"/>
  <c r="AJ300" i="3" s="1"/>
  <c r="M300" i="3"/>
  <c r="AE300" i="3" s="1"/>
  <c r="K300" i="3"/>
  <c r="AI299" i="3"/>
  <c r="AG299" i="3"/>
  <c r="AF299" i="3"/>
  <c r="AA299" i="3"/>
  <c r="X299" i="3"/>
  <c r="M299" i="3"/>
  <c r="K299" i="3"/>
  <c r="AI298" i="3"/>
  <c r="AG298" i="3"/>
  <c r="AF298" i="3"/>
  <c r="AA298" i="3"/>
  <c r="AD298" i="3" s="1"/>
  <c r="X298" i="3"/>
  <c r="AJ298" i="3" s="1"/>
  <c r="M298" i="3"/>
  <c r="K298" i="3"/>
  <c r="AI297" i="3"/>
  <c r="AG297" i="3"/>
  <c r="AF297" i="3"/>
  <c r="AA297" i="3"/>
  <c r="X297" i="3"/>
  <c r="AJ297" i="3" s="1"/>
  <c r="M297" i="3"/>
  <c r="AE297" i="3" s="1"/>
  <c r="K297" i="3"/>
  <c r="AI296" i="3"/>
  <c r="AG296" i="3"/>
  <c r="AF296" i="3"/>
  <c r="AA296" i="3"/>
  <c r="X296" i="3"/>
  <c r="M296" i="3"/>
  <c r="K296" i="3"/>
  <c r="AI295" i="3"/>
  <c r="AG295" i="3"/>
  <c r="AF295" i="3"/>
  <c r="AA295" i="3"/>
  <c r="AD295" i="3" s="1"/>
  <c r="X295" i="3"/>
  <c r="AJ295" i="3" s="1"/>
  <c r="M295" i="3"/>
  <c r="K295" i="3"/>
  <c r="AI294" i="3"/>
  <c r="AG294" i="3"/>
  <c r="AF294" i="3"/>
  <c r="AA294" i="3"/>
  <c r="X294" i="3"/>
  <c r="M294" i="3"/>
  <c r="AE294" i="3" s="1"/>
  <c r="K294" i="3"/>
  <c r="AI293" i="3"/>
  <c r="AG293" i="3"/>
  <c r="AF293" i="3"/>
  <c r="AA293" i="3"/>
  <c r="X293" i="3"/>
  <c r="M296" i="2" s="1"/>
  <c r="M293" i="3"/>
  <c r="AE293" i="3" s="1"/>
  <c r="K293" i="3"/>
  <c r="AI292" i="3"/>
  <c r="AG292" i="3"/>
  <c r="AF292" i="3"/>
  <c r="AA292" i="3"/>
  <c r="X292" i="3"/>
  <c r="AJ292" i="3" s="1"/>
  <c r="M292" i="3"/>
  <c r="K292" i="3"/>
  <c r="AI291" i="3"/>
  <c r="AG291" i="3"/>
  <c r="AF291" i="3"/>
  <c r="AA291" i="3"/>
  <c r="X291" i="3"/>
  <c r="AJ291" i="3" s="1"/>
  <c r="M291" i="3"/>
  <c r="AE291" i="3" s="1"/>
  <c r="K291" i="3"/>
  <c r="AI290" i="3"/>
  <c r="AG290" i="3"/>
  <c r="AF290" i="3"/>
  <c r="AA290" i="3"/>
  <c r="AD290" i="3" s="1"/>
  <c r="X290" i="3"/>
  <c r="M293" i="2" s="1"/>
  <c r="M290" i="3"/>
  <c r="C293" i="2" s="1"/>
  <c r="K290" i="3"/>
  <c r="AI289" i="3"/>
  <c r="AG289" i="3"/>
  <c r="AF289" i="3"/>
  <c r="AA289" i="3"/>
  <c r="X289" i="3"/>
  <c r="M289" i="3"/>
  <c r="K289" i="3"/>
  <c r="AI288" i="3"/>
  <c r="AG288" i="3"/>
  <c r="AF288" i="3"/>
  <c r="AA288" i="3"/>
  <c r="B291" i="2" s="1"/>
  <c r="X288" i="3"/>
  <c r="M288" i="3"/>
  <c r="AE288" i="3" s="1"/>
  <c r="K288" i="3"/>
  <c r="AI287" i="3"/>
  <c r="AG287" i="3"/>
  <c r="AF287" i="3"/>
  <c r="AA287" i="3"/>
  <c r="AD287" i="3" s="1"/>
  <c r="X287" i="3"/>
  <c r="AJ287" i="3" s="1"/>
  <c r="M287" i="3"/>
  <c r="AE287" i="3" s="1"/>
  <c r="K287" i="3"/>
  <c r="AI286" i="3"/>
  <c r="AG286" i="3"/>
  <c r="AF286" i="3"/>
  <c r="AA286" i="3"/>
  <c r="X286" i="3"/>
  <c r="AJ286" i="3" s="1"/>
  <c r="M286" i="3"/>
  <c r="AE286" i="3" s="1"/>
  <c r="K286" i="3"/>
  <c r="AI285" i="3"/>
  <c r="AG285" i="3"/>
  <c r="AF285" i="3"/>
  <c r="AA285" i="3"/>
  <c r="AD285" i="3" s="1"/>
  <c r="X285" i="3"/>
  <c r="M285" i="3"/>
  <c r="C288" i="2" s="1"/>
  <c r="K285" i="3"/>
  <c r="AI284" i="3"/>
  <c r="AG284" i="3"/>
  <c r="AF284" i="3"/>
  <c r="AA284" i="3"/>
  <c r="X284" i="3"/>
  <c r="AJ284" i="3" s="1"/>
  <c r="M284" i="3"/>
  <c r="K284" i="3"/>
  <c r="AI283" i="3"/>
  <c r="AG283" i="3"/>
  <c r="AF283" i="3"/>
  <c r="AA283" i="3"/>
  <c r="AD283" i="3" s="1"/>
  <c r="X283" i="3"/>
  <c r="AJ283" i="3" s="1"/>
  <c r="M283" i="3"/>
  <c r="AE283" i="3" s="1"/>
  <c r="K283" i="3"/>
  <c r="AI282" i="3"/>
  <c r="AG282" i="3"/>
  <c r="AF282" i="3"/>
  <c r="AA282" i="3"/>
  <c r="X282" i="3"/>
  <c r="AJ282" i="3" s="1"/>
  <c r="M282" i="3"/>
  <c r="K282" i="3"/>
  <c r="AI281" i="3"/>
  <c r="AG281" i="3"/>
  <c r="AF281" i="3"/>
  <c r="AA281" i="3"/>
  <c r="AD281" i="3" s="1"/>
  <c r="X281" i="3"/>
  <c r="AJ281" i="3" s="1"/>
  <c r="M281" i="3"/>
  <c r="C284" i="2" s="1"/>
  <c r="K281" i="3"/>
  <c r="AI280" i="3"/>
  <c r="AG280" i="3"/>
  <c r="AF280" i="3"/>
  <c r="AA280" i="3"/>
  <c r="AD280" i="3" s="1"/>
  <c r="X280" i="3"/>
  <c r="AJ280" i="3" s="1"/>
  <c r="M280" i="3"/>
  <c r="K280" i="3"/>
  <c r="AI279" i="3"/>
  <c r="AG279" i="3"/>
  <c r="AF279" i="3"/>
  <c r="AA279" i="3"/>
  <c r="B282" i="2" s="1"/>
  <c r="X279" i="3"/>
  <c r="M279" i="3"/>
  <c r="AE279" i="3" s="1"/>
  <c r="K279" i="3"/>
  <c r="AI278" i="3"/>
  <c r="AG278" i="3"/>
  <c r="AF278" i="3"/>
  <c r="AA278" i="3"/>
  <c r="AD278" i="3" s="1"/>
  <c r="X278" i="3"/>
  <c r="AJ278" i="3" s="1"/>
  <c r="M278" i="3"/>
  <c r="AE278" i="3" s="1"/>
  <c r="K278" i="3"/>
  <c r="AI277" i="3"/>
  <c r="AG277" i="3"/>
  <c r="AF277" i="3"/>
  <c r="AA277" i="3"/>
  <c r="X277" i="3"/>
  <c r="AJ277" i="3" s="1"/>
  <c r="M277" i="3"/>
  <c r="AE277" i="3" s="1"/>
  <c r="K277" i="3"/>
  <c r="AI276" i="3"/>
  <c r="AG276" i="3"/>
  <c r="AF276" i="3"/>
  <c r="AA276" i="3"/>
  <c r="AD276" i="3" s="1"/>
  <c r="X276" i="3"/>
  <c r="AJ276" i="3" s="1"/>
  <c r="M276" i="3"/>
  <c r="AE276" i="3" s="1"/>
  <c r="K276" i="3"/>
  <c r="AI275" i="3"/>
  <c r="AG275" i="3"/>
  <c r="AF275" i="3"/>
  <c r="AA275" i="3"/>
  <c r="X275" i="3"/>
  <c r="AJ275" i="3" s="1"/>
  <c r="M275" i="3"/>
  <c r="AE275" i="3" s="1"/>
  <c r="K275" i="3"/>
  <c r="AI274" i="3"/>
  <c r="AG274" i="3"/>
  <c r="AF274" i="3"/>
  <c r="AA274" i="3"/>
  <c r="AD274" i="3" s="1"/>
  <c r="X274" i="3"/>
  <c r="AJ274" i="3" s="1"/>
  <c r="M274" i="3"/>
  <c r="AE274" i="3" s="1"/>
  <c r="K274" i="3"/>
  <c r="AI273" i="3"/>
  <c r="AG273" i="3"/>
  <c r="AF273" i="3"/>
  <c r="AA273" i="3"/>
  <c r="X273" i="3"/>
  <c r="M273" i="3"/>
  <c r="C276" i="2" s="1"/>
  <c r="K273" i="3"/>
  <c r="AI272" i="3"/>
  <c r="AG272" i="3"/>
  <c r="AF272" i="3"/>
  <c r="AA272" i="3"/>
  <c r="AD272" i="3" s="1"/>
  <c r="X272" i="3"/>
  <c r="AJ272" i="3" s="1"/>
  <c r="M272" i="3"/>
  <c r="K272" i="3"/>
  <c r="AI271" i="3"/>
  <c r="AG271" i="3"/>
  <c r="AF271" i="3"/>
  <c r="AA271" i="3"/>
  <c r="X271" i="3"/>
  <c r="AJ271" i="3" s="1"/>
  <c r="M271" i="3"/>
  <c r="AE271" i="3" s="1"/>
  <c r="K271" i="3"/>
  <c r="AI270" i="3"/>
  <c r="AG270" i="3"/>
  <c r="AF270" i="3"/>
  <c r="AA270" i="3"/>
  <c r="AD270" i="3" s="1"/>
  <c r="X270" i="3"/>
  <c r="M270" i="3"/>
  <c r="AE270" i="3" s="1"/>
  <c r="K270" i="3"/>
  <c r="AI269" i="3"/>
  <c r="AG269" i="3"/>
  <c r="AF269" i="3"/>
  <c r="AA269" i="3"/>
  <c r="AD269" i="3" s="1"/>
  <c r="X269" i="3"/>
  <c r="M269" i="3"/>
  <c r="AE269" i="3" s="1"/>
  <c r="K269" i="3"/>
  <c r="AI268" i="3"/>
  <c r="AG268" i="3"/>
  <c r="AF268" i="3"/>
  <c r="AA268" i="3"/>
  <c r="AD268" i="3" s="1"/>
  <c r="X268" i="3"/>
  <c r="AJ268" i="3" s="1"/>
  <c r="M268" i="3"/>
  <c r="K268" i="3"/>
  <c r="AI267" i="3"/>
  <c r="AG267" i="3"/>
  <c r="AF267" i="3"/>
  <c r="AA267" i="3"/>
  <c r="X267" i="3"/>
  <c r="M267" i="3"/>
  <c r="AE267" i="3" s="1"/>
  <c r="K267" i="3"/>
  <c r="AI266" i="3"/>
  <c r="AG266" i="3"/>
  <c r="AF266" i="3"/>
  <c r="AA266" i="3"/>
  <c r="X266" i="3"/>
  <c r="AJ266" i="3" s="1"/>
  <c r="M266" i="3"/>
  <c r="AE266" i="3" s="1"/>
  <c r="K266" i="3"/>
  <c r="AI265" i="3"/>
  <c r="AG265" i="3"/>
  <c r="AF265" i="3"/>
  <c r="AA265" i="3"/>
  <c r="AD265" i="3" s="1"/>
  <c r="X265" i="3"/>
  <c r="M265" i="3"/>
  <c r="AE265" i="3" s="1"/>
  <c r="K265" i="3"/>
  <c r="AI264" i="3"/>
  <c r="AG264" i="3"/>
  <c r="AF264" i="3"/>
  <c r="AA264" i="3"/>
  <c r="B267" i="2" s="1"/>
  <c r="X264" i="3"/>
  <c r="M264" i="3"/>
  <c r="AE264" i="3" s="1"/>
  <c r="K264" i="3"/>
  <c r="AI263" i="3"/>
  <c r="AG263" i="3"/>
  <c r="AF263" i="3"/>
  <c r="AA263" i="3"/>
  <c r="AD263" i="3" s="1"/>
  <c r="X263" i="3"/>
  <c r="M263" i="3"/>
  <c r="K263" i="3"/>
  <c r="AI262" i="3"/>
  <c r="AG262" i="3"/>
  <c r="AF262" i="3"/>
  <c r="AA262" i="3"/>
  <c r="X262" i="3"/>
  <c r="AJ262" i="3" s="1"/>
  <c r="M262" i="3"/>
  <c r="AE262" i="3" s="1"/>
  <c r="K262" i="3"/>
  <c r="AI261" i="3"/>
  <c r="AG261" i="3"/>
  <c r="AF261" i="3"/>
  <c r="AA261" i="3"/>
  <c r="X261" i="3"/>
  <c r="M264" i="2" s="1"/>
  <c r="M261" i="3"/>
  <c r="AE261" i="3" s="1"/>
  <c r="K261" i="3"/>
  <c r="AI260" i="3"/>
  <c r="AG260" i="3"/>
  <c r="AF260" i="3"/>
  <c r="AA260" i="3"/>
  <c r="X260" i="3"/>
  <c r="AJ260" i="3" s="1"/>
  <c r="M260" i="3"/>
  <c r="K260" i="3"/>
  <c r="AI259" i="3"/>
  <c r="AG259" i="3"/>
  <c r="AF259" i="3"/>
  <c r="AA259" i="3"/>
  <c r="AD259" i="3" s="1"/>
  <c r="X259" i="3"/>
  <c r="M259" i="3"/>
  <c r="AE259" i="3" s="1"/>
  <c r="K259" i="3"/>
  <c r="AI258" i="3"/>
  <c r="AG258" i="3"/>
  <c r="AF258" i="3"/>
  <c r="AA258" i="3"/>
  <c r="X258" i="3"/>
  <c r="M258" i="3"/>
  <c r="AE258" i="3" s="1"/>
  <c r="K258" i="3"/>
  <c r="AI257" i="3"/>
  <c r="AG257" i="3"/>
  <c r="AF257" i="3"/>
  <c r="AA257" i="3"/>
  <c r="AD257" i="3" s="1"/>
  <c r="X257" i="3"/>
  <c r="AJ257" i="3" s="1"/>
  <c r="M257" i="3"/>
  <c r="K257" i="3"/>
  <c r="AI256" i="3"/>
  <c r="AG256" i="3"/>
  <c r="AF256" i="3"/>
  <c r="AA256" i="3"/>
  <c r="AD256" i="3" s="1"/>
  <c r="X256" i="3"/>
  <c r="M256" i="3"/>
  <c r="K256" i="3"/>
  <c r="AI255" i="3"/>
  <c r="AG255" i="3"/>
  <c r="AF255" i="3"/>
  <c r="AA255" i="3"/>
  <c r="AD255" i="3" s="1"/>
  <c r="X255" i="3"/>
  <c r="M255" i="3"/>
  <c r="K255" i="3"/>
  <c r="AI254" i="3"/>
  <c r="AG254" i="3"/>
  <c r="AF254" i="3"/>
  <c r="AA254" i="3"/>
  <c r="AD254" i="3" s="1"/>
  <c r="X254" i="3"/>
  <c r="M254" i="3"/>
  <c r="K254" i="3"/>
  <c r="AI253" i="3"/>
  <c r="AG253" i="3"/>
  <c r="AF253" i="3"/>
  <c r="AA253" i="3"/>
  <c r="X253" i="3"/>
  <c r="M253" i="3"/>
  <c r="AE253" i="3" s="1"/>
  <c r="K253" i="3"/>
  <c r="AI252" i="3"/>
  <c r="AG252" i="3"/>
  <c r="AF252" i="3"/>
  <c r="AA252" i="3"/>
  <c r="AD252" i="3" s="1"/>
  <c r="X252" i="3"/>
  <c r="M252" i="3"/>
  <c r="AE252" i="3" s="1"/>
  <c r="K252" i="3"/>
  <c r="AI251" i="3"/>
  <c r="AG251" i="3"/>
  <c r="AF251" i="3"/>
  <c r="AA251" i="3"/>
  <c r="X251" i="3"/>
  <c r="M251" i="3"/>
  <c r="K251" i="3"/>
  <c r="AI250" i="3"/>
  <c r="AG250" i="3"/>
  <c r="AF250" i="3"/>
  <c r="AA250" i="3"/>
  <c r="AD250" i="3" s="1"/>
  <c r="X250" i="3"/>
  <c r="M250" i="3"/>
  <c r="AE250" i="3" s="1"/>
  <c r="K250" i="3"/>
  <c r="AI249" i="3"/>
  <c r="AG249" i="3"/>
  <c r="AF249" i="3"/>
  <c r="AA249" i="3"/>
  <c r="AD249" i="3" s="1"/>
  <c r="X249" i="3"/>
  <c r="M249" i="3"/>
  <c r="AE249" i="3" s="1"/>
  <c r="K249" i="3"/>
  <c r="AI248" i="3"/>
  <c r="AG248" i="3"/>
  <c r="AF248" i="3"/>
  <c r="AA248" i="3"/>
  <c r="X248" i="3"/>
  <c r="M248" i="3"/>
  <c r="K248" i="3"/>
  <c r="AI247" i="3"/>
  <c r="AG247" i="3"/>
  <c r="AF247" i="3"/>
  <c r="AA247" i="3"/>
  <c r="X247" i="3"/>
  <c r="AJ247" i="3" s="1"/>
  <c r="M247" i="3"/>
  <c r="K247" i="3"/>
  <c r="AI246" i="3"/>
  <c r="AG246" i="3"/>
  <c r="AF246" i="3"/>
  <c r="AA246" i="3"/>
  <c r="AD246" i="3" s="1"/>
  <c r="X246" i="3"/>
  <c r="AJ246" i="3" s="1"/>
  <c r="M246" i="3"/>
  <c r="K246" i="3"/>
  <c r="AI245" i="3"/>
  <c r="AG245" i="3"/>
  <c r="AF245" i="3"/>
  <c r="AA245" i="3"/>
  <c r="X245" i="3"/>
  <c r="M245" i="3"/>
  <c r="AE245" i="3" s="1"/>
  <c r="K245" i="3"/>
  <c r="AI244" i="3"/>
  <c r="AG244" i="3"/>
  <c r="AF244" i="3"/>
  <c r="AA244" i="3"/>
  <c r="AD244" i="3" s="1"/>
  <c r="X244" i="3"/>
  <c r="AJ244" i="3" s="1"/>
  <c r="M244" i="3"/>
  <c r="K244" i="3"/>
  <c r="AI243" i="3"/>
  <c r="AG243" i="3"/>
  <c r="AF243" i="3"/>
  <c r="AA243" i="3"/>
  <c r="AD243" i="3" s="1"/>
  <c r="X243" i="3"/>
  <c r="AJ243" i="3" s="1"/>
  <c r="M243" i="3"/>
  <c r="K243" i="3"/>
  <c r="AI242" i="3"/>
  <c r="AG242" i="3"/>
  <c r="AF242" i="3"/>
  <c r="AA242" i="3"/>
  <c r="X242" i="3"/>
  <c r="M242" i="3"/>
  <c r="K242" i="3"/>
  <c r="AI241" i="3"/>
  <c r="AG241" i="3"/>
  <c r="AF241" i="3"/>
  <c r="AA241" i="3"/>
  <c r="AD241" i="3" s="1"/>
  <c r="X241" i="3"/>
  <c r="AJ241" i="3" s="1"/>
  <c r="M241" i="3"/>
  <c r="K241" i="3"/>
  <c r="AI240" i="3"/>
  <c r="AG240" i="3"/>
  <c r="AF240" i="3"/>
  <c r="AA240" i="3"/>
  <c r="X240" i="3"/>
  <c r="M240" i="3"/>
  <c r="AE240" i="3" s="1"/>
  <c r="K240" i="3"/>
  <c r="AI239" i="3"/>
  <c r="AG239" i="3"/>
  <c r="AF239" i="3"/>
  <c r="AA239" i="3"/>
  <c r="AD239" i="3" s="1"/>
  <c r="X239" i="3"/>
  <c r="AJ239" i="3" s="1"/>
  <c r="M239" i="3"/>
  <c r="K239" i="3"/>
  <c r="AI238" i="3"/>
  <c r="AG238" i="3"/>
  <c r="AF238" i="3"/>
  <c r="AA238" i="3"/>
  <c r="AD238" i="3" s="1"/>
  <c r="X238" i="3"/>
  <c r="AJ238" i="3" s="1"/>
  <c r="M238" i="3"/>
  <c r="AE238" i="3" s="1"/>
  <c r="K238" i="3"/>
  <c r="AI237" i="3"/>
  <c r="AG237" i="3"/>
  <c r="AF237" i="3"/>
  <c r="AA237" i="3"/>
  <c r="X237" i="3"/>
  <c r="AJ237" i="3" s="1"/>
  <c r="M237" i="3"/>
  <c r="AE237" i="3" s="1"/>
  <c r="K237" i="3"/>
  <c r="AI236" i="3"/>
  <c r="AG236" i="3"/>
  <c r="AF236" i="3"/>
  <c r="AA236" i="3"/>
  <c r="AD236" i="3" s="1"/>
  <c r="X236" i="3"/>
  <c r="AJ236" i="3" s="1"/>
  <c r="M236" i="3"/>
  <c r="K236" i="3"/>
  <c r="AI235" i="3"/>
  <c r="AG235" i="3"/>
  <c r="AF235" i="3"/>
  <c r="AA235" i="3"/>
  <c r="X235" i="3"/>
  <c r="AJ235" i="3" s="1"/>
  <c r="M235" i="3"/>
  <c r="K235" i="3"/>
  <c r="AI234" i="3"/>
  <c r="AG234" i="3"/>
  <c r="AF234" i="3"/>
  <c r="AA234" i="3"/>
  <c r="X234" i="3"/>
  <c r="AJ234" i="3" s="1"/>
  <c r="M234" i="3"/>
  <c r="AE234" i="3" s="1"/>
  <c r="K234" i="3"/>
  <c r="AI233" i="3"/>
  <c r="AG233" i="3"/>
  <c r="AF233" i="3"/>
  <c r="AA233" i="3"/>
  <c r="X233" i="3"/>
  <c r="AJ233" i="3" s="1"/>
  <c r="M233" i="3"/>
  <c r="AE233" i="3" s="1"/>
  <c r="K233" i="3"/>
  <c r="AI232" i="3"/>
  <c r="AG232" i="3"/>
  <c r="AF232" i="3"/>
  <c r="AA232" i="3"/>
  <c r="AD232" i="3" s="1"/>
  <c r="X232" i="3"/>
  <c r="M232" i="3"/>
  <c r="C235" i="2" s="1"/>
  <c r="K232" i="3"/>
  <c r="AI231" i="3"/>
  <c r="AG231" i="3"/>
  <c r="AF231" i="3"/>
  <c r="AA231" i="3"/>
  <c r="X231" i="3"/>
  <c r="AJ231" i="3" s="1"/>
  <c r="M231" i="3"/>
  <c r="AE231" i="3" s="1"/>
  <c r="K231" i="3"/>
  <c r="AI230" i="3"/>
  <c r="AG230" i="3"/>
  <c r="AF230" i="3"/>
  <c r="AA230" i="3"/>
  <c r="B233" i="2" s="1"/>
  <c r="X230" i="3"/>
  <c r="AJ230" i="3" s="1"/>
  <c r="M230" i="3"/>
  <c r="AE230" i="3" s="1"/>
  <c r="K230" i="3"/>
  <c r="AI229" i="3"/>
  <c r="AG229" i="3"/>
  <c r="AF229" i="3"/>
  <c r="AA229" i="3"/>
  <c r="X229" i="3"/>
  <c r="M229" i="3"/>
  <c r="K229" i="3"/>
  <c r="AI228" i="3"/>
  <c r="AG228" i="3"/>
  <c r="AF228" i="3"/>
  <c r="AA228" i="3"/>
  <c r="AD228" i="3" s="1"/>
  <c r="X228" i="3"/>
  <c r="AJ228" i="3" s="1"/>
  <c r="M228" i="3"/>
  <c r="AE228" i="3" s="1"/>
  <c r="K228" i="3"/>
  <c r="AI227" i="3"/>
  <c r="AG227" i="3"/>
  <c r="AF227" i="3"/>
  <c r="AA227" i="3"/>
  <c r="AD227" i="3" s="1"/>
  <c r="X227" i="3"/>
  <c r="AJ227" i="3" s="1"/>
  <c r="M227" i="3"/>
  <c r="K227" i="3"/>
  <c r="AI226" i="3"/>
  <c r="AG226" i="3"/>
  <c r="AF226" i="3"/>
  <c r="AA226" i="3"/>
  <c r="X226" i="3"/>
  <c r="M226" i="3"/>
  <c r="AE226" i="3" s="1"/>
  <c r="K226" i="3"/>
  <c r="AI225" i="3"/>
  <c r="AG225" i="3"/>
  <c r="AF225" i="3"/>
  <c r="AA225" i="3"/>
  <c r="AD225" i="3" s="1"/>
  <c r="X225" i="3"/>
  <c r="AJ225" i="3" s="1"/>
  <c r="M225" i="3"/>
  <c r="AE225" i="3" s="1"/>
  <c r="K225" i="3"/>
  <c r="AI224" i="3"/>
  <c r="AG224" i="3"/>
  <c r="AF224" i="3"/>
  <c r="AA224" i="3"/>
  <c r="X224" i="3"/>
  <c r="M224" i="3"/>
  <c r="K224" i="3"/>
  <c r="AI223" i="3"/>
  <c r="AG223" i="3"/>
  <c r="AF223" i="3"/>
  <c r="AA223" i="3"/>
  <c r="AD223" i="3" s="1"/>
  <c r="X223" i="3"/>
  <c r="M223" i="3"/>
  <c r="C226" i="2" s="1"/>
  <c r="K223" i="3"/>
  <c r="AI222" i="3"/>
  <c r="AG222" i="3"/>
  <c r="AF222" i="3"/>
  <c r="AA222" i="3"/>
  <c r="X222" i="3"/>
  <c r="AJ222" i="3" s="1"/>
  <c r="M222" i="3"/>
  <c r="AE222" i="3" s="1"/>
  <c r="K222" i="3"/>
  <c r="AI221" i="3"/>
  <c r="AG221" i="3"/>
  <c r="AF221" i="3"/>
  <c r="AA221" i="3"/>
  <c r="AD221" i="3" s="1"/>
  <c r="X221" i="3"/>
  <c r="AJ221" i="3" s="1"/>
  <c r="M221" i="3"/>
  <c r="AE221" i="3" s="1"/>
  <c r="K221" i="3"/>
  <c r="AI220" i="3"/>
  <c r="AG220" i="3"/>
  <c r="AF220" i="3"/>
  <c r="AA220" i="3"/>
  <c r="AD220" i="3" s="1"/>
  <c r="X220" i="3"/>
  <c r="M220" i="3"/>
  <c r="K220" i="3"/>
  <c r="AI219" i="3"/>
  <c r="AG219" i="3"/>
  <c r="AF219" i="3"/>
  <c r="AA219" i="3"/>
  <c r="X219" i="3"/>
  <c r="M219" i="3"/>
  <c r="K219" i="3"/>
  <c r="AI218" i="3"/>
  <c r="AG218" i="3"/>
  <c r="AF218" i="3"/>
  <c r="AA218" i="3"/>
  <c r="AD218" i="3" s="1"/>
  <c r="X218" i="3"/>
  <c r="AJ218" i="3" s="1"/>
  <c r="M218" i="3"/>
  <c r="AE218" i="3" s="1"/>
  <c r="K218" i="3"/>
  <c r="AI217" i="3"/>
  <c r="AG217" i="3"/>
  <c r="AF217" i="3"/>
  <c r="AA217" i="3"/>
  <c r="AD217" i="3" s="1"/>
  <c r="X217" i="3"/>
  <c r="AJ217" i="3" s="1"/>
  <c r="M217" i="3"/>
  <c r="AE217" i="3" s="1"/>
  <c r="K217" i="3"/>
  <c r="AI216" i="3"/>
  <c r="AG216" i="3"/>
  <c r="AF216" i="3"/>
  <c r="AA216" i="3"/>
  <c r="AD216" i="3" s="1"/>
  <c r="X216" i="3"/>
  <c r="AJ216" i="3" s="1"/>
  <c r="M216" i="3"/>
  <c r="AE216" i="3" s="1"/>
  <c r="K216" i="3"/>
  <c r="AI215" i="3"/>
  <c r="AG215" i="3"/>
  <c r="AF215" i="3"/>
  <c r="AA215" i="3"/>
  <c r="X215" i="3"/>
  <c r="M215" i="3"/>
  <c r="AE215" i="3" s="1"/>
  <c r="K215" i="3"/>
  <c r="AI214" i="3"/>
  <c r="AG214" i="3"/>
  <c r="AF214" i="3"/>
  <c r="AA214" i="3"/>
  <c r="AD214" i="3" s="1"/>
  <c r="X214" i="3"/>
  <c r="M214" i="3"/>
  <c r="AE214" i="3" s="1"/>
  <c r="K214" i="3"/>
  <c r="AI213" i="3"/>
  <c r="AG213" i="3"/>
  <c r="AF213" i="3"/>
  <c r="AA213" i="3"/>
  <c r="B216" i="2" s="1"/>
  <c r="X213" i="3"/>
  <c r="AJ213" i="3" s="1"/>
  <c r="M213" i="3"/>
  <c r="C216" i="2" s="1"/>
  <c r="K213" i="3"/>
  <c r="AI212" i="3"/>
  <c r="AG212" i="3"/>
  <c r="AF212" i="3"/>
  <c r="AA212" i="3"/>
  <c r="X212" i="3"/>
  <c r="M212" i="3"/>
  <c r="K212" i="3"/>
  <c r="AI211" i="3"/>
  <c r="AG211" i="3"/>
  <c r="AF211" i="3"/>
  <c r="AA211" i="3"/>
  <c r="AD211" i="3" s="1"/>
  <c r="X211" i="3"/>
  <c r="AJ211" i="3" s="1"/>
  <c r="M211" i="3"/>
  <c r="AE211" i="3" s="1"/>
  <c r="K211" i="3"/>
  <c r="AI210" i="3"/>
  <c r="AG210" i="3"/>
  <c r="AF210" i="3"/>
  <c r="AA210" i="3"/>
  <c r="X210" i="3"/>
  <c r="AJ210" i="3" s="1"/>
  <c r="M210" i="3"/>
  <c r="K210" i="3"/>
  <c r="AI209" i="3"/>
  <c r="AG209" i="3"/>
  <c r="AF209" i="3"/>
  <c r="AA209" i="3"/>
  <c r="B212" i="2" s="1"/>
  <c r="X209" i="3"/>
  <c r="M209" i="3"/>
  <c r="AE209" i="3" s="1"/>
  <c r="K209" i="3"/>
  <c r="AI208" i="3"/>
  <c r="AG208" i="3"/>
  <c r="AF208" i="3"/>
  <c r="AA208" i="3"/>
  <c r="AD208" i="3" s="1"/>
  <c r="X208" i="3"/>
  <c r="AJ208" i="3" s="1"/>
  <c r="M208" i="3"/>
  <c r="AE208" i="3" s="1"/>
  <c r="K208" i="3"/>
  <c r="AI207" i="3"/>
  <c r="AG207" i="3"/>
  <c r="AF207" i="3"/>
  <c r="AA207" i="3"/>
  <c r="X207" i="3"/>
  <c r="M207" i="3"/>
  <c r="AE207" i="3" s="1"/>
  <c r="K207" i="3"/>
  <c r="AI206" i="3"/>
  <c r="AG206" i="3"/>
  <c r="AF206" i="3"/>
  <c r="AA206" i="3"/>
  <c r="AD206" i="3" s="1"/>
  <c r="X206" i="3"/>
  <c r="M206" i="3"/>
  <c r="AE206" i="3" s="1"/>
  <c r="K206" i="3"/>
  <c r="AI205" i="3"/>
  <c r="AG205" i="3"/>
  <c r="AF205" i="3"/>
  <c r="AA205" i="3"/>
  <c r="X205" i="3"/>
  <c r="M205" i="3"/>
  <c r="AE205" i="3" s="1"/>
  <c r="K205" i="3"/>
  <c r="AI204" i="3"/>
  <c r="AG204" i="3"/>
  <c r="AF204" i="3"/>
  <c r="AA204" i="3"/>
  <c r="X204" i="3"/>
  <c r="M204" i="3"/>
  <c r="K204" i="3"/>
  <c r="AI203" i="3"/>
  <c r="AG203" i="3"/>
  <c r="AF203" i="3"/>
  <c r="AA203" i="3"/>
  <c r="AD203" i="3" s="1"/>
  <c r="X203" i="3"/>
  <c r="AJ203" i="3" s="1"/>
  <c r="M203" i="3"/>
  <c r="C206" i="2" s="1"/>
  <c r="K203" i="3"/>
  <c r="AI202" i="3"/>
  <c r="AG202" i="3"/>
  <c r="AF202" i="3"/>
  <c r="AA202" i="3"/>
  <c r="AD202" i="3" s="1"/>
  <c r="X202" i="3"/>
  <c r="M202" i="3"/>
  <c r="AE202" i="3" s="1"/>
  <c r="K202" i="3"/>
  <c r="AI201" i="3"/>
  <c r="AG201" i="3"/>
  <c r="AF201" i="3"/>
  <c r="AA201" i="3"/>
  <c r="B204" i="2" s="1"/>
  <c r="X201" i="3"/>
  <c r="AJ201" i="3" s="1"/>
  <c r="M201" i="3"/>
  <c r="K201" i="3"/>
  <c r="AI200" i="3"/>
  <c r="AG200" i="3"/>
  <c r="AF200" i="3"/>
  <c r="AA200" i="3"/>
  <c r="X200" i="3"/>
  <c r="AJ200" i="3" s="1"/>
  <c r="M200" i="3"/>
  <c r="AE200" i="3" s="1"/>
  <c r="K200" i="3"/>
  <c r="AI199" i="3"/>
  <c r="AG199" i="3"/>
  <c r="AF199" i="3"/>
  <c r="AA199" i="3"/>
  <c r="X199" i="3"/>
  <c r="M199" i="3"/>
  <c r="AE199" i="3" s="1"/>
  <c r="K199" i="3"/>
  <c r="AI198" i="3"/>
  <c r="AG198" i="3"/>
  <c r="AF198" i="3"/>
  <c r="AA198" i="3"/>
  <c r="X198" i="3"/>
  <c r="M198" i="3"/>
  <c r="AE198" i="3" s="1"/>
  <c r="K198" i="3"/>
  <c r="AI197" i="3"/>
  <c r="AG197" i="3"/>
  <c r="AF197" i="3"/>
  <c r="AA197" i="3"/>
  <c r="X197" i="3"/>
  <c r="M197" i="3"/>
  <c r="AE197" i="3" s="1"/>
  <c r="K197" i="3"/>
  <c r="AI196" i="3"/>
  <c r="AG196" i="3"/>
  <c r="AF196" i="3"/>
  <c r="AA196" i="3"/>
  <c r="X196" i="3"/>
  <c r="AJ196" i="3" s="1"/>
  <c r="M196" i="3"/>
  <c r="AE196" i="3" s="1"/>
  <c r="K196" i="3"/>
  <c r="AI195" i="3"/>
  <c r="AG195" i="3"/>
  <c r="AF195" i="3"/>
  <c r="AA195" i="3"/>
  <c r="AD195" i="3" s="1"/>
  <c r="X195" i="3"/>
  <c r="AJ195" i="3" s="1"/>
  <c r="M195" i="3"/>
  <c r="AE195" i="3" s="1"/>
  <c r="K195" i="3"/>
  <c r="AI194" i="3"/>
  <c r="AG194" i="3"/>
  <c r="AF194" i="3"/>
  <c r="AA194" i="3"/>
  <c r="AD194" i="3" s="1"/>
  <c r="X194" i="3"/>
  <c r="AJ194" i="3" s="1"/>
  <c r="M194" i="3"/>
  <c r="AE194" i="3" s="1"/>
  <c r="K194" i="3"/>
  <c r="AI193" i="3"/>
  <c r="AG193" i="3"/>
  <c r="AF193" i="3"/>
  <c r="AA193" i="3"/>
  <c r="AD193" i="3" s="1"/>
  <c r="X193" i="3"/>
  <c r="AJ193" i="3" s="1"/>
  <c r="M193" i="3"/>
  <c r="AE193" i="3" s="1"/>
  <c r="K193" i="3"/>
  <c r="AI192" i="3"/>
  <c r="AG192" i="3"/>
  <c r="AF192" i="3"/>
  <c r="AA192" i="3"/>
  <c r="X192" i="3"/>
  <c r="M192" i="3"/>
  <c r="AE192" i="3" s="1"/>
  <c r="K192" i="3"/>
  <c r="AI191" i="3"/>
  <c r="AG191" i="3"/>
  <c r="AF191" i="3"/>
  <c r="AA191" i="3"/>
  <c r="B194" i="2" s="1"/>
  <c r="X191" i="3"/>
  <c r="M191" i="3"/>
  <c r="K191" i="3"/>
  <c r="AI190" i="3"/>
  <c r="AG190" i="3"/>
  <c r="AF190" i="3"/>
  <c r="AA190" i="3"/>
  <c r="X190" i="3"/>
  <c r="M190" i="3"/>
  <c r="K190" i="3"/>
  <c r="AI189" i="3"/>
  <c r="AG189" i="3"/>
  <c r="AF189" i="3"/>
  <c r="AA189" i="3"/>
  <c r="AD189" i="3" s="1"/>
  <c r="X189" i="3"/>
  <c r="AJ189" i="3" s="1"/>
  <c r="M189" i="3"/>
  <c r="AE189" i="3" s="1"/>
  <c r="K189" i="3"/>
  <c r="AI188" i="3"/>
  <c r="AG188" i="3"/>
  <c r="AF188" i="3"/>
  <c r="AA188" i="3"/>
  <c r="AD188" i="3" s="1"/>
  <c r="X188" i="3"/>
  <c r="M188" i="3"/>
  <c r="AE188" i="3" s="1"/>
  <c r="K188" i="3"/>
  <c r="AI187" i="3"/>
  <c r="AG187" i="3"/>
  <c r="AF187" i="3"/>
  <c r="AA187" i="3"/>
  <c r="AD187" i="3" s="1"/>
  <c r="X187" i="3"/>
  <c r="AJ187" i="3" s="1"/>
  <c r="M187" i="3"/>
  <c r="AE187" i="3" s="1"/>
  <c r="K187" i="3"/>
  <c r="AI186" i="3"/>
  <c r="AG186" i="3"/>
  <c r="AF186" i="3"/>
  <c r="AA186" i="3"/>
  <c r="AD186" i="3" s="1"/>
  <c r="X186" i="3"/>
  <c r="M186" i="3"/>
  <c r="AE186" i="3" s="1"/>
  <c r="K186" i="3"/>
  <c r="AI185" i="3"/>
  <c r="AG185" i="3"/>
  <c r="AF185" i="3"/>
  <c r="AA185" i="3"/>
  <c r="AD185" i="3" s="1"/>
  <c r="X185" i="3"/>
  <c r="M185" i="3"/>
  <c r="K185" i="3"/>
  <c r="AI184" i="3"/>
  <c r="AG184" i="3"/>
  <c r="AF184" i="3"/>
  <c r="AA184" i="3"/>
  <c r="X184" i="3"/>
  <c r="AJ184" i="3" s="1"/>
  <c r="M184" i="3"/>
  <c r="AE184" i="3" s="1"/>
  <c r="K184" i="3"/>
  <c r="AI183" i="3"/>
  <c r="AG183" i="3"/>
  <c r="AF183" i="3"/>
  <c r="AA183" i="3"/>
  <c r="B186" i="2" s="1"/>
  <c r="X183" i="3"/>
  <c r="AJ183" i="3" s="1"/>
  <c r="M183" i="3"/>
  <c r="AE183" i="3" s="1"/>
  <c r="K183" i="3"/>
  <c r="AI182" i="3"/>
  <c r="AG182" i="3"/>
  <c r="AF182" i="3"/>
  <c r="AA182" i="3"/>
  <c r="AD182" i="3" s="1"/>
  <c r="X182" i="3"/>
  <c r="AJ182" i="3" s="1"/>
  <c r="M182" i="3"/>
  <c r="AE182" i="3" s="1"/>
  <c r="K182" i="3"/>
  <c r="AI181" i="3"/>
  <c r="AG181" i="3"/>
  <c r="AF181" i="3"/>
  <c r="AA181" i="3"/>
  <c r="X181" i="3"/>
  <c r="M181" i="3"/>
  <c r="AE181" i="3" s="1"/>
  <c r="K181" i="3"/>
  <c r="AI180" i="3"/>
  <c r="AG180" i="3"/>
  <c r="AF180" i="3"/>
  <c r="AA180" i="3"/>
  <c r="AD180" i="3" s="1"/>
  <c r="X180" i="3"/>
  <c r="AJ180" i="3" s="1"/>
  <c r="M180" i="3"/>
  <c r="C183" i="2" s="1"/>
  <c r="K180" i="3"/>
  <c r="AI179" i="3"/>
  <c r="AG179" i="3"/>
  <c r="AF179" i="3"/>
  <c r="AA179" i="3"/>
  <c r="AD179" i="3" s="1"/>
  <c r="X179" i="3"/>
  <c r="AJ179" i="3" s="1"/>
  <c r="M179" i="3"/>
  <c r="AE179" i="3" s="1"/>
  <c r="K179" i="3"/>
  <c r="AI178" i="3"/>
  <c r="AG178" i="3"/>
  <c r="AF178" i="3"/>
  <c r="AA178" i="3"/>
  <c r="AD178" i="3" s="1"/>
  <c r="X178" i="3"/>
  <c r="AJ178" i="3" s="1"/>
  <c r="M178" i="3"/>
  <c r="AE178" i="3" s="1"/>
  <c r="K178" i="3"/>
  <c r="AI177" i="3"/>
  <c r="AG177" i="3"/>
  <c r="AF177" i="3"/>
  <c r="AA177" i="3"/>
  <c r="AD177" i="3" s="1"/>
  <c r="X177" i="3"/>
  <c r="M177" i="3"/>
  <c r="K177" i="3"/>
  <c r="AI176" i="3"/>
  <c r="AG176" i="3"/>
  <c r="AF176" i="3"/>
  <c r="AA176" i="3"/>
  <c r="X176" i="3"/>
  <c r="AJ176" i="3" s="1"/>
  <c r="M176" i="3"/>
  <c r="AE176" i="3" s="1"/>
  <c r="K176" i="3"/>
  <c r="AI175" i="3"/>
  <c r="AG175" i="3"/>
  <c r="AF175" i="3"/>
  <c r="AA175" i="3"/>
  <c r="X175" i="3"/>
  <c r="M175" i="3"/>
  <c r="AE175" i="3" s="1"/>
  <c r="K175" i="3"/>
  <c r="AI174" i="3"/>
  <c r="AG174" i="3"/>
  <c r="AF174" i="3"/>
  <c r="AA174" i="3"/>
  <c r="AD174" i="3" s="1"/>
  <c r="X174" i="3"/>
  <c r="AJ174" i="3" s="1"/>
  <c r="M174" i="3"/>
  <c r="AE174" i="3" s="1"/>
  <c r="K174" i="3"/>
  <c r="AI173" i="3"/>
  <c r="AG173" i="3"/>
  <c r="AF173" i="3"/>
  <c r="AA173" i="3"/>
  <c r="AD173" i="3" s="1"/>
  <c r="X173" i="3"/>
  <c r="M173" i="3"/>
  <c r="AE173" i="3" s="1"/>
  <c r="K173" i="3"/>
  <c r="AI172" i="3"/>
  <c r="AG172" i="3"/>
  <c r="AF172" i="3"/>
  <c r="AA172" i="3"/>
  <c r="X172" i="3"/>
  <c r="M172" i="3"/>
  <c r="K172" i="3"/>
  <c r="AI171" i="3"/>
  <c r="AG171" i="3"/>
  <c r="AF171" i="3"/>
  <c r="AA171" i="3"/>
  <c r="AD171" i="3" s="1"/>
  <c r="X171" i="3"/>
  <c r="M171" i="3"/>
  <c r="K171" i="3"/>
  <c r="AI170" i="3"/>
  <c r="AG170" i="3"/>
  <c r="AF170" i="3"/>
  <c r="AA170" i="3"/>
  <c r="X170" i="3"/>
  <c r="M170" i="3"/>
  <c r="K170" i="3"/>
  <c r="AI169" i="3"/>
  <c r="AG169" i="3"/>
  <c r="AF169" i="3"/>
  <c r="AA169" i="3"/>
  <c r="AD169" i="3" s="1"/>
  <c r="X169" i="3"/>
  <c r="M169" i="3"/>
  <c r="AE169" i="3" s="1"/>
  <c r="K169" i="3"/>
  <c r="AI168" i="3"/>
  <c r="AG168" i="3"/>
  <c r="AF168" i="3"/>
  <c r="AA168" i="3"/>
  <c r="X168" i="3"/>
  <c r="AJ168" i="3" s="1"/>
  <c r="M168" i="3"/>
  <c r="AE168" i="3" s="1"/>
  <c r="K168" i="3"/>
  <c r="AI167" i="3"/>
  <c r="AG167" i="3"/>
  <c r="AF167" i="3"/>
  <c r="AA167" i="3"/>
  <c r="AD167" i="3" s="1"/>
  <c r="X167" i="3"/>
  <c r="M167" i="3"/>
  <c r="K167" i="3"/>
  <c r="AI166" i="3"/>
  <c r="AG166" i="3"/>
  <c r="AF166" i="3"/>
  <c r="AA166" i="3"/>
  <c r="B169" i="2" s="1"/>
  <c r="X166" i="3"/>
  <c r="M166" i="3"/>
  <c r="AE166" i="3" s="1"/>
  <c r="K166" i="3"/>
  <c r="AI165" i="3"/>
  <c r="AG165" i="3"/>
  <c r="AF165" i="3"/>
  <c r="AA165" i="3"/>
  <c r="X165" i="3"/>
  <c r="M165" i="3"/>
  <c r="K165" i="3"/>
  <c r="AI164" i="3"/>
  <c r="AG164" i="3"/>
  <c r="AF164" i="3"/>
  <c r="AA164" i="3"/>
  <c r="X164" i="3"/>
  <c r="AJ164" i="3" s="1"/>
  <c r="M164" i="3"/>
  <c r="K164" i="3"/>
  <c r="AI163" i="3"/>
  <c r="AG163" i="3"/>
  <c r="AF163" i="3"/>
  <c r="AA163" i="3"/>
  <c r="AD163" i="3" s="1"/>
  <c r="X163" i="3"/>
  <c r="AJ163" i="3" s="1"/>
  <c r="M163" i="3"/>
  <c r="AE163" i="3" s="1"/>
  <c r="K163" i="3"/>
  <c r="AI162" i="3"/>
  <c r="AG162" i="3"/>
  <c r="AF162" i="3"/>
  <c r="AA162" i="3"/>
  <c r="X162" i="3"/>
  <c r="M162" i="3"/>
  <c r="K162" i="3"/>
  <c r="AI161" i="3"/>
  <c r="AG161" i="3"/>
  <c r="AF161" i="3"/>
  <c r="AA161" i="3"/>
  <c r="AD161" i="3" s="1"/>
  <c r="X161" i="3"/>
  <c r="M164" i="2" s="1"/>
  <c r="M161" i="3"/>
  <c r="AE161" i="3" s="1"/>
  <c r="K161" i="3"/>
  <c r="AI160" i="3"/>
  <c r="AG160" i="3"/>
  <c r="AF160" i="3"/>
  <c r="AA160" i="3"/>
  <c r="AD160" i="3" s="1"/>
  <c r="X160" i="3"/>
  <c r="M160" i="3"/>
  <c r="AE160" i="3" s="1"/>
  <c r="K160" i="3"/>
  <c r="AI159" i="3"/>
  <c r="AG159" i="3"/>
  <c r="AF159" i="3"/>
  <c r="AA159" i="3"/>
  <c r="X159" i="3"/>
  <c r="M159" i="3"/>
  <c r="K159" i="3"/>
  <c r="AI158" i="3"/>
  <c r="AG158" i="3"/>
  <c r="AF158" i="3"/>
  <c r="AA158" i="3"/>
  <c r="AD158" i="3" s="1"/>
  <c r="X158" i="3"/>
  <c r="AJ158" i="3" s="1"/>
  <c r="M158" i="3"/>
  <c r="K158" i="3"/>
  <c r="AI157" i="3"/>
  <c r="AG157" i="3"/>
  <c r="AF157" i="3"/>
  <c r="AA157" i="3"/>
  <c r="AD157" i="3" s="1"/>
  <c r="X157" i="3"/>
  <c r="AJ157" i="3" s="1"/>
  <c r="M157" i="3"/>
  <c r="AE157" i="3" s="1"/>
  <c r="K157" i="3"/>
  <c r="AI156" i="3"/>
  <c r="AG156" i="3"/>
  <c r="AF156" i="3"/>
  <c r="AA156" i="3"/>
  <c r="X156" i="3"/>
  <c r="M156" i="3"/>
  <c r="K156" i="3"/>
  <c r="AI155" i="3"/>
  <c r="AG155" i="3"/>
  <c r="AF155" i="3"/>
  <c r="AA155" i="3"/>
  <c r="AD155" i="3" s="1"/>
  <c r="X155" i="3"/>
  <c r="M155" i="3"/>
  <c r="K155" i="3"/>
  <c r="AI154" i="3"/>
  <c r="AG154" i="3"/>
  <c r="AF154" i="3"/>
  <c r="AA154" i="3"/>
  <c r="AD154" i="3" s="1"/>
  <c r="X154" i="3"/>
  <c r="M154" i="3"/>
  <c r="K154" i="3"/>
  <c r="AI153" i="3"/>
  <c r="AG153" i="3"/>
  <c r="AF153" i="3"/>
  <c r="AA153" i="3"/>
  <c r="X153" i="3"/>
  <c r="M153" i="3"/>
  <c r="K153" i="3"/>
  <c r="AI152" i="3"/>
  <c r="AG152" i="3"/>
  <c r="AF152" i="3"/>
  <c r="AA152" i="3"/>
  <c r="X152" i="3"/>
  <c r="AJ152" i="3" s="1"/>
  <c r="M152" i="3"/>
  <c r="AE152" i="3" s="1"/>
  <c r="K152" i="3"/>
  <c r="AI151" i="3"/>
  <c r="AG151" i="3"/>
  <c r="AF151" i="3"/>
  <c r="AA151" i="3"/>
  <c r="AD151" i="3" s="1"/>
  <c r="X151" i="3"/>
  <c r="AJ151" i="3" s="1"/>
  <c r="M151" i="3"/>
  <c r="K151" i="3"/>
  <c r="AI150" i="3"/>
  <c r="AG150" i="3"/>
  <c r="AF150" i="3"/>
  <c r="AA150" i="3"/>
  <c r="X150" i="3"/>
  <c r="M150" i="3"/>
  <c r="K150" i="3"/>
  <c r="AI149" i="3"/>
  <c r="AG149" i="3"/>
  <c r="AF149" i="3"/>
  <c r="AA149" i="3"/>
  <c r="AD149" i="3" s="1"/>
  <c r="X149" i="3"/>
  <c r="AJ149" i="3" s="1"/>
  <c r="M149" i="3"/>
  <c r="AE149" i="3" s="1"/>
  <c r="K149" i="3"/>
  <c r="AI148" i="3"/>
  <c r="AG148" i="3"/>
  <c r="AF148" i="3"/>
  <c r="AA148" i="3"/>
  <c r="AD148" i="3" s="1"/>
  <c r="X148" i="3"/>
  <c r="M148" i="3"/>
  <c r="C151" i="2" s="1"/>
  <c r="K148" i="3"/>
  <c r="AI147" i="3"/>
  <c r="AG147" i="3"/>
  <c r="AF147" i="3"/>
  <c r="AA147" i="3"/>
  <c r="AD147" i="3" s="1"/>
  <c r="X147" i="3"/>
  <c r="AJ147" i="3" s="1"/>
  <c r="M147" i="3"/>
  <c r="K147" i="3"/>
  <c r="AI146" i="3"/>
  <c r="AG146" i="3"/>
  <c r="AF146" i="3"/>
  <c r="AA146" i="3"/>
  <c r="X146" i="3"/>
  <c r="AJ146" i="3" s="1"/>
  <c r="M146" i="3"/>
  <c r="AE146" i="3" s="1"/>
  <c r="K146" i="3"/>
  <c r="AI145" i="3"/>
  <c r="AG145" i="3"/>
  <c r="AF145" i="3"/>
  <c r="AA145" i="3"/>
  <c r="X145" i="3"/>
  <c r="AJ145" i="3" s="1"/>
  <c r="M145" i="3"/>
  <c r="AE145" i="3" s="1"/>
  <c r="K145" i="3"/>
  <c r="AI144" i="3"/>
  <c r="AG144" i="3"/>
  <c r="AF144" i="3"/>
  <c r="AA144" i="3"/>
  <c r="X144" i="3"/>
  <c r="AJ144" i="3" s="1"/>
  <c r="M144" i="3"/>
  <c r="C147" i="2" s="1"/>
  <c r="K144" i="3"/>
  <c r="AI143" i="3"/>
  <c r="AG143" i="3"/>
  <c r="AF143" i="3"/>
  <c r="AA143" i="3"/>
  <c r="AD143" i="3" s="1"/>
  <c r="X143" i="3"/>
  <c r="AJ143" i="3" s="1"/>
  <c r="M143" i="3"/>
  <c r="K143" i="3"/>
  <c r="AI142" i="3"/>
  <c r="AG142" i="3"/>
  <c r="AF142" i="3"/>
  <c r="AA142" i="3"/>
  <c r="AD142" i="3" s="1"/>
  <c r="X142" i="3"/>
  <c r="M142" i="3"/>
  <c r="AE142" i="3" s="1"/>
  <c r="K142" i="3"/>
  <c r="AI141" i="3"/>
  <c r="AG141" i="3"/>
  <c r="AF141" i="3"/>
  <c r="AA141" i="3"/>
  <c r="X141" i="3"/>
  <c r="M141" i="3"/>
  <c r="AE141" i="3" s="1"/>
  <c r="K141" i="3"/>
  <c r="AI140" i="3"/>
  <c r="AG140" i="3"/>
  <c r="AF140" i="3"/>
  <c r="AA140" i="3"/>
  <c r="AD140" i="3" s="1"/>
  <c r="X140" i="3"/>
  <c r="AJ140" i="3" s="1"/>
  <c r="M140" i="3"/>
  <c r="K140" i="3"/>
  <c r="AI139" i="3"/>
  <c r="AG139" i="3"/>
  <c r="AF139" i="3"/>
  <c r="AA139" i="3"/>
  <c r="X139" i="3"/>
  <c r="AJ139" i="3" s="1"/>
  <c r="M139" i="3"/>
  <c r="K139" i="3"/>
  <c r="AI138" i="3"/>
  <c r="AG138" i="3"/>
  <c r="AF138" i="3"/>
  <c r="AA138" i="3"/>
  <c r="AD138" i="3" s="1"/>
  <c r="X138" i="3"/>
  <c r="AJ138" i="3" s="1"/>
  <c r="M138" i="3"/>
  <c r="K138" i="3"/>
  <c r="AI137" i="3"/>
  <c r="AG137" i="3"/>
  <c r="AF137" i="3"/>
  <c r="AA137" i="3"/>
  <c r="AD137" i="3" s="1"/>
  <c r="X137" i="3"/>
  <c r="M137" i="3"/>
  <c r="AE137" i="3" s="1"/>
  <c r="K137" i="3"/>
  <c r="AI136" i="3"/>
  <c r="AG136" i="3"/>
  <c r="AF136" i="3"/>
  <c r="AA136" i="3"/>
  <c r="X136" i="3"/>
  <c r="AJ136" i="3" s="1"/>
  <c r="M136" i="3"/>
  <c r="AE136" i="3" s="1"/>
  <c r="K136" i="3"/>
  <c r="AI135" i="3"/>
  <c r="AG135" i="3"/>
  <c r="AF135" i="3"/>
  <c r="AA135" i="3"/>
  <c r="X135" i="3"/>
  <c r="AJ135" i="3" s="1"/>
  <c r="M135" i="3"/>
  <c r="K135" i="3"/>
  <c r="AI134" i="3"/>
  <c r="AG134" i="3"/>
  <c r="AF134" i="3"/>
  <c r="AA134" i="3"/>
  <c r="X134" i="3"/>
  <c r="M134" i="3"/>
  <c r="AE134" i="3" s="1"/>
  <c r="K134" i="3"/>
  <c r="AI133" i="3"/>
  <c r="AG133" i="3"/>
  <c r="AF133" i="3"/>
  <c r="AA133" i="3"/>
  <c r="AD133" i="3" s="1"/>
  <c r="X133" i="3"/>
  <c r="AJ133" i="3" s="1"/>
  <c r="M133" i="3"/>
  <c r="AE133" i="3" s="1"/>
  <c r="K133" i="3"/>
  <c r="AI132" i="3"/>
  <c r="AG132" i="3"/>
  <c r="AF132" i="3"/>
  <c r="AA132" i="3"/>
  <c r="B49" i="2" s="1"/>
  <c r="X132" i="3"/>
  <c r="AJ132" i="3" s="1"/>
  <c r="M132" i="3"/>
  <c r="K132" i="3"/>
  <c r="AI131" i="3"/>
  <c r="AG131" i="3"/>
  <c r="AF131" i="3"/>
  <c r="AA131" i="3"/>
  <c r="AD131" i="3" s="1"/>
  <c r="X131" i="3"/>
  <c r="AJ131" i="3" s="1"/>
  <c r="M131" i="3"/>
  <c r="K131" i="3"/>
  <c r="AI130" i="3"/>
  <c r="AG130" i="3"/>
  <c r="AF130" i="3"/>
  <c r="AA130" i="3"/>
  <c r="AD130" i="3" s="1"/>
  <c r="X130" i="3"/>
  <c r="AJ130" i="3" s="1"/>
  <c r="M130" i="3"/>
  <c r="K130" i="3"/>
  <c r="AI129" i="3"/>
  <c r="AG129" i="3"/>
  <c r="AF129" i="3"/>
  <c r="AA129" i="3"/>
  <c r="X129" i="3"/>
  <c r="M129" i="3"/>
  <c r="AE129" i="3" s="1"/>
  <c r="K129" i="3"/>
  <c r="AI128" i="3"/>
  <c r="AG128" i="3"/>
  <c r="AF128" i="3"/>
  <c r="AA128" i="3"/>
  <c r="X128" i="3"/>
  <c r="AJ128" i="3" s="1"/>
  <c r="M128" i="3"/>
  <c r="AE128" i="3" s="1"/>
  <c r="K128" i="3"/>
  <c r="AI127" i="3"/>
  <c r="AG127" i="3"/>
  <c r="AF127" i="3"/>
  <c r="AA127" i="3"/>
  <c r="X127" i="3"/>
  <c r="AJ127" i="3" s="1"/>
  <c r="M127" i="3"/>
  <c r="K127" i="3"/>
  <c r="AI126" i="3"/>
  <c r="AG126" i="3"/>
  <c r="AF126" i="3"/>
  <c r="AA126" i="3"/>
  <c r="X126" i="3"/>
  <c r="M126" i="3"/>
  <c r="K126" i="3"/>
  <c r="AI125" i="3"/>
  <c r="AG125" i="3"/>
  <c r="AF125" i="3"/>
  <c r="AA125" i="3"/>
  <c r="AD125" i="3" s="1"/>
  <c r="X125" i="3"/>
  <c r="M125" i="3"/>
  <c r="K125" i="3"/>
  <c r="AI124" i="3"/>
  <c r="AG124" i="3"/>
  <c r="AF124" i="3"/>
  <c r="AA124" i="3"/>
  <c r="AD124" i="3" s="1"/>
  <c r="X124" i="3"/>
  <c r="AJ124" i="3" s="1"/>
  <c r="M124" i="3"/>
  <c r="AE124" i="3" s="1"/>
  <c r="K124" i="3"/>
  <c r="AI123" i="3"/>
  <c r="AG123" i="3"/>
  <c r="AF123" i="3"/>
  <c r="AA123" i="3"/>
  <c r="X123" i="3"/>
  <c r="M123" i="3"/>
  <c r="AE123" i="3" s="1"/>
  <c r="K123" i="3"/>
  <c r="AI122" i="3"/>
  <c r="AG122" i="3"/>
  <c r="AF122" i="3"/>
  <c r="AA122" i="3"/>
  <c r="X122" i="3"/>
  <c r="M122" i="3"/>
  <c r="K122" i="3"/>
  <c r="AI121" i="3"/>
  <c r="AG121" i="3"/>
  <c r="AF121" i="3"/>
  <c r="AA121" i="3"/>
  <c r="X121" i="3"/>
  <c r="M121" i="3"/>
  <c r="AE121" i="3" s="1"/>
  <c r="K121" i="3"/>
  <c r="AI120" i="3"/>
  <c r="AG120" i="3"/>
  <c r="AF120" i="3"/>
  <c r="AA120" i="3"/>
  <c r="X120" i="3"/>
  <c r="M120" i="3"/>
  <c r="AE120" i="3" s="1"/>
  <c r="K120" i="3"/>
  <c r="AI119" i="3"/>
  <c r="AG119" i="3"/>
  <c r="AF119" i="3"/>
  <c r="AA119" i="3"/>
  <c r="AD119" i="3" s="1"/>
  <c r="X119" i="3"/>
  <c r="AJ119" i="3" s="1"/>
  <c r="M119" i="3"/>
  <c r="AE119" i="3" s="1"/>
  <c r="K119" i="3"/>
  <c r="AI118" i="3"/>
  <c r="AG118" i="3"/>
  <c r="AF118" i="3"/>
  <c r="AA118" i="3"/>
  <c r="X118" i="3"/>
  <c r="M118" i="3"/>
  <c r="AE118" i="3" s="1"/>
  <c r="K118" i="3"/>
  <c r="AI117" i="3"/>
  <c r="AG117" i="3"/>
  <c r="AF117" i="3"/>
  <c r="AA117" i="3"/>
  <c r="X117" i="3"/>
  <c r="M117" i="3"/>
  <c r="AE117" i="3" s="1"/>
  <c r="K117" i="3"/>
  <c r="AI116" i="3"/>
  <c r="AG116" i="3"/>
  <c r="AF116" i="3"/>
  <c r="AA116" i="3"/>
  <c r="AD116" i="3" s="1"/>
  <c r="X116" i="3"/>
  <c r="AJ116" i="3" s="1"/>
  <c r="M116" i="3"/>
  <c r="K116" i="3"/>
  <c r="AI115" i="3"/>
  <c r="AG115" i="3"/>
  <c r="AF115" i="3"/>
  <c r="AA115" i="3"/>
  <c r="B56" i="2" s="1"/>
  <c r="X115" i="3"/>
  <c r="AJ115" i="3" s="1"/>
  <c r="M115" i="3"/>
  <c r="AE115" i="3" s="1"/>
  <c r="K115" i="3"/>
  <c r="AI114" i="3"/>
  <c r="AG114" i="3"/>
  <c r="AF114" i="3"/>
  <c r="AA114" i="3"/>
  <c r="X114" i="3"/>
  <c r="AJ114" i="3" s="1"/>
  <c r="M114" i="3"/>
  <c r="AE114" i="3" s="1"/>
  <c r="K114" i="3"/>
  <c r="AI113" i="3"/>
  <c r="AG113" i="3"/>
  <c r="AF113" i="3"/>
  <c r="AA113" i="3"/>
  <c r="X113" i="3"/>
  <c r="M113" i="3"/>
  <c r="AE113" i="3" s="1"/>
  <c r="K113" i="3"/>
  <c r="AI112" i="3"/>
  <c r="AG112" i="3"/>
  <c r="AF112" i="3"/>
  <c r="AA112" i="3"/>
  <c r="X112" i="3"/>
  <c r="AJ112" i="3" s="1"/>
  <c r="M112" i="3"/>
  <c r="AE112" i="3" s="1"/>
  <c r="K112" i="3"/>
  <c r="AI111" i="3"/>
  <c r="AG111" i="3"/>
  <c r="AF111" i="3"/>
  <c r="AA111" i="3"/>
  <c r="AD111" i="3" s="1"/>
  <c r="X111" i="3"/>
  <c r="M111" i="3"/>
  <c r="AE111" i="3" s="1"/>
  <c r="K111" i="3"/>
  <c r="AI110" i="3"/>
  <c r="AG110" i="3"/>
  <c r="AF110" i="3"/>
  <c r="AA110" i="3"/>
  <c r="AD110" i="3" s="1"/>
  <c r="X110" i="3"/>
  <c r="AJ110" i="3" s="1"/>
  <c r="M110" i="3"/>
  <c r="K110" i="3"/>
  <c r="AI109" i="3"/>
  <c r="AG109" i="3"/>
  <c r="AF109" i="3"/>
  <c r="AA109" i="3"/>
  <c r="X109" i="3"/>
  <c r="AJ109" i="3" s="1"/>
  <c r="M109" i="3"/>
  <c r="K109" i="3"/>
  <c r="AI108" i="3"/>
  <c r="AG108" i="3"/>
  <c r="AF108" i="3"/>
  <c r="AA108" i="3"/>
  <c r="AD108" i="3" s="1"/>
  <c r="X108" i="3"/>
  <c r="M108" i="3"/>
  <c r="AE108" i="3" s="1"/>
  <c r="K108" i="3"/>
  <c r="AI107" i="3"/>
  <c r="AG107" i="3"/>
  <c r="AF107" i="3"/>
  <c r="AA107" i="3"/>
  <c r="X107" i="3"/>
  <c r="M107" i="3"/>
  <c r="AE107" i="3" s="1"/>
  <c r="K107" i="3"/>
  <c r="AI106" i="3"/>
  <c r="AG106" i="3"/>
  <c r="AF106" i="3"/>
  <c r="AA106" i="3"/>
  <c r="X106" i="3"/>
  <c r="AJ106" i="3" s="1"/>
  <c r="M106" i="3"/>
  <c r="AE106" i="3" s="1"/>
  <c r="K106" i="3"/>
  <c r="AI105" i="3"/>
  <c r="AG105" i="3"/>
  <c r="AF105" i="3"/>
  <c r="AA105" i="3"/>
  <c r="AD105" i="3" s="1"/>
  <c r="X105" i="3"/>
  <c r="AJ105" i="3" s="1"/>
  <c r="M105" i="3"/>
  <c r="AE105" i="3" s="1"/>
  <c r="K105" i="3"/>
  <c r="AI104" i="3"/>
  <c r="AG104" i="3"/>
  <c r="AF104" i="3"/>
  <c r="AA104" i="3"/>
  <c r="AD104" i="3" s="1"/>
  <c r="X104" i="3"/>
  <c r="AJ104" i="3" s="1"/>
  <c r="M104" i="3"/>
  <c r="K104" i="3"/>
  <c r="AI103" i="3"/>
  <c r="AG103" i="3"/>
  <c r="AF103" i="3"/>
  <c r="AA103" i="3"/>
  <c r="AD103" i="3" s="1"/>
  <c r="X103" i="3"/>
  <c r="M103" i="3"/>
  <c r="AE103" i="3" s="1"/>
  <c r="K103" i="3"/>
  <c r="AI102" i="3"/>
  <c r="AG102" i="3"/>
  <c r="AF102" i="3"/>
  <c r="AA102" i="3"/>
  <c r="X102" i="3"/>
  <c r="AJ102" i="3" s="1"/>
  <c r="M102" i="3"/>
  <c r="K102" i="3"/>
  <c r="AI101" i="3"/>
  <c r="AG101" i="3"/>
  <c r="AF101" i="3"/>
  <c r="AA101" i="3"/>
  <c r="X101" i="3"/>
  <c r="AJ101" i="3" s="1"/>
  <c r="M101" i="3"/>
  <c r="C118" i="2" s="1"/>
  <c r="K101" i="3"/>
  <c r="AI100" i="3"/>
  <c r="AG100" i="3"/>
  <c r="AF100" i="3"/>
  <c r="AA100" i="3"/>
  <c r="AD100" i="3" s="1"/>
  <c r="X100" i="3"/>
  <c r="AJ100" i="3" s="1"/>
  <c r="M100" i="3"/>
  <c r="K100" i="3"/>
  <c r="AI99" i="3"/>
  <c r="AG99" i="3"/>
  <c r="AF99" i="3"/>
  <c r="AA99" i="3"/>
  <c r="AD99" i="3" s="1"/>
  <c r="X99" i="3"/>
  <c r="AJ99" i="3" s="1"/>
  <c r="M99" i="3"/>
  <c r="AE99" i="3" s="1"/>
  <c r="K99" i="3"/>
  <c r="AI98" i="3"/>
  <c r="AG98" i="3"/>
  <c r="AF98" i="3"/>
  <c r="AA98" i="3"/>
  <c r="B39" i="2" s="1"/>
  <c r="X98" i="3"/>
  <c r="M98" i="3"/>
  <c r="AE98" i="3" s="1"/>
  <c r="K98" i="3"/>
  <c r="AI97" i="3"/>
  <c r="AG97" i="3"/>
  <c r="AF97" i="3"/>
  <c r="AA97" i="3"/>
  <c r="AD97" i="3" s="1"/>
  <c r="X97" i="3"/>
  <c r="M97" i="3"/>
  <c r="AE97" i="3" s="1"/>
  <c r="K97" i="3"/>
  <c r="AI96" i="3"/>
  <c r="AG96" i="3"/>
  <c r="AF96" i="3"/>
  <c r="AA96" i="3"/>
  <c r="X96" i="3"/>
  <c r="M96" i="3"/>
  <c r="AE96" i="3" s="1"/>
  <c r="K96" i="3"/>
  <c r="AI95" i="3"/>
  <c r="AG95" i="3"/>
  <c r="AF95" i="3"/>
  <c r="AA95" i="3"/>
  <c r="X95" i="3"/>
  <c r="M95" i="3"/>
  <c r="K95" i="3"/>
  <c r="AI94" i="3"/>
  <c r="AG94" i="3"/>
  <c r="AF94" i="3"/>
  <c r="AA94" i="3"/>
  <c r="X94" i="3"/>
  <c r="AJ94" i="3" s="1"/>
  <c r="M94" i="3"/>
  <c r="AE94" i="3" s="1"/>
  <c r="K94" i="3"/>
  <c r="AI93" i="3"/>
  <c r="AG93" i="3"/>
  <c r="AF93" i="3"/>
  <c r="AA93" i="3"/>
  <c r="AD93" i="3" s="1"/>
  <c r="X93" i="3"/>
  <c r="M93" i="3"/>
  <c r="AE93" i="3" s="1"/>
  <c r="K93" i="3"/>
  <c r="AI92" i="3"/>
  <c r="AG92" i="3"/>
  <c r="AF92" i="3"/>
  <c r="AA92" i="3"/>
  <c r="AD92" i="3" s="1"/>
  <c r="X92" i="3"/>
  <c r="AJ92" i="3" s="1"/>
  <c r="M92" i="3"/>
  <c r="AE92" i="3" s="1"/>
  <c r="K92" i="3"/>
  <c r="AI91" i="3"/>
  <c r="AG91" i="3"/>
  <c r="AF91" i="3"/>
  <c r="AA91" i="3"/>
  <c r="X91" i="3"/>
  <c r="AJ91" i="3" s="1"/>
  <c r="M91" i="3"/>
  <c r="K91" i="3"/>
  <c r="AI90" i="3"/>
  <c r="AG90" i="3"/>
  <c r="AF90" i="3"/>
  <c r="AA90" i="3"/>
  <c r="AD90" i="3" s="1"/>
  <c r="X90" i="3"/>
  <c r="AJ90" i="3" s="1"/>
  <c r="M90" i="3"/>
  <c r="K90" i="3"/>
  <c r="AI89" i="3"/>
  <c r="AG89" i="3"/>
  <c r="AF89" i="3"/>
  <c r="AA89" i="3"/>
  <c r="AD89" i="3" s="1"/>
  <c r="X89" i="3"/>
  <c r="M89" i="3"/>
  <c r="K89" i="3"/>
  <c r="AI88" i="3"/>
  <c r="AG88" i="3"/>
  <c r="AF88" i="3"/>
  <c r="AA88" i="3"/>
  <c r="B105" i="2" s="1"/>
  <c r="X88" i="3"/>
  <c r="AJ88" i="3" s="1"/>
  <c r="M88" i="3"/>
  <c r="K88" i="3"/>
  <c r="AI87" i="3"/>
  <c r="AG87" i="3"/>
  <c r="AF87" i="3"/>
  <c r="AA87" i="3"/>
  <c r="AD87" i="3" s="1"/>
  <c r="X87" i="3"/>
  <c r="M87" i="3"/>
  <c r="AE87" i="3" s="1"/>
  <c r="K87" i="3"/>
  <c r="AI86" i="3"/>
  <c r="AG86" i="3"/>
  <c r="AF86" i="3"/>
  <c r="AA86" i="3"/>
  <c r="AD86" i="3" s="1"/>
  <c r="X86" i="3"/>
  <c r="M86" i="3"/>
  <c r="AE86" i="3" s="1"/>
  <c r="K86" i="3"/>
  <c r="AI85" i="3"/>
  <c r="AG85" i="3"/>
  <c r="AF85" i="3"/>
  <c r="AA85" i="3"/>
  <c r="X85" i="3"/>
  <c r="AJ85" i="3" s="1"/>
  <c r="M85" i="3"/>
  <c r="AE85" i="3" s="1"/>
  <c r="K85" i="3"/>
  <c r="AI84" i="3"/>
  <c r="AG84" i="3"/>
  <c r="AF84" i="3"/>
  <c r="AA84" i="3"/>
  <c r="AD84" i="3" s="1"/>
  <c r="X84" i="3"/>
  <c r="AJ84" i="3" s="1"/>
  <c r="M84" i="3"/>
  <c r="AE84" i="3" s="1"/>
  <c r="K84" i="3"/>
  <c r="AI83" i="3"/>
  <c r="AG83" i="3"/>
  <c r="AF83" i="3"/>
  <c r="AA83" i="3"/>
  <c r="AD83" i="3" s="1"/>
  <c r="X83" i="3"/>
  <c r="M83" i="3"/>
  <c r="K83" i="3"/>
  <c r="AI82" i="3"/>
  <c r="AG82" i="3"/>
  <c r="AF82" i="3"/>
  <c r="AA82" i="3"/>
  <c r="AD82" i="3" s="1"/>
  <c r="X82" i="3"/>
  <c r="M82" i="3"/>
  <c r="AE82" i="3" s="1"/>
  <c r="K82" i="3"/>
  <c r="AI81" i="3"/>
  <c r="AG81" i="3"/>
  <c r="AF81" i="3"/>
  <c r="AA81" i="3"/>
  <c r="X81" i="3"/>
  <c r="M81" i="3"/>
  <c r="K81" i="3"/>
  <c r="AI80" i="3"/>
  <c r="AG80" i="3"/>
  <c r="AF80" i="3"/>
  <c r="AA80" i="3"/>
  <c r="X80" i="3"/>
  <c r="M80" i="3"/>
  <c r="K80" i="3"/>
  <c r="AI79" i="3"/>
  <c r="AG79" i="3"/>
  <c r="AF79" i="3"/>
  <c r="X79" i="3"/>
  <c r="AA79" i="3" s="1"/>
  <c r="AD79" i="3" s="1"/>
  <c r="M79" i="3"/>
  <c r="AE79" i="3" s="1"/>
  <c r="K79" i="3"/>
  <c r="AI78" i="3"/>
  <c r="AG78" i="3"/>
  <c r="AF78" i="3"/>
  <c r="AA78" i="3"/>
  <c r="X78" i="3"/>
  <c r="M78" i="3"/>
  <c r="AE78" i="3" s="1"/>
  <c r="K78" i="3"/>
  <c r="AI77" i="3"/>
  <c r="AG77" i="3"/>
  <c r="AF77" i="3"/>
  <c r="AA77" i="3"/>
  <c r="X77" i="3"/>
  <c r="AJ77" i="3" s="1"/>
  <c r="M77" i="3"/>
  <c r="AE77" i="3" s="1"/>
  <c r="K77" i="3"/>
  <c r="AI76" i="3"/>
  <c r="AG76" i="3"/>
  <c r="AF76" i="3"/>
  <c r="AA76" i="3"/>
  <c r="X76" i="3"/>
  <c r="AJ76" i="3" s="1"/>
  <c r="M76" i="3"/>
  <c r="K76" i="3"/>
  <c r="AI75" i="3"/>
  <c r="AG75" i="3"/>
  <c r="AF75" i="3"/>
  <c r="AA75" i="3"/>
  <c r="AD75" i="3" s="1"/>
  <c r="X75" i="3"/>
  <c r="M75" i="3"/>
  <c r="K75" i="3"/>
  <c r="AI74" i="3"/>
  <c r="AG74" i="3"/>
  <c r="AF74" i="3"/>
  <c r="AA74" i="3"/>
  <c r="X74" i="3"/>
  <c r="M74" i="3"/>
  <c r="AE74" i="3" s="1"/>
  <c r="K74" i="3"/>
  <c r="AI73" i="3"/>
  <c r="AG73" i="3"/>
  <c r="AF73" i="3"/>
  <c r="AA73" i="3"/>
  <c r="X73" i="3"/>
  <c r="M73" i="3"/>
  <c r="K73" i="3"/>
  <c r="AI72" i="3"/>
  <c r="AG72" i="3"/>
  <c r="AF72" i="3"/>
  <c r="AA72" i="3"/>
  <c r="AD72" i="3" s="1"/>
  <c r="X72" i="3"/>
  <c r="M72" i="3"/>
  <c r="AE72" i="3" s="1"/>
  <c r="K72" i="3"/>
  <c r="AI71" i="3"/>
  <c r="AG71" i="3"/>
  <c r="AF71" i="3"/>
  <c r="AA71" i="3"/>
  <c r="X71" i="3"/>
  <c r="M71" i="3"/>
  <c r="AE71" i="3" s="1"/>
  <c r="K71" i="3"/>
  <c r="AI70" i="3"/>
  <c r="AG70" i="3"/>
  <c r="AF70" i="3"/>
  <c r="AA70" i="3"/>
  <c r="X70" i="3"/>
  <c r="AJ70" i="3" s="1"/>
  <c r="M70" i="3"/>
  <c r="K70" i="3"/>
  <c r="AI69" i="3"/>
  <c r="AG69" i="3"/>
  <c r="AF69" i="3"/>
  <c r="AA69" i="3"/>
  <c r="AD69" i="3" s="1"/>
  <c r="X69" i="3"/>
  <c r="AJ69" i="3" s="1"/>
  <c r="M69" i="3"/>
  <c r="K69" i="3"/>
  <c r="AI68" i="3"/>
  <c r="AG68" i="3"/>
  <c r="AF68" i="3"/>
  <c r="AA68" i="3"/>
  <c r="X68" i="3"/>
  <c r="M68" i="3"/>
  <c r="K68" i="3"/>
  <c r="AI67" i="3"/>
  <c r="AG67" i="3"/>
  <c r="AF67" i="3"/>
  <c r="AA67" i="3"/>
  <c r="AD67" i="3" s="1"/>
  <c r="X67" i="3"/>
  <c r="AJ67" i="3" s="1"/>
  <c r="M67" i="3"/>
  <c r="AE67" i="3" s="1"/>
  <c r="K67" i="3"/>
  <c r="AI66" i="3"/>
  <c r="AG66" i="3"/>
  <c r="AF66" i="3"/>
  <c r="AA66" i="3"/>
  <c r="B84" i="2" s="1"/>
  <c r="X66" i="3"/>
  <c r="AJ66" i="3" s="1"/>
  <c r="M66" i="3"/>
  <c r="K66" i="3"/>
  <c r="AI65" i="3"/>
  <c r="AG65" i="3"/>
  <c r="AF65" i="3"/>
  <c r="AA65" i="3"/>
  <c r="X65" i="3"/>
  <c r="AJ65" i="3" s="1"/>
  <c r="M65" i="3"/>
  <c r="K65" i="3"/>
  <c r="AI64" i="3"/>
  <c r="AG64" i="3"/>
  <c r="AF64" i="3"/>
  <c r="AA64" i="3"/>
  <c r="AD64" i="3" s="1"/>
  <c r="X64" i="3"/>
  <c r="AJ64" i="3" s="1"/>
  <c r="M64" i="3"/>
  <c r="AE64" i="3" s="1"/>
  <c r="K64" i="3"/>
  <c r="AI63" i="3"/>
  <c r="AG63" i="3"/>
  <c r="AF63" i="3"/>
  <c r="AA63" i="3"/>
  <c r="X63" i="3"/>
  <c r="AJ63" i="3" s="1"/>
  <c r="M63" i="3"/>
  <c r="K63" i="3"/>
  <c r="AI62" i="3"/>
  <c r="AG62" i="3"/>
  <c r="AF62" i="3"/>
  <c r="AA62" i="3"/>
  <c r="X62" i="3"/>
  <c r="M62" i="3"/>
  <c r="AE62" i="3" s="1"/>
  <c r="K62" i="3"/>
  <c r="AI61" i="3"/>
  <c r="AG61" i="3"/>
  <c r="AF61" i="3"/>
  <c r="AA61" i="3"/>
  <c r="X61" i="3"/>
  <c r="AJ61" i="3" s="1"/>
  <c r="M61" i="3"/>
  <c r="K61" i="3"/>
  <c r="AI60" i="3"/>
  <c r="AG60" i="3"/>
  <c r="AF60" i="3"/>
  <c r="AA60" i="3"/>
  <c r="AD60" i="3" s="1"/>
  <c r="X60" i="3"/>
  <c r="AJ60" i="3" s="1"/>
  <c r="M60" i="3"/>
  <c r="AE60" i="3" s="1"/>
  <c r="K60" i="3"/>
  <c r="AI59" i="3"/>
  <c r="AG59" i="3"/>
  <c r="AF59" i="3"/>
  <c r="AA59" i="3"/>
  <c r="AD59" i="3" s="1"/>
  <c r="X59" i="3"/>
  <c r="AJ59" i="3" s="1"/>
  <c r="M59" i="3"/>
  <c r="AE59" i="3" s="1"/>
  <c r="K59" i="3"/>
  <c r="AI58" i="3"/>
  <c r="AG58" i="3"/>
  <c r="AF58" i="3"/>
  <c r="AA58" i="3"/>
  <c r="AD58" i="3" s="1"/>
  <c r="X58" i="3"/>
  <c r="AJ58" i="3" s="1"/>
  <c r="M58" i="3"/>
  <c r="AE58" i="3" s="1"/>
  <c r="K58" i="3"/>
  <c r="AI57" i="3"/>
  <c r="AG57" i="3"/>
  <c r="AF57" i="3"/>
  <c r="AA57" i="3"/>
  <c r="X57" i="3"/>
  <c r="M57" i="3"/>
  <c r="K57" i="3"/>
  <c r="AI56" i="3"/>
  <c r="AG56" i="3"/>
  <c r="AF56" i="3"/>
  <c r="AA56" i="3"/>
  <c r="AD56" i="3" s="1"/>
  <c r="X56" i="3"/>
  <c r="AJ56" i="3" s="1"/>
  <c r="M56" i="3"/>
  <c r="K56" i="3"/>
  <c r="AI55" i="3"/>
  <c r="AG55" i="3"/>
  <c r="AF55" i="3"/>
  <c r="AA55" i="3"/>
  <c r="X55" i="3"/>
  <c r="AJ55" i="3" s="1"/>
  <c r="M55" i="3"/>
  <c r="AE55" i="3" s="1"/>
  <c r="K55" i="3"/>
  <c r="AI54" i="3"/>
  <c r="AG54" i="3"/>
  <c r="AF54" i="3"/>
  <c r="AA54" i="3"/>
  <c r="AD54" i="3" s="1"/>
  <c r="X54" i="3"/>
  <c r="M54" i="3"/>
  <c r="K54" i="3"/>
  <c r="AI53" i="3"/>
  <c r="AG53" i="3"/>
  <c r="AF53" i="3"/>
  <c r="AA53" i="3"/>
  <c r="X53" i="3"/>
  <c r="M53" i="3"/>
  <c r="AE53" i="3" s="1"/>
  <c r="K53" i="3"/>
  <c r="AI52" i="3"/>
  <c r="AG52" i="3"/>
  <c r="AF52" i="3"/>
  <c r="AA52" i="3"/>
  <c r="AD52" i="3" s="1"/>
  <c r="X52" i="3"/>
  <c r="M69" i="2" s="1"/>
  <c r="M52" i="3"/>
  <c r="AE52" i="3" s="1"/>
  <c r="K52" i="3"/>
  <c r="AI51" i="3"/>
  <c r="AG51" i="3"/>
  <c r="AF51" i="3"/>
  <c r="AA51" i="3"/>
  <c r="X51" i="3"/>
  <c r="AJ51" i="3" s="1"/>
  <c r="M51" i="3"/>
  <c r="AE51" i="3" s="1"/>
  <c r="K51" i="3"/>
  <c r="AI50" i="3"/>
  <c r="AG50" i="3"/>
  <c r="AF50" i="3"/>
  <c r="AA50" i="3"/>
  <c r="X50" i="3"/>
  <c r="AJ50" i="3" s="1"/>
  <c r="M50" i="3"/>
  <c r="AE50" i="3" s="1"/>
  <c r="K50" i="3"/>
  <c r="AI49" i="3"/>
  <c r="AG49" i="3"/>
  <c r="AF49" i="3"/>
  <c r="AA49" i="3"/>
  <c r="AD49" i="3" s="1"/>
  <c r="X49" i="3"/>
  <c r="AJ49" i="3" s="1"/>
  <c r="M49" i="3"/>
  <c r="AE49" i="3" s="1"/>
  <c r="K49" i="3"/>
  <c r="AI48" i="3"/>
  <c r="AG48" i="3"/>
  <c r="AF48" i="3"/>
  <c r="AA48" i="3"/>
  <c r="AD48" i="3" s="1"/>
  <c r="X48" i="3"/>
  <c r="AJ48" i="3" s="1"/>
  <c r="M48" i="3"/>
  <c r="K48" i="3"/>
  <c r="AI47" i="3"/>
  <c r="AG47" i="3"/>
  <c r="AF47" i="3"/>
  <c r="X47" i="3"/>
  <c r="AJ47" i="3" s="1"/>
  <c r="M47" i="3"/>
  <c r="C64" i="2" s="1"/>
  <c r="K47" i="3"/>
  <c r="AI46" i="3"/>
  <c r="AG46" i="3"/>
  <c r="AF46" i="3"/>
  <c r="X46" i="3"/>
  <c r="AA46" i="3" s="1"/>
  <c r="M46" i="3"/>
  <c r="K46" i="3"/>
  <c r="AI45" i="3"/>
  <c r="AG45" i="3"/>
  <c r="AF45" i="3"/>
  <c r="X45" i="3"/>
  <c r="AA45" i="3" s="1"/>
  <c r="B62" i="2" s="1"/>
  <c r="M45" i="3"/>
  <c r="K45" i="3"/>
  <c r="AI44" i="3"/>
  <c r="AG44" i="3"/>
  <c r="AF44" i="3"/>
  <c r="X44" i="3"/>
  <c r="AJ44" i="3" s="1"/>
  <c r="M44" i="3"/>
  <c r="C61" i="2" s="1"/>
  <c r="K44" i="3"/>
  <c r="AI43" i="3"/>
  <c r="AG43" i="3"/>
  <c r="AF43" i="3"/>
  <c r="X43" i="3"/>
  <c r="AJ43" i="3" s="1"/>
  <c r="M43" i="3"/>
  <c r="AE43" i="3" s="1"/>
  <c r="K43" i="3"/>
  <c r="AI42" i="3"/>
  <c r="AG42" i="3"/>
  <c r="AF42" i="3"/>
  <c r="X42" i="3"/>
  <c r="AA42" i="3" s="1"/>
  <c r="M42" i="3"/>
  <c r="K42" i="3"/>
  <c r="AI41" i="3"/>
  <c r="AG41" i="3"/>
  <c r="AF41" i="3"/>
  <c r="X41" i="3"/>
  <c r="AJ41" i="3" s="1"/>
  <c r="M41" i="3"/>
  <c r="AE41" i="3" s="1"/>
  <c r="K41" i="3"/>
  <c r="AI40" i="3"/>
  <c r="AG40" i="3"/>
  <c r="AF40" i="3"/>
  <c r="X40" i="3"/>
  <c r="AA40" i="3" s="1"/>
  <c r="M40" i="3"/>
  <c r="K40" i="3"/>
  <c r="AI39" i="3"/>
  <c r="AG39" i="3"/>
  <c r="AF39" i="3"/>
  <c r="X39" i="3"/>
  <c r="AA39" i="3" s="1"/>
  <c r="M39" i="3"/>
  <c r="AE39" i="3" s="1"/>
  <c r="K39" i="3"/>
  <c r="AI38" i="3"/>
  <c r="AG38" i="3"/>
  <c r="AF38" i="3"/>
  <c r="X38" i="3"/>
  <c r="AA38" i="3" s="1"/>
  <c r="M38" i="3"/>
  <c r="AE38" i="3" s="1"/>
  <c r="K38" i="3"/>
  <c r="AI37" i="3"/>
  <c r="AG37" i="3"/>
  <c r="AF37" i="3"/>
  <c r="X37" i="3"/>
  <c r="AA37" i="3" s="1"/>
  <c r="AD37" i="3" s="1"/>
  <c r="M37" i="3"/>
  <c r="K37" i="3"/>
  <c r="AI36" i="3"/>
  <c r="AG36" i="3"/>
  <c r="AF36" i="3"/>
  <c r="X36" i="3"/>
  <c r="AA36" i="3" s="1"/>
  <c r="M36" i="3"/>
  <c r="K36" i="3"/>
  <c r="AI35" i="3"/>
  <c r="AG35" i="3"/>
  <c r="AF35" i="3"/>
  <c r="X35" i="3"/>
  <c r="AJ35" i="3" s="1"/>
  <c r="M35" i="3"/>
  <c r="AE35" i="3" s="1"/>
  <c r="K35" i="3"/>
  <c r="AI34" i="3"/>
  <c r="AG34" i="3"/>
  <c r="AF34" i="3"/>
  <c r="X34" i="3"/>
  <c r="AJ34" i="3" s="1"/>
  <c r="M34" i="3"/>
  <c r="K34" i="3"/>
  <c r="AI33" i="3"/>
  <c r="AG33" i="3"/>
  <c r="AF33" i="3"/>
  <c r="X33" i="3"/>
  <c r="AJ33" i="3" s="1"/>
  <c r="M33" i="3"/>
  <c r="AE33" i="3" s="1"/>
  <c r="K33" i="3"/>
  <c r="AI32" i="3"/>
  <c r="AG32" i="3"/>
  <c r="AF32" i="3"/>
  <c r="X32" i="3"/>
  <c r="AA32" i="3" s="1"/>
  <c r="M32" i="3"/>
  <c r="K32" i="3"/>
  <c r="AI31" i="3"/>
  <c r="AG31" i="3"/>
  <c r="AF31" i="3"/>
  <c r="X31" i="3"/>
  <c r="AJ31" i="3" s="1"/>
  <c r="M31" i="3"/>
  <c r="AE31" i="3" s="1"/>
  <c r="K31" i="3"/>
  <c r="AI30" i="3"/>
  <c r="AG30" i="3"/>
  <c r="AF30" i="3"/>
  <c r="X30" i="3"/>
  <c r="AA30" i="3" s="1"/>
  <c r="AD30" i="3" s="1"/>
  <c r="M30" i="3"/>
  <c r="K30" i="3"/>
  <c r="AI29" i="3"/>
  <c r="AG29" i="3"/>
  <c r="AF29" i="3"/>
  <c r="X29" i="3"/>
  <c r="AJ29" i="3" s="1"/>
  <c r="M29" i="3"/>
  <c r="AE29" i="3" s="1"/>
  <c r="K29" i="3"/>
  <c r="AI28" i="3"/>
  <c r="AG28" i="3"/>
  <c r="AF28" i="3"/>
  <c r="X28" i="3"/>
  <c r="AJ28" i="3" s="1"/>
  <c r="M28" i="3"/>
  <c r="K28" i="3"/>
  <c r="AI27" i="3"/>
  <c r="AG27" i="3"/>
  <c r="AF27" i="3"/>
  <c r="X27" i="3"/>
  <c r="AJ27" i="3" s="1"/>
  <c r="M27" i="3"/>
  <c r="AE27" i="3" s="1"/>
  <c r="K27" i="3"/>
  <c r="AI26" i="3"/>
  <c r="AG26" i="3"/>
  <c r="AF26" i="3"/>
  <c r="X26" i="3"/>
  <c r="AJ26" i="3" s="1"/>
  <c r="M26" i="3"/>
  <c r="AE26" i="3" s="1"/>
  <c r="K26" i="3"/>
  <c r="AI25" i="3"/>
  <c r="AG25" i="3"/>
  <c r="AF25" i="3"/>
  <c r="X25" i="3"/>
  <c r="AA25" i="3" s="1"/>
  <c r="AD25" i="3" s="1"/>
  <c r="M25" i="3"/>
  <c r="AE25" i="3" s="1"/>
  <c r="K25" i="3"/>
  <c r="AI24" i="3"/>
  <c r="AG24" i="3"/>
  <c r="AF24" i="3"/>
  <c r="X24" i="3"/>
  <c r="AA24" i="3" s="1"/>
  <c r="M24" i="3"/>
  <c r="AE24" i="3" s="1"/>
  <c r="K24" i="3"/>
  <c r="AI23" i="3"/>
  <c r="AG23" i="3"/>
  <c r="AF23" i="3"/>
  <c r="X23" i="3"/>
  <c r="AA23" i="3" s="1"/>
  <c r="AD23" i="3" s="1"/>
  <c r="M23" i="3"/>
  <c r="AE23" i="3" s="1"/>
  <c r="K23" i="3"/>
  <c r="AI22" i="3"/>
  <c r="AG22" i="3"/>
  <c r="AF22" i="3"/>
  <c r="X22" i="3"/>
  <c r="M12" i="2" s="1"/>
  <c r="M22" i="3"/>
  <c r="AE22" i="3" s="1"/>
  <c r="K22" i="3"/>
  <c r="AI21" i="3"/>
  <c r="AG21" i="3"/>
  <c r="AF21" i="3"/>
  <c r="X21" i="3"/>
  <c r="AJ21" i="3" s="1"/>
  <c r="M21" i="3"/>
  <c r="AE21" i="3" s="1"/>
  <c r="K21" i="3"/>
  <c r="AI20" i="3"/>
  <c r="AG20" i="3"/>
  <c r="AF20" i="3"/>
  <c r="X20" i="3"/>
  <c r="AA20" i="3" s="1"/>
  <c r="AD20" i="3" s="1"/>
  <c r="M20" i="3"/>
  <c r="AE20" i="3" s="1"/>
  <c r="K20" i="3"/>
  <c r="AI19" i="3"/>
  <c r="AG19" i="3"/>
  <c r="AF19" i="3"/>
  <c r="X19" i="3"/>
  <c r="AJ19" i="3" s="1"/>
  <c r="M19" i="3"/>
  <c r="AE19" i="3" s="1"/>
  <c r="K19" i="3"/>
  <c r="AI18" i="3"/>
  <c r="AG18" i="3"/>
  <c r="AF18" i="3"/>
  <c r="X18" i="3"/>
  <c r="AA18" i="3" s="1"/>
  <c r="M18" i="3"/>
  <c r="AE18" i="3" s="1"/>
  <c r="K18" i="3"/>
  <c r="AI17" i="3"/>
  <c r="AG17" i="3"/>
  <c r="AF17" i="3"/>
  <c r="X17" i="3"/>
  <c r="AA17" i="3" s="1"/>
  <c r="AD17" i="3" s="1"/>
  <c r="M17" i="3"/>
  <c r="K17" i="3"/>
  <c r="AI16" i="3"/>
  <c r="AG16" i="3"/>
  <c r="AF16" i="3"/>
  <c r="X16" i="3"/>
  <c r="AJ16" i="3" s="1"/>
  <c r="M16" i="3"/>
  <c r="AE16" i="3" s="1"/>
  <c r="K16" i="3"/>
  <c r="AI523" i="3"/>
  <c r="AG523" i="3"/>
  <c r="AF523" i="3"/>
  <c r="X523" i="3"/>
  <c r="L523" i="3"/>
  <c r="M523" i="3" s="1"/>
  <c r="AE523" i="3" s="1"/>
  <c r="K523" i="3"/>
  <c r="AI514" i="3"/>
  <c r="AG514" i="3"/>
  <c r="AF514" i="3"/>
  <c r="X514" i="3"/>
  <c r="AJ514" i="3" s="1"/>
  <c r="L514" i="3"/>
  <c r="K514" i="3"/>
  <c r="AI500" i="3"/>
  <c r="AG500" i="3"/>
  <c r="AF500" i="3"/>
  <c r="X500" i="3"/>
  <c r="L500" i="3"/>
  <c r="AA500" i="3" s="1"/>
  <c r="K500" i="3"/>
  <c r="AI522" i="3"/>
  <c r="AG522" i="3"/>
  <c r="AF522" i="3"/>
  <c r="X522" i="3"/>
  <c r="AJ522" i="3" s="1"/>
  <c r="L522" i="3"/>
  <c r="K522" i="3"/>
  <c r="AI513" i="3"/>
  <c r="AG513" i="3"/>
  <c r="AF513" i="3"/>
  <c r="X513" i="3"/>
  <c r="AJ513" i="3" s="1"/>
  <c r="L513" i="3"/>
  <c r="K513" i="3"/>
  <c r="AI521" i="3"/>
  <c r="AG521" i="3"/>
  <c r="AF521" i="3"/>
  <c r="X521" i="3"/>
  <c r="AJ521" i="3" s="1"/>
  <c r="L521" i="3"/>
  <c r="M521" i="3" s="1"/>
  <c r="AE521" i="3" s="1"/>
  <c r="K521" i="3"/>
  <c r="AI512" i="3"/>
  <c r="AG512" i="3"/>
  <c r="AF512" i="3"/>
  <c r="X512" i="3"/>
  <c r="AJ512" i="3" s="1"/>
  <c r="L512" i="3"/>
  <c r="M512" i="3" s="1"/>
  <c r="AE512" i="3" s="1"/>
  <c r="K512" i="3"/>
  <c r="AI502" i="3"/>
  <c r="AG502" i="3"/>
  <c r="AF502" i="3"/>
  <c r="X502" i="3"/>
  <c r="AJ502" i="3" s="1"/>
  <c r="L502" i="3"/>
  <c r="AA502" i="3" s="1"/>
  <c r="K502" i="3"/>
  <c r="AI15" i="3"/>
  <c r="AG15" i="3"/>
  <c r="AF15" i="3"/>
  <c r="X15" i="3"/>
  <c r="L15" i="3"/>
  <c r="AA15" i="3" s="1"/>
  <c r="AD15" i="3" s="1"/>
  <c r="K15" i="3"/>
  <c r="AI14" i="3"/>
  <c r="AG14" i="3"/>
  <c r="AF14" i="3"/>
  <c r="X14" i="3"/>
  <c r="L14" i="3"/>
  <c r="AA14" i="3" s="1"/>
  <c r="AD14" i="3" s="1"/>
  <c r="K14" i="3"/>
  <c r="AI13" i="3"/>
  <c r="AG13" i="3"/>
  <c r="AF13" i="3"/>
  <c r="X13" i="3"/>
  <c r="AJ13" i="3" s="1"/>
  <c r="L13" i="3"/>
  <c r="AA13" i="3" s="1"/>
  <c r="K13" i="3"/>
  <c r="AI520" i="3"/>
  <c r="AG520" i="3"/>
  <c r="AF520" i="3"/>
  <c r="X520" i="3"/>
  <c r="AJ520" i="3" s="1"/>
  <c r="L520" i="3"/>
  <c r="K520" i="3"/>
  <c r="AI12" i="3"/>
  <c r="AG12" i="3"/>
  <c r="AF12" i="3"/>
  <c r="X12" i="3"/>
  <c r="L12" i="3"/>
  <c r="K12" i="3"/>
  <c r="AI11" i="3"/>
  <c r="AG11" i="3"/>
  <c r="AF11" i="3"/>
  <c r="X11" i="3"/>
  <c r="AJ11" i="3" s="1"/>
  <c r="L11" i="3"/>
  <c r="K11" i="3"/>
  <c r="AI511" i="3"/>
  <c r="AG511" i="3"/>
  <c r="AF511" i="3"/>
  <c r="X511" i="3"/>
  <c r="AJ511" i="3" s="1"/>
  <c r="L511" i="3"/>
  <c r="K511" i="3"/>
  <c r="AI519" i="3"/>
  <c r="AG519" i="3"/>
  <c r="AF519" i="3"/>
  <c r="X519" i="3"/>
  <c r="AJ519" i="3" s="1"/>
  <c r="L519" i="3"/>
  <c r="K519" i="3"/>
  <c r="AI2" i="3"/>
  <c r="AG2" i="3"/>
  <c r="AF2" i="3"/>
  <c r="X2" i="3"/>
  <c r="L2" i="3"/>
  <c r="K2" i="3"/>
  <c r="AI501" i="3"/>
  <c r="AG501" i="3"/>
  <c r="AF501" i="3"/>
  <c r="X501" i="3"/>
  <c r="AJ501" i="3" s="1"/>
  <c r="L501" i="3"/>
  <c r="K501" i="3"/>
  <c r="AI510" i="3"/>
  <c r="AG510" i="3"/>
  <c r="AF510" i="3"/>
  <c r="X510" i="3"/>
  <c r="L510" i="3"/>
  <c r="K510" i="3"/>
  <c r="AI10" i="3"/>
  <c r="AG10" i="3"/>
  <c r="AF10" i="3"/>
  <c r="X10" i="3"/>
  <c r="AJ10" i="3" s="1"/>
  <c r="L10" i="3"/>
  <c r="K10" i="3"/>
  <c r="AI9" i="3"/>
  <c r="AG9" i="3"/>
  <c r="AF9" i="3"/>
  <c r="X9" i="3"/>
  <c r="AJ9" i="3" s="1"/>
  <c r="L9" i="3"/>
  <c r="K9" i="3"/>
  <c r="AI518" i="3"/>
  <c r="AG518" i="3"/>
  <c r="AF518" i="3"/>
  <c r="X518" i="3"/>
  <c r="L518" i="3"/>
  <c r="K518" i="3"/>
  <c r="AI509" i="3"/>
  <c r="AG509" i="3"/>
  <c r="AF509" i="3"/>
  <c r="X509" i="3"/>
  <c r="AJ509" i="3" s="1"/>
  <c r="L509" i="3"/>
  <c r="K509" i="3"/>
  <c r="AI8" i="3"/>
  <c r="AG8" i="3"/>
  <c r="AF8" i="3"/>
  <c r="X8" i="3"/>
  <c r="AJ8" i="3" s="1"/>
  <c r="L8" i="3"/>
  <c r="K8" i="3"/>
  <c r="AI508" i="3"/>
  <c r="AG508" i="3"/>
  <c r="AF508" i="3"/>
  <c r="X508" i="3"/>
  <c r="AJ508" i="3" s="1"/>
  <c r="L508" i="3"/>
  <c r="K508" i="3"/>
  <c r="AI7" i="3"/>
  <c r="AG7" i="3"/>
  <c r="AF7" i="3"/>
  <c r="X7" i="3"/>
  <c r="AJ7" i="3" s="1"/>
  <c r="L7" i="3"/>
  <c r="K7" i="3"/>
  <c r="AI6" i="3"/>
  <c r="AG6" i="3"/>
  <c r="AF6" i="3"/>
  <c r="X6" i="3"/>
  <c r="AJ6" i="3" s="1"/>
  <c r="L6" i="3"/>
  <c r="K6" i="3"/>
  <c r="AI507" i="3"/>
  <c r="AG507" i="3"/>
  <c r="AF507" i="3"/>
  <c r="X507" i="3"/>
  <c r="L507" i="3"/>
  <c r="K507" i="3"/>
  <c r="AI3" i="3"/>
  <c r="AG3" i="3"/>
  <c r="AF3" i="3"/>
  <c r="X3" i="3"/>
  <c r="AJ3" i="3" s="1"/>
  <c r="L3" i="3"/>
  <c r="K3" i="3"/>
  <c r="AI506" i="3"/>
  <c r="AG506" i="3"/>
  <c r="AF506" i="3"/>
  <c r="X506" i="3"/>
  <c r="AJ506" i="3" s="1"/>
  <c r="L506" i="3"/>
  <c r="K506" i="3"/>
  <c r="AI5" i="3"/>
  <c r="AG5" i="3"/>
  <c r="AF5" i="3"/>
  <c r="X5" i="3"/>
  <c r="AJ5" i="3" s="1"/>
  <c r="L5" i="3"/>
  <c r="K5" i="3"/>
  <c r="AI505" i="3"/>
  <c r="AG505" i="3"/>
  <c r="AF505" i="3"/>
  <c r="X505" i="3"/>
  <c r="L505" i="3"/>
  <c r="K505" i="3"/>
  <c r="AI517" i="3"/>
  <c r="AG517" i="3"/>
  <c r="AF517" i="3"/>
  <c r="X517" i="3"/>
  <c r="M520" i="2" s="1"/>
  <c r="L517" i="3"/>
  <c r="K517" i="3"/>
  <c r="AI516" i="3"/>
  <c r="AG516" i="3"/>
  <c r="AF516" i="3"/>
  <c r="X516" i="3"/>
  <c r="L516" i="3"/>
  <c r="K516" i="3"/>
  <c r="AI515" i="3"/>
  <c r="AG515" i="3"/>
  <c r="AF515" i="3"/>
  <c r="X515" i="3"/>
  <c r="L515" i="3"/>
  <c r="K515" i="3"/>
  <c r="AI504" i="3"/>
  <c r="AG504" i="3"/>
  <c r="AF504" i="3"/>
  <c r="X504" i="3"/>
  <c r="L504" i="3"/>
  <c r="K504" i="3"/>
  <c r="AI4" i="3"/>
  <c r="AG4" i="3"/>
  <c r="AF4" i="3"/>
  <c r="X4" i="3"/>
  <c r="AJ4" i="3" s="1"/>
  <c r="L4" i="3"/>
  <c r="K4" i="3"/>
  <c r="AI503" i="3"/>
  <c r="AG503" i="3"/>
  <c r="AF503" i="3"/>
  <c r="X503" i="3"/>
  <c r="AJ503" i="3" s="1"/>
  <c r="L503" i="3"/>
  <c r="K503" i="3"/>
  <c r="E14" i="1"/>
  <c r="B14" i="1"/>
  <c r="E13" i="1"/>
  <c r="B13" i="1"/>
  <c r="E12" i="1"/>
  <c r="B12" i="1"/>
  <c r="E11" i="1"/>
  <c r="B11" i="1"/>
  <c r="E10" i="1"/>
  <c r="B10" i="1"/>
  <c r="F5" i="1"/>
  <c r="E5" i="1"/>
  <c r="D5" i="1"/>
  <c r="C5" i="1"/>
  <c r="A5" i="1"/>
  <c r="O526" i="2"/>
  <c r="N526" i="2"/>
  <c r="L526" i="2"/>
  <c r="K526" i="2"/>
  <c r="J526" i="2"/>
  <c r="I526" i="2"/>
  <c r="H526" i="2"/>
  <c r="G526" i="2"/>
  <c r="F526" i="2"/>
  <c r="E526" i="2"/>
  <c r="D526" i="2"/>
  <c r="O525" i="2"/>
  <c r="N525" i="2"/>
  <c r="L525" i="2"/>
  <c r="K525" i="2"/>
  <c r="J525" i="2"/>
  <c r="I525" i="2"/>
  <c r="H525" i="2"/>
  <c r="G525" i="2"/>
  <c r="F525" i="2"/>
  <c r="E525" i="2"/>
  <c r="D525" i="2"/>
  <c r="O524" i="2"/>
  <c r="N524" i="2"/>
  <c r="L524" i="2"/>
  <c r="K524" i="2"/>
  <c r="J524" i="2"/>
  <c r="I524" i="2"/>
  <c r="H524" i="2"/>
  <c r="G524" i="2"/>
  <c r="F524" i="2"/>
  <c r="E524" i="2"/>
  <c r="D524" i="2"/>
  <c r="O523" i="2"/>
  <c r="N523" i="2"/>
  <c r="L523" i="2"/>
  <c r="K523" i="2"/>
  <c r="J523" i="2"/>
  <c r="I523" i="2"/>
  <c r="H523" i="2"/>
  <c r="G523" i="2"/>
  <c r="F523" i="2"/>
  <c r="E523" i="2"/>
  <c r="D523" i="2"/>
  <c r="O522" i="2"/>
  <c r="N522" i="2"/>
  <c r="L522" i="2"/>
  <c r="K522" i="2"/>
  <c r="J522" i="2"/>
  <c r="I522" i="2"/>
  <c r="H522" i="2"/>
  <c r="G522" i="2"/>
  <c r="F522" i="2"/>
  <c r="E522" i="2"/>
  <c r="D522" i="2"/>
  <c r="O521" i="2"/>
  <c r="N521" i="2"/>
  <c r="L521" i="2"/>
  <c r="K521" i="2"/>
  <c r="J521" i="2"/>
  <c r="I521" i="2"/>
  <c r="H521" i="2"/>
  <c r="G521" i="2"/>
  <c r="F521" i="2"/>
  <c r="E521" i="2"/>
  <c r="D521" i="2"/>
  <c r="O520" i="2"/>
  <c r="N520" i="2"/>
  <c r="L520" i="2"/>
  <c r="K520" i="2"/>
  <c r="J520" i="2"/>
  <c r="I520" i="2"/>
  <c r="H520" i="2"/>
  <c r="G520" i="2"/>
  <c r="F520" i="2"/>
  <c r="E520" i="2"/>
  <c r="D520" i="2"/>
  <c r="O519" i="2"/>
  <c r="N519" i="2"/>
  <c r="L519" i="2"/>
  <c r="K519" i="2"/>
  <c r="J519" i="2"/>
  <c r="I519" i="2"/>
  <c r="H519" i="2"/>
  <c r="G519" i="2"/>
  <c r="F519" i="2"/>
  <c r="E519" i="2"/>
  <c r="D519" i="2"/>
  <c r="O518" i="2"/>
  <c r="N518" i="2"/>
  <c r="L518" i="2"/>
  <c r="K518" i="2"/>
  <c r="J518" i="2"/>
  <c r="I518" i="2"/>
  <c r="H518" i="2"/>
  <c r="G518" i="2"/>
  <c r="F518" i="2"/>
  <c r="E518" i="2"/>
  <c r="D518" i="2"/>
  <c r="O517" i="2"/>
  <c r="N517" i="2"/>
  <c r="L517" i="2"/>
  <c r="K517" i="2"/>
  <c r="J517" i="2"/>
  <c r="I517" i="2"/>
  <c r="H517" i="2"/>
  <c r="G517" i="2"/>
  <c r="F517" i="2"/>
  <c r="E517" i="2"/>
  <c r="D517" i="2"/>
  <c r="O516" i="2"/>
  <c r="N516" i="2"/>
  <c r="L516" i="2"/>
  <c r="K516" i="2"/>
  <c r="J516" i="2"/>
  <c r="I516" i="2"/>
  <c r="H516" i="2"/>
  <c r="G516" i="2"/>
  <c r="F516" i="2"/>
  <c r="E516" i="2"/>
  <c r="D516" i="2"/>
  <c r="O515" i="2"/>
  <c r="N515" i="2"/>
  <c r="L515" i="2"/>
  <c r="K515" i="2"/>
  <c r="J515" i="2"/>
  <c r="I515" i="2"/>
  <c r="H515" i="2"/>
  <c r="G515" i="2"/>
  <c r="F515" i="2"/>
  <c r="E515" i="2"/>
  <c r="D515" i="2"/>
  <c r="O514" i="2"/>
  <c r="N514" i="2"/>
  <c r="L514" i="2"/>
  <c r="K514" i="2"/>
  <c r="J514" i="2"/>
  <c r="I514" i="2"/>
  <c r="H514" i="2"/>
  <c r="G514" i="2"/>
  <c r="F514" i="2"/>
  <c r="E514" i="2"/>
  <c r="D514" i="2"/>
  <c r="O513" i="2"/>
  <c r="N513" i="2"/>
  <c r="L513" i="2"/>
  <c r="K513" i="2"/>
  <c r="J513" i="2"/>
  <c r="I513" i="2"/>
  <c r="H513" i="2"/>
  <c r="G513" i="2"/>
  <c r="F513" i="2"/>
  <c r="E513" i="2"/>
  <c r="D513" i="2"/>
  <c r="O512" i="2"/>
  <c r="N512" i="2"/>
  <c r="L512" i="2"/>
  <c r="K512" i="2"/>
  <c r="J512" i="2"/>
  <c r="I512" i="2"/>
  <c r="H512" i="2"/>
  <c r="G512" i="2"/>
  <c r="F512" i="2"/>
  <c r="E512" i="2"/>
  <c r="D512" i="2"/>
  <c r="O511" i="2"/>
  <c r="N511" i="2"/>
  <c r="L511" i="2"/>
  <c r="K511" i="2"/>
  <c r="J511" i="2"/>
  <c r="I511" i="2"/>
  <c r="H511" i="2"/>
  <c r="G511" i="2"/>
  <c r="F511" i="2"/>
  <c r="E511" i="2"/>
  <c r="D511" i="2"/>
  <c r="O510" i="2"/>
  <c r="N510" i="2"/>
  <c r="L510" i="2"/>
  <c r="K510" i="2"/>
  <c r="J510" i="2"/>
  <c r="I510" i="2"/>
  <c r="H510" i="2"/>
  <c r="G510" i="2"/>
  <c r="F510" i="2"/>
  <c r="E510" i="2"/>
  <c r="D510" i="2"/>
  <c r="O509" i="2"/>
  <c r="N509" i="2"/>
  <c r="L509" i="2"/>
  <c r="K509" i="2"/>
  <c r="J509" i="2"/>
  <c r="I509" i="2"/>
  <c r="H509" i="2"/>
  <c r="G509" i="2"/>
  <c r="F509" i="2"/>
  <c r="E509" i="2"/>
  <c r="D509" i="2"/>
  <c r="O508" i="2"/>
  <c r="N508" i="2"/>
  <c r="L508" i="2"/>
  <c r="K508" i="2"/>
  <c r="J508" i="2"/>
  <c r="I508" i="2"/>
  <c r="H508" i="2"/>
  <c r="G508" i="2"/>
  <c r="F508" i="2"/>
  <c r="E508" i="2"/>
  <c r="D508" i="2"/>
  <c r="O507" i="2"/>
  <c r="N507" i="2"/>
  <c r="L507" i="2"/>
  <c r="K507" i="2"/>
  <c r="J507" i="2"/>
  <c r="I507" i="2"/>
  <c r="H507" i="2"/>
  <c r="G507" i="2"/>
  <c r="F507" i="2"/>
  <c r="E507" i="2"/>
  <c r="D507" i="2"/>
  <c r="O506" i="2"/>
  <c r="N506" i="2"/>
  <c r="L506" i="2"/>
  <c r="K506" i="2"/>
  <c r="J506" i="2"/>
  <c r="I506" i="2"/>
  <c r="H506" i="2"/>
  <c r="G506" i="2"/>
  <c r="F506" i="2"/>
  <c r="E506" i="2"/>
  <c r="D506" i="2"/>
  <c r="O505" i="2"/>
  <c r="N505" i="2"/>
  <c r="L505" i="2"/>
  <c r="K505" i="2"/>
  <c r="J505" i="2"/>
  <c r="I505" i="2"/>
  <c r="H505" i="2"/>
  <c r="G505" i="2"/>
  <c r="F505" i="2"/>
  <c r="E505" i="2"/>
  <c r="D505" i="2"/>
  <c r="O504" i="2"/>
  <c r="N504" i="2"/>
  <c r="L504" i="2"/>
  <c r="K504" i="2"/>
  <c r="J504" i="2"/>
  <c r="I504" i="2"/>
  <c r="H504" i="2"/>
  <c r="G504" i="2"/>
  <c r="F504" i="2"/>
  <c r="E504" i="2"/>
  <c r="D504" i="2"/>
  <c r="O503" i="2"/>
  <c r="N503" i="2"/>
  <c r="L503" i="2"/>
  <c r="K503" i="2"/>
  <c r="J503" i="2"/>
  <c r="I503" i="2"/>
  <c r="H503" i="2"/>
  <c r="G503" i="2"/>
  <c r="F503" i="2"/>
  <c r="E503" i="2"/>
  <c r="D503" i="2"/>
  <c r="O502" i="2"/>
  <c r="N502" i="2"/>
  <c r="L502" i="2"/>
  <c r="K502" i="2"/>
  <c r="J502" i="2"/>
  <c r="I502" i="2"/>
  <c r="H502" i="2"/>
  <c r="G502" i="2"/>
  <c r="F502" i="2"/>
  <c r="E502" i="2"/>
  <c r="D502" i="2"/>
  <c r="O501" i="2"/>
  <c r="N501" i="2"/>
  <c r="L501" i="2"/>
  <c r="K501" i="2"/>
  <c r="J501" i="2"/>
  <c r="I501" i="2"/>
  <c r="H501" i="2"/>
  <c r="G501" i="2"/>
  <c r="F501" i="2"/>
  <c r="E501" i="2"/>
  <c r="D501" i="2"/>
  <c r="O500" i="2"/>
  <c r="N500" i="2"/>
  <c r="L500" i="2"/>
  <c r="K500" i="2"/>
  <c r="J500" i="2"/>
  <c r="I500" i="2"/>
  <c r="H500" i="2"/>
  <c r="G500" i="2"/>
  <c r="F500" i="2"/>
  <c r="E500" i="2"/>
  <c r="D500" i="2"/>
  <c r="O499" i="2"/>
  <c r="N499" i="2"/>
  <c r="L499" i="2"/>
  <c r="K499" i="2"/>
  <c r="J499" i="2"/>
  <c r="I499" i="2"/>
  <c r="H499" i="2"/>
  <c r="G499" i="2"/>
  <c r="F499" i="2"/>
  <c r="E499" i="2"/>
  <c r="D499" i="2"/>
  <c r="O498" i="2"/>
  <c r="N498" i="2"/>
  <c r="L498" i="2"/>
  <c r="K498" i="2"/>
  <c r="J498" i="2"/>
  <c r="I498" i="2"/>
  <c r="H498" i="2"/>
  <c r="G498" i="2"/>
  <c r="F498" i="2"/>
  <c r="E498" i="2"/>
  <c r="D498" i="2"/>
  <c r="O497" i="2"/>
  <c r="N497" i="2"/>
  <c r="L497" i="2"/>
  <c r="K497" i="2"/>
  <c r="J497" i="2"/>
  <c r="I497" i="2"/>
  <c r="H497" i="2"/>
  <c r="G497" i="2"/>
  <c r="F497" i="2"/>
  <c r="E497" i="2"/>
  <c r="D497" i="2"/>
  <c r="O496" i="2"/>
  <c r="N496" i="2"/>
  <c r="L496" i="2"/>
  <c r="K496" i="2"/>
  <c r="J496" i="2"/>
  <c r="I496" i="2"/>
  <c r="H496" i="2"/>
  <c r="G496" i="2"/>
  <c r="F496" i="2"/>
  <c r="E496" i="2"/>
  <c r="D496" i="2"/>
  <c r="O495" i="2"/>
  <c r="N495" i="2"/>
  <c r="L495" i="2"/>
  <c r="K495" i="2"/>
  <c r="J495" i="2"/>
  <c r="I495" i="2"/>
  <c r="H495" i="2"/>
  <c r="G495" i="2"/>
  <c r="F495" i="2"/>
  <c r="E495" i="2"/>
  <c r="D495" i="2"/>
  <c r="O494" i="2"/>
  <c r="N494" i="2"/>
  <c r="L494" i="2"/>
  <c r="K494" i="2"/>
  <c r="J494" i="2"/>
  <c r="I494" i="2"/>
  <c r="H494" i="2"/>
  <c r="G494" i="2"/>
  <c r="F494" i="2"/>
  <c r="E494" i="2"/>
  <c r="D494" i="2"/>
  <c r="O493" i="2"/>
  <c r="N493" i="2"/>
  <c r="L493" i="2"/>
  <c r="K493" i="2"/>
  <c r="J493" i="2"/>
  <c r="I493" i="2"/>
  <c r="H493" i="2"/>
  <c r="G493" i="2"/>
  <c r="F493" i="2"/>
  <c r="E493" i="2"/>
  <c r="D493" i="2"/>
  <c r="O492" i="2"/>
  <c r="N492" i="2"/>
  <c r="L492" i="2"/>
  <c r="K492" i="2"/>
  <c r="J492" i="2"/>
  <c r="I492" i="2"/>
  <c r="H492" i="2"/>
  <c r="G492" i="2"/>
  <c r="F492" i="2"/>
  <c r="E492" i="2"/>
  <c r="D492" i="2"/>
  <c r="O491" i="2"/>
  <c r="N491" i="2"/>
  <c r="L491" i="2"/>
  <c r="K491" i="2"/>
  <c r="J491" i="2"/>
  <c r="I491" i="2"/>
  <c r="H491" i="2"/>
  <c r="G491" i="2"/>
  <c r="F491" i="2"/>
  <c r="E491" i="2"/>
  <c r="D491" i="2"/>
  <c r="O490" i="2"/>
  <c r="N490" i="2"/>
  <c r="L490" i="2"/>
  <c r="K490" i="2"/>
  <c r="J490" i="2"/>
  <c r="I490" i="2"/>
  <c r="H490" i="2"/>
  <c r="G490" i="2"/>
  <c r="F490" i="2"/>
  <c r="E490" i="2"/>
  <c r="D490" i="2"/>
  <c r="O489" i="2"/>
  <c r="N489" i="2"/>
  <c r="L489" i="2"/>
  <c r="K489" i="2"/>
  <c r="J489" i="2"/>
  <c r="I489" i="2"/>
  <c r="H489" i="2"/>
  <c r="G489" i="2"/>
  <c r="F489" i="2"/>
  <c r="E489" i="2"/>
  <c r="D489" i="2"/>
  <c r="O488" i="2"/>
  <c r="N488" i="2"/>
  <c r="L488" i="2"/>
  <c r="K488" i="2"/>
  <c r="J488" i="2"/>
  <c r="I488" i="2"/>
  <c r="H488" i="2"/>
  <c r="G488" i="2"/>
  <c r="F488" i="2"/>
  <c r="E488" i="2"/>
  <c r="D488" i="2"/>
  <c r="O487" i="2"/>
  <c r="N487" i="2"/>
  <c r="L487" i="2"/>
  <c r="K487" i="2"/>
  <c r="J487" i="2"/>
  <c r="I487" i="2"/>
  <c r="H487" i="2"/>
  <c r="G487" i="2"/>
  <c r="F487" i="2"/>
  <c r="E487" i="2"/>
  <c r="D487" i="2"/>
  <c r="O486" i="2"/>
  <c r="N486" i="2"/>
  <c r="L486" i="2"/>
  <c r="K486" i="2"/>
  <c r="J486" i="2"/>
  <c r="I486" i="2"/>
  <c r="H486" i="2"/>
  <c r="G486" i="2"/>
  <c r="F486" i="2"/>
  <c r="E486" i="2"/>
  <c r="D486" i="2"/>
  <c r="O485" i="2"/>
  <c r="N485" i="2"/>
  <c r="L485" i="2"/>
  <c r="K485" i="2"/>
  <c r="J485" i="2"/>
  <c r="I485" i="2"/>
  <c r="H485" i="2"/>
  <c r="G485" i="2"/>
  <c r="F485" i="2"/>
  <c r="E485" i="2"/>
  <c r="D485" i="2"/>
  <c r="O484" i="2"/>
  <c r="N484" i="2"/>
  <c r="L484" i="2"/>
  <c r="K484" i="2"/>
  <c r="J484" i="2"/>
  <c r="I484" i="2"/>
  <c r="H484" i="2"/>
  <c r="G484" i="2"/>
  <c r="F484" i="2"/>
  <c r="E484" i="2"/>
  <c r="D484" i="2"/>
  <c r="O483" i="2"/>
  <c r="N483" i="2"/>
  <c r="L483" i="2"/>
  <c r="K483" i="2"/>
  <c r="J483" i="2"/>
  <c r="I483" i="2"/>
  <c r="H483" i="2"/>
  <c r="G483" i="2"/>
  <c r="F483" i="2"/>
  <c r="E483" i="2"/>
  <c r="D483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O481" i="2"/>
  <c r="N481" i="2"/>
  <c r="L481" i="2"/>
  <c r="K481" i="2"/>
  <c r="J481" i="2"/>
  <c r="I481" i="2"/>
  <c r="H481" i="2"/>
  <c r="G481" i="2"/>
  <c r="F481" i="2"/>
  <c r="E481" i="2"/>
  <c r="D481" i="2"/>
  <c r="O480" i="2"/>
  <c r="N480" i="2"/>
  <c r="L480" i="2"/>
  <c r="K480" i="2"/>
  <c r="J480" i="2"/>
  <c r="I480" i="2"/>
  <c r="H480" i="2"/>
  <c r="G480" i="2"/>
  <c r="F480" i="2"/>
  <c r="E480" i="2"/>
  <c r="D480" i="2"/>
  <c r="O479" i="2"/>
  <c r="N479" i="2"/>
  <c r="L479" i="2"/>
  <c r="K479" i="2"/>
  <c r="J479" i="2"/>
  <c r="I479" i="2"/>
  <c r="H479" i="2"/>
  <c r="G479" i="2"/>
  <c r="F479" i="2"/>
  <c r="E479" i="2"/>
  <c r="D479" i="2"/>
  <c r="O478" i="2"/>
  <c r="N478" i="2"/>
  <c r="L478" i="2"/>
  <c r="K478" i="2"/>
  <c r="J478" i="2"/>
  <c r="I478" i="2"/>
  <c r="H478" i="2"/>
  <c r="G478" i="2"/>
  <c r="F478" i="2"/>
  <c r="E478" i="2"/>
  <c r="D478" i="2"/>
  <c r="O477" i="2"/>
  <c r="N477" i="2"/>
  <c r="L477" i="2"/>
  <c r="K477" i="2"/>
  <c r="J477" i="2"/>
  <c r="I477" i="2"/>
  <c r="H477" i="2"/>
  <c r="G477" i="2"/>
  <c r="F477" i="2"/>
  <c r="E477" i="2"/>
  <c r="D477" i="2"/>
  <c r="O476" i="2"/>
  <c r="N476" i="2"/>
  <c r="L476" i="2"/>
  <c r="K476" i="2"/>
  <c r="J476" i="2"/>
  <c r="I476" i="2"/>
  <c r="H476" i="2"/>
  <c r="G476" i="2"/>
  <c r="F476" i="2"/>
  <c r="E476" i="2"/>
  <c r="D476" i="2"/>
  <c r="O475" i="2"/>
  <c r="N475" i="2"/>
  <c r="L475" i="2"/>
  <c r="K475" i="2"/>
  <c r="J475" i="2"/>
  <c r="I475" i="2"/>
  <c r="H475" i="2"/>
  <c r="G475" i="2"/>
  <c r="F475" i="2"/>
  <c r="E475" i="2"/>
  <c r="D475" i="2"/>
  <c r="O474" i="2"/>
  <c r="N474" i="2"/>
  <c r="L474" i="2"/>
  <c r="K474" i="2"/>
  <c r="J474" i="2"/>
  <c r="I474" i="2"/>
  <c r="H474" i="2"/>
  <c r="G474" i="2"/>
  <c r="F474" i="2"/>
  <c r="E474" i="2"/>
  <c r="D474" i="2"/>
  <c r="O473" i="2"/>
  <c r="N473" i="2"/>
  <c r="L473" i="2"/>
  <c r="K473" i="2"/>
  <c r="J473" i="2"/>
  <c r="I473" i="2"/>
  <c r="H473" i="2"/>
  <c r="G473" i="2"/>
  <c r="F473" i="2"/>
  <c r="E473" i="2"/>
  <c r="D473" i="2"/>
  <c r="O472" i="2"/>
  <c r="N472" i="2"/>
  <c r="L472" i="2"/>
  <c r="K472" i="2"/>
  <c r="J472" i="2"/>
  <c r="I472" i="2"/>
  <c r="H472" i="2"/>
  <c r="G472" i="2"/>
  <c r="F472" i="2"/>
  <c r="E472" i="2"/>
  <c r="D472" i="2"/>
  <c r="O471" i="2"/>
  <c r="N471" i="2"/>
  <c r="L471" i="2"/>
  <c r="K471" i="2"/>
  <c r="J471" i="2"/>
  <c r="I471" i="2"/>
  <c r="H471" i="2"/>
  <c r="G471" i="2"/>
  <c r="F471" i="2"/>
  <c r="E471" i="2"/>
  <c r="D471" i="2"/>
  <c r="O470" i="2"/>
  <c r="N470" i="2"/>
  <c r="L470" i="2"/>
  <c r="K470" i="2"/>
  <c r="J470" i="2"/>
  <c r="I470" i="2"/>
  <c r="H470" i="2"/>
  <c r="G470" i="2"/>
  <c r="F470" i="2"/>
  <c r="E470" i="2"/>
  <c r="D470" i="2"/>
  <c r="O469" i="2"/>
  <c r="N469" i="2"/>
  <c r="L469" i="2"/>
  <c r="K469" i="2"/>
  <c r="J469" i="2"/>
  <c r="I469" i="2"/>
  <c r="H469" i="2"/>
  <c r="G469" i="2"/>
  <c r="F469" i="2"/>
  <c r="E469" i="2"/>
  <c r="D469" i="2"/>
  <c r="O468" i="2"/>
  <c r="N468" i="2"/>
  <c r="L468" i="2"/>
  <c r="K468" i="2"/>
  <c r="J468" i="2"/>
  <c r="I468" i="2"/>
  <c r="H468" i="2"/>
  <c r="G468" i="2"/>
  <c r="F468" i="2"/>
  <c r="E468" i="2"/>
  <c r="D468" i="2"/>
  <c r="O467" i="2"/>
  <c r="N467" i="2"/>
  <c r="L467" i="2"/>
  <c r="K467" i="2"/>
  <c r="J467" i="2"/>
  <c r="I467" i="2"/>
  <c r="H467" i="2"/>
  <c r="G467" i="2"/>
  <c r="F467" i="2"/>
  <c r="E467" i="2"/>
  <c r="D467" i="2"/>
  <c r="O466" i="2"/>
  <c r="N466" i="2"/>
  <c r="L466" i="2"/>
  <c r="K466" i="2"/>
  <c r="J466" i="2"/>
  <c r="I466" i="2"/>
  <c r="H466" i="2"/>
  <c r="G466" i="2"/>
  <c r="F466" i="2"/>
  <c r="E466" i="2"/>
  <c r="D466" i="2"/>
  <c r="O465" i="2"/>
  <c r="N465" i="2"/>
  <c r="L465" i="2"/>
  <c r="K465" i="2"/>
  <c r="J465" i="2"/>
  <c r="I465" i="2"/>
  <c r="H465" i="2"/>
  <c r="G465" i="2"/>
  <c r="F465" i="2"/>
  <c r="E465" i="2"/>
  <c r="D465" i="2"/>
  <c r="O464" i="2"/>
  <c r="N464" i="2"/>
  <c r="L464" i="2"/>
  <c r="K464" i="2"/>
  <c r="J464" i="2"/>
  <c r="I464" i="2"/>
  <c r="H464" i="2"/>
  <c r="G464" i="2"/>
  <c r="F464" i="2"/>
  <c r="E464" i="2"/>
  <c r="D464" i="2"/>
  <c r="O463" i="2"/>
  <c r="N463" i="2"/>
  <c r="L463" i="2"/>
  <c r="K463" i="2"/>
  <c r="J463" i="2"/>
  <c r="I463" i="2"/>
  <c r="H463" i="2"/>
  <c r="G463" i="2"/>
  <c r="F463" i="2"/>
  <c r="E463" i="2"/>
  <c r="D463" i="2"/>
  <c r="O462" i="2"/>
  <c r="N462" i="2"/>
  <c r="L462" i="2"/>
  <c r="K462" i="2"/>
  <c r="J462" i="2"/>
  <c r="I462" i="2"/>
  <c r="H462" i="2"/>
  <c r="G462" i="2"/>
  <c r="F462" i="2"/>
  <c r="E462" i="2"/>
  <c r="D462" i="2"/>
  <c r="O461" i="2"/>
  <c r="N461" i="2"/>
  <c r="L461" i="2"/>
  <c r="K461" i="2"/>
  <c r="J461" i="2"/>
  <c r="I461" i="2"/>
  <c r="H461" i="2"/>
  <c r="G461" i="2"/>
  <c r="F461" i="2"/>
  <c r="E461" i="2"/>
  <c r="D461" i="2"/>
  <c r="O460" i="2"/>
  <c r="N460" i="2"/>
  <c r="L460" i="2"/>
  <c r="K460" i="2"/>
  <c r="J460" i="2"/>
  <c r="I460" i="2"/>
  <c r="H460" i="2"/>
  <c r="G460" i="2"/>
  <c r="F460" i="2"/>
  <c r="E460" i="2"/>
  <c r="D460" i="2"/>
  <c r="O459" i="2"/>
  <c r="N459" i="2"/>
  <c r="L459" i="2"/>
  <c r="K459" i="2"/>
  <c r="J459" i="2"/>
  <c r="I459" i="2"/>
  <c r="H459" i="2"/>
  <c r="G459" i="2"/>
  <c r="F459" i="2"/>
  <c r="E459" i="2"/>
  <c r="D459" i="2"/>
  <c r="O458" i="2"/>
  <c r="N458" i="2"/>
  <c r="L458" i="2"/>
  <c r="K458" i="2"/>
  <c r="J458" i="2"/>
  <c r="I458" i="2"/>
  <c r="H458" i="2"/>
  <c r="G458" i="2"/>
  <c r="F458" i="2"/>
  <c r="E458" i="2"/>
  <c r="D458" i="2"/>
  <c r="O457" i="2"/>
  <c r="N457" i="2"/>
  <c r="L457" i="2"/>
  <c r="K457" i="2"/>
  <c r="J457" i="2"/>
  <c r="I457" i="2"/>
  <c r="H457" i="2"/>
  <c r="G457" i="2"/>
  <c r="F457" i="2"/>
  <c r="E457" i="2"/>
  <c r="D457" i="2"/>
  <c r="O456" i="2"/>
  <c r="N456" i="2"/>
  <c r="L456" i="2"/>
  <c r="K456" i="2"/>
  <c r="J456" i="2"/>
  <c r="I456" i="2"/>
  <c r="H456" i="2"/>
  <c r="G456" i="2"/>
  <c r="F456" i="2"/>
  <c r="E456" i="2"/>
  <c r="D456" i="2"/>
  <c r="O455" i="2"/>
  <c r="N455" i="2"/>
  <c r="L455" i="2"/>
  <c r="K455" i="2"/>
  <c r="J455" i="2"/>
  <c r="I455" i="2"/>
  <c r="H455" i="2"/>
  <c r="G455" i="2"/>
  <c r="F455" i="2"/>
  <c r="E455" i="2"/>
  <c r="D455" i="2"/>
  <c r="O454" i="2"/>
  <c r="N454" i="2"/>
  <c r="L454" i="2"/>
  <c r="K454" i="2"/>
  <c r="J454" i="2"/>
  <c r="I454" i="2"/>
  <c r="H454" i="2"/>
  <c r="G454" i="2"/>
  <c r="F454" i="2"/>
  <c r="E454" i="2"/>
  <c r="D454" i="2"/>
  <c r="O453" i="2"/>
  <c r="N453" i="2"/>
  <c r="L453" i="2"/>
  <c r="K453" i="2"/>
  <c r="J453" i="2"/>
  <c r="I453" i="2"/>
  <c r="H453" i="2"/>
  <c r="G453" i="2"/>
  <c r="F453" i="2"/>
  <c r="E453" i="2"/>
  <c r="D453" i="2"/>
  <c r="O452" i="2"/>
  <c r="N452" i="2"/>
  <c r="L452" i="2"/>
  <c r="K452" i="2"/>
  <c r="J452" i="2"/>
  <c r="I452" i="2"/>
  <c r="H452" i="2"/>
  <c r="G452" i="2"/>
  <c r="F452" i="2"/>
  <c r="E452" i="2"/>
  <c r="D452" i="2"/>
  <c r="O451" i="2"/>
  <c r="N451" i="2"/>
  <c r="L451" i="2"/>
  <c r="K451" i="2"/>
  <c r="J451" i="2"/>
  <c r="I451" i="2"/>
  <c r="H451" i="2"/>
  <c r="G451" i="2"/>
  <c r="F451" i="2"/>
  <c r="E451" i="2"/>
  <c r="D451" i="2"/>
  <c r="O450" i="2"/>
  <c r="N450" i="2"/>
  <c r="L450" i="2"/>
  <c r="K450" i="2"/>
  <c r="J450" i="2"/>
  <c r="I450" i="2"/>
  <c r="H450" i="2"/>
  <c r="G450" i="2"/>
  <c r="F450" i="2"/>
  <c r="E450" i="2"/>
  <c r="D450" i="2"/>
  <c r="O449" i="2"/>
  <c r="N449" i="2"/>
  <c r="L449" i="2"/>
  <c r="K449" i="2"/>
  <c r="J449" i="2"/>
  <c r="I449" i="2"/>
  <c r="H449" i="2"/>
  <c r="G449" i="2"/>
  <c r="F449" i="2"/>
  <c r="E449" i="2"/>
  <c r="D449" i="2"/>
  <c r="O448" i="2"/>
  <c r="N448" i="2"/>
  <c r="L448" i="2"/>
  <c r="K448" i="2"/>
  <c r="J448" i="2"/>
  <c r="I448" i="2"/>
  <c r="H448" i="2"/>
  <c r="G448" i="2"/>
  <c r="F448" i="2"/>
  <c r="E448" i="2"/>
  <c r="D448" i="2"/>
  <c r="O447" i="2"/>
  <c r="N447" i="2"/>
  <c r="L447" i="2"/>
  <c r="K447" i="2"/>
  <c r="J447" i="2"/>
  <c r="I447" i="2"/>
  <c r="H447" i="2"/>
  <c r="G447" i="2"/>
  <c r="F447" i="2"/>
  <c r="E447" i="2"/>
  <c r="D447" i="2"/>
  <c r="O446" i="2"/>
  <c r="N446" i="2"/>
  <c r="L446" i="2"/>
  <c r="K446" i="2"/>
  <c r="J446" i="2"/>
  <c r="I446" i="2"/>
  <c r="H446" i="2"/>
  <c r="G446" i="2"/>
  <c r="F446" i="2"/>
  <c r="E446" i="2"/>
  <c r="D446" i="2"/>
  <c r="O445" i="2"/>
  <c r="N445" i="2"/>
  <c r="L445" i="2"/>
  <c r="K445" i="2"/>
  <c r="J445" i="2"/>
  <c r="I445" i="2"/>
  <c r="H445" i="2"/>
  <c r="G445" i="2"/>
  <c r="F445" i="2"/>
  <c r="E445" i="2"/>
  <c r="D445" i="2"/>
  <c r="O444" i="2"/>
  <c r="N444" i="2"/>
  <c r="L444" i="2"/>
  <c r="K444" i="2"/>
  <c r="J444" i="2"/>
  <c r="I444" i="2"/>
  <c r="H444" i="2"/>
  <c r="G444" i="2"/>
  <c r="F444" i="2"/>
  <c r="E444" i="2"/>
  <c r="D444" i="2"/>
  <c r="O443" i="2"/>
  <c r="N443" i="2"/>
  <c r="L443" i="2"/>
  <c r="K443" i="2"/>
  <c r="J443" i="2"/>
  <c r="I443" i="2"/>
  <c r="H443" i="2"/>
  <c r="G443" i="2"/>
  <c r="F443" i="2"/>
  <c r="E443" i="2"/>
  <c r="D443" i="2"/>
  <c r="O442" i="2"/>
  <c r="N442" i="2"/>
  <c r="L442" i="2"/>
  <c r="K442" i="2"/>
  <c r="J442" i="2"/>
  <c r="I442" i="2"/>
  <c r="H442" i="2"/>
  <c r="G442" i="2"/>
  <c r="F442" i="2"/>
  <c r="E442" i="2"/>
  <c r="D442" i="2"/>
  <c r="O441" i="2"/>
  <c r="N441" i="2"/>
  <c r="L441" i="2"/>
  <c r="K441" i="2"/>
  <c r="J441" i="2"/>
  <c r="I441" i="2"/>
  <c r="H441" i="2"/>
  <c r="G441" i="2"/>
  <c r="F441" i="2"/>
  <c r="E441" i="2"/>
  <c r="D441" i="2"/>
  <c r="O440" i="2"/>
  <c r="N440" i="2"/>
  <c r="L440" i="2"/>
  <c r="K440" i="2"/>
  <c r="J440" i="2"/>
  <c r="I440" i="2"/>
  <c r="H440" i="2"/>
  <c r="G440" i="2"/>
  <c r="F440" i="2"/>
  <c r="E440" i="2"/>
  <c r="D440" i="2"/>
  <c r="O439" i="2"/>
  <c r="N439" i="2"/>
  <c r="L439" i="2"/>
  <c r="K439" i="2"/>
  <c r="J439" i="2"/>
  <c r="I439" i="2"/>
  <c r="H439" i="2"/>
  <c r="G439" i="2"/>
  <c r="F439" i="2"/>
  <c r="E439" i="2"/>
  <c r="D439" i="2"/>
  <c r="O438" i="2"/>
  <c r="N438" i="2"/>
  <c r="L438" i="2"/>
  <c r="K438" i="2"/>
  <c r="J438" i="2"/>
  <c r="I438" i="2"/>
  <c r="H438" i="2"/>
  <c r="G438" i="2"/>
  <c r="F438" i="2"/>
  <c r="E438" i="2"/>
  <c r="D438" i="2"/>
  <c r="O437" i="2"/>
  <c r="N437" i="2"/>
  <c r="L437" i="2"/>
  <c r="K437" i="2"/>
  <c r="J437" i="2"/>
  <c r="I437" i="2"/>
  <c r="H437" i="2"/>
  <c r="G437" i="2"/>
  <c r="F437" i="2"/>
  <c r="E437" i="2"/>
  <c r="D437" i="2"/>
  <c r="O436" i="2"/>
  <c r="N436" i="2"/>
  <c r="L436" i="2"/>
  <c r="K436" i="2"/>
  <c r="J436" i="2"/>
  <c r="I436" i="2"/>
  <c r="H436" i="2"/>
  <c r="G436" i="2"/>
  <c r="F436" i="2"/>
  <c r="E436" i="2"/>
  <c r="D436" i="2"/>
  <c r="O435" i="2"/>
  <c r="N435" i="2"/>
  <c r="L435" i="2"/>
  <c r="K435" i="2"/>
  <c r="J435" i="2"/>
  <c r="I435" i="2"/>
  <c r="H435" i="2"/>
  <c r="G435" i="2"/>
  <c r="F435" i="2"/>
  <c r="E435" i="2"/>
  <c r="D435" i="2"/>
  <c r="O434" i="2"/>
  <c r="N434" i="2"/>
  <c r="L434" i="2"/>
  <c r="K434" i="2"/>
  <c r="J434" i="2"/>
  <c r="I434" i="2"/>
  <c r="H434" i="2"/>
  <c r="G434" i="2"/>
  <c r="F434" i="2"/>
  <c r="E434" i="2"/>
  <c r="D434" i="2"/>
  <c r="O433" i="2"/>
  <c r="N433" i="2"/>
  <c r="L433" i="2"/>
  <c r="K433" i="2"/>
  <c r="J433" i="2"/>
  <c r="I433" i="2"/>
  <c r="H433" i="2"/>
  <c r="G433" i="2"/>
  <c r="F433" i="2"/>
  <c r="E433" i="2"/>
  <c r="D433" i="2"/>
  <c r="O432" i="2"/>
  <c r="N432" i="2"/>
  <c r="L432" i="2"/>
  <c r="K432" i="2"/>
  <c r="J432" i="2"/>
  <c r="I432" i="2"/>
  <c r="H432" i="2"/>
  <c r="G432" i="2"/>
  <c r="F432" i="2"/>
  <c r="E432" i="2"/>
  <c r="D432" i="2"/>
  <c r="O431" i="2"/>
  <c r="N431" i="2"/>
  <c r="L431" i="2"/>
  <c r="K431" i="2"/>
  <c r="J431" i="2"/>
  <c r="I431" i="2"/>
  <c r="H431" i="2"/>
  <c r="G431" i="2"/>
  <c r="F431" i="2"/>
  <c r="E431" i="2"/>
  <c r="D431" i="2"/>
  <c r="O430" i="2"/>
  <c r="N430" i="2"/>
  <c r="L430" i="2"/>
  <c r="K430" i="2"/>
  <c r="J430" i="2"/>
  <c r="I430" i="2"/>
  <c r="H430" i="2"/>
  <c r="G430" i="2"/>
  <c r="F430" i="2"/>
  <c r="E430" i="2"/>
  <c r="D430" i="2"/>
  <c r="O429" i="2"/>
  <c r="N429" i="2"/>
  <c r="L429" i="2"/>
  <c r="K429" i="2"/>
  <c r="J429" i="2"/>
  <c r="I429" i="2"/>
  <c r="H429" i="2"/>
  <c r="G429" i="2"/>
  <c r="F429" i="2"/>
  <c r="E429" i="2"/>
  <c r="D429" i="2"/>
  <c r="O428" i="2"/>
  <c r="N428" i="2"/>
  <c r="L428" i="2"/>
  <c r="K428" i="2"/>
  <c r="J428" i="2"/>
  <c r="I428" i="2"/>
  <c r="H428" i="2"/>
  <c r="G428" i="2"/>
  <c r="F428" i="2"/>
  <c r="E428" i="2"/>
  <c r="D428" i="2"/>
  <c r="O427" i="2"/>
  <c r="N427" i="2"/>
  <c r="L427" i="2"/>
  <c r="K427" i="2"/>
  <c r="J427" i="2"/>
  <c r="I427" i="2"/>
  <c r="H427" i="2"/>
  <c r="G427" i="2"/>
  <c r="F427" i="2"/>
  <c r="E427" i="2"/>
  <c r="D427" i="2"/>
  <c r="O426" i="2"/>
  <c r="N426" i="2"/>
  <c r="L426" i="2"/>
  <c r="K426" i="2"/>
  <c r="J426" i="2"/>
  <c r="I426" i="2"/>
  <c r="H426" i="2"/>
  <c r="G426" i="2"/>
  <c r="F426" i="2"/>
  <c r="E426" i="2"/>
  <c r="D426" i="2"/>
  <c r="O425" i="2"/>
  <c r="N425" i="2"/>
  <c r="L425" i="2"/>
  <c r="K425" i="2"/>
  <c r="J425" i="2"/>
  <c r="I425" i="2"/>
  <c r="H425" i="2"/>
  <c r="G425" i="2"/>
  <c r="F425" i="2"/>
  <c r="E425" i="2"/>
  <c r="D425" i="2"/>
  <c r="O424" i="2"/>
  <c r="N424" i="2"/>
  <c r="L424" i="2"/>
  <c r="K424" i="2"/>
  <c r="J424" i="2"/>
  <c r="I424" i="2"/>
  <c r="H424" i="2"/>
  <c r="G424" i="2"/>
  <c r="F424" i="2"/>
  <c r="E424" i="2"/>
  <c r="D424" i="2"/>
  <c r="O423" i="2"/>
  <c r="N423" i="2"/>
  <c r="L423" i="2"/>
  <c r="K423" i="2"/>
  <c r="J423" i="2"/>
  <c r="I423" i="2"/>
  <c r="H423" i="2"/>
  <c r="G423" i="2"/>
  <c r="F423" i="2"/>
  <c r="E423" i="2"/>
  <c r="D423" i="2"/>
  <c r="O422" i="2"/>
  <c r="N422" i="2"/>
  <c r="L422" i="2"/>
  <c r="K422" i="2"/>
  <c r="J422" i="2"/>
  <c r="I422" i="2"/>
  <c r="H422" i="2"/>
  <c r="G422" i="2"/>
  <c r="F422" i="2"/>
  <c r="E422" i="2"/>
  <c r="D422" i="2"/>
  <c r="O421" i="2"/>
  <c r="N421" i="2"/>
  <c r="L421" i="2"/>
  <c r="K421" i="2"/>
  <c r="J421" i="2"/>
  <c r="I421" i="2"/>
  <c r="H421" i="2"/>
  <c r="G421" i="2"/>
  <c r="F421" i="2"/>
  <c r="E421" i="2"/>
  <c r="D421" i="2"/>
  <c r="O420" i="2"/>
  <c r="N420" i="2"/>
  <c r="L420" i="2"/>
  <c r="K420" i="2"/>
  <c r="J420" i="2"/>
  <c r="I420" i="2"/>
  <c r="H420" i="2"/>
  <c r="G420" i="2"/>
  <c r="F420" i="2"/>
  <c r="E420" i="2"/>
  <c r="D420" i="2"/>
  <c r="O419" i="2"/>
  <c r="N419" i="2"/>
  <c r="L419" i="2"/>
  <c r="K419" i="2"/>
  <c r="J419" i="2"/>
  <c r="I419" i="2"/>
  <c r="H419" i="2"/>
  <c r="G419" i="2"/>
  <c r="F419" i="2"/>
  <c r="E419" i="2"/>
  <c r="D419" i="2"/>
  <c r="O418" i="2"/>
  <c r="N418" i="2"/>
  <c r="L418" i="2"/>
  <c r="K418" i="2"/>
  <c r="J418" i="2"/>
  <c r="I418" i="2"/>
  <c r="H418" i="2"/>
  <c r="G418" i="2"/>
  <c r="F418" i="2"/>
  <c r="E418" i="2"/>
  <c r="D418" i="2"/>
  <c r="O417" i="2"/>
  <c r="N417" i="2"/>
  <c r="L417" i="2"/>
  <c r="K417" i="2"/>
  <c r="J417" i="2"/>
  <c r="I417" i="2"/>
  <c r="H417" i="2"/>
  <c r="G417" i="2"/>
  <c r="F417" i="2"/>
  <c r="E417" i="2"/>
  <c r="D417" i="2"/>
  <c r="O416" i="2"/>
  <c r="N416" i="2"/>
  <c r="L416" i="2"/>
  <c r="K416" i="2"/>
  <c r="J416" i="2"/>
  <c r="I416" i="2"/>
  <c r="H416" i="2"/>
  <c r="G416" i="2"/>
  <c r="F416" i="2"/>
  <c r="E416" i="2"/>
  <c r="D416" i="2"/>
  <c r="O415" i="2"/>
  <c r="N415" i="2"/>
  <c r="L415" i="2"/>
  <c r="K415" i="2"/>
  <c r="J415" i="2"/>
  <c r="I415" i="2"/>
  <c r="H415" i="2"/>
  <c r="G415" i="2"/>
  <c r="F415" i="2"/>
  <c r="E415" i="2"/>
  <c r="D415" i="2"/>
  <c r="O414" i="2"/>
  <c r="N414" i="2"/>
  <c r="L414" i="2"/>
  <c r="K414" i="2"/>
  <c r="J414" i="2"/>
  <c r="I414" i="2"/>
  <c r="H414" i="2"/>
  <c r="G414" i="2"/>
  <c r="F414" i="2"/>
  <c r="E414" i="2"/>
  <c r="D414" i="2"/>
  <c r="O413" i="2"/>
  <c r="N413" i="2"/>
  <c r="L413" i="2"/>
  <c r="K413" i="2"/>
  <c r="J413" i="2"/>
  <c r="I413" i="2"/>
  <c r="H413" i="2"/>
  <c r="G413" i="2"/>
  <c r="F413" i="2"/>
  <c r="E413" i="2"/>
  <c r="D413" i="2"/>
  <c r="O412" i="2"/>
  <c r="N412" i="2"/>
  <c r="L412" i="2"/>
  <c r="K412" i="2"/>
  <c r="J412" i="2"/>
  <c r="I412" i="2"/>
  <c r="H412" i="2"/>
  <c r="G412" i="2"/>
  <c r="F412" i="2"/>
  <c r="E412" i="2"/>
  <c r="D412" i="2"/>
  <c r="O411" i="2"/>
  <c r="N411" i="2"/>
  <c r="L411" i="2"/>
  <c r="K411" i="2"/>
  <c r="J411" i="2"/>
  <c r="I411" i="2"/>
  <c r="H411" i="2"/>
  <c r="G411" i="2"/>
  <c r="F411" i="2"/>
  <c r="E411" i="2"/>
  <c r="D411" i="2"/>
  <c r="O410" i="2"/>
  <c r="N410" i="2"/>
  <c r="L410" i="2"/>
  <c r="K410" i="2"/>
  <c r="J410" i="2"/>
  <c r="I410" i="2"/>
  <c r="H410" i="2"/>
  <c r="G410" i="2"/>
  <c r="F410" i="2"/>
  <c r="E410" i="2"/>
  <c r="D410" i="2"/>
  <c r="O409" i="2"/>
  <c r="N409" i="2"/>
  <c r="L409" i="2"/>
  <c r="K409" i="2"/>
  <c r="J409" i="2"/>
  <c r="I409" i="2"/>
  <c r="H409" i="2"/>
  <c r="G409" i="2"/>
  <c r="F409" i="2"/>
  <c r="E409" i="2"/>
  <c r="D409" i="2"/>
  <c r="O408" i="2"/>
  <c r="N408" i="2"/>
  <c r="L408" i="2"/>
  <c r="K408" i="2"/>
  <c r="J408" i="2"/>
  <c r="I408" i="2"/>
  <c r="H408" i="2"/>
  <c r="G408" i="2"/>
  <c r="F408" i="2"/>
  <c r="E408" i="2"/>
  <c r="D408" i="2"/>
  <c r="O407" i="2"/>
  <c r="N407" i="2"/>
  <c r="L407" i="2"/>
  <c r="K407" i="2"/>
  <c r="J407" i="2"/>
  <c r="I407" i="2"/>
  <c r="H407" i="2"/>
  <c r="G407" i="2"/>
  <c r="F407" i="2"/>
  <c r="E407" i="2"/>
  <c r="D407" i="2"/>
  <c r="O406" i="2"/>
  <c r="N406" i="2"/>
  <c r="L406" i="2"/>
  <c r="K406" i="2"/>
  <c r="J406" i="2"/>
  <c r="I406" i="2"/>
  <c r="H406" i="2"/>
  <c r="G406" i="2"/>
  <c r="F406" i="2"/>
  <c r="E406" i="2"/>
  <c r="D406" i="2"/>
  <c r="O405" i="2"/>
  <c r="N405" i="2"/>
  <c r="L405" i="2"/>
  <c r="K405" i="2"/>
  <c r="J405" i="2"/>
  <c r="I405" i="2"/>
  <c r="H405" i="2"/>
  <c r="G405" i="2"/>
  <c r="F405" i="2"/>
  <c r="E405" i="2"/>
  <c r="D405" i="2"/>
  <c r="O404" i="2"/>
  <c r="N404" i="2"/>
  <c r="L404" i="2"/>
  <c r="K404" i="2"/>
  <c r="J404" i="2"/>
  <c r="I404" i="2"/>
  <c r="H404" i="2"/>
  <c r="G404" i="2"/>
  <c r="F404" i="2"/>
  <c r="E404" i="2"/>
  <c r="D404" i="2"/>
  <c r="O403" i="2"/>
  <c r="N403" i="2"/>
  <c r="L403" i="2"/>
  <c r="K403" i="2"/>
  <c r="J403" i="2"/>
  <c r="I403" i="2"/>
  <c r="H403" i="2"/>
  <c r="G403" i="2"/>
  <c r="F403" i="2"/>
  <c r="E403" i="2"/>
  <c r="D403" i="2"/>
  <c r="O402" i="2"/>
  <c r="N402" i="2"/>
  <c r="L402" i="2"/>
  <c r="K402" i="2"/>
  <c r="J402" i="2"/>
  <c r="I402" i="2"/>
  <c r="H402" i="2"/>
  <c r="G402" i="2"/>
  <c r="F402" i="2"/>
  <c r="E402" i="2"/>
  <c r="D402" i="2"/>
  <c r="O401" i="2"/>
  <c r="N401" i="2"/>
  <c r="L401" i="2"/>
  <c r="K401" i="2"/>
  <c r="J401" i="2"/>
  <c r="I401" i="2"/>
  <c r="H401" i="2"/>
  <c r="G401" i="2"/>
  <c r="F401" i="2"/>
  <c r="E401" i="2"/>
  <c r="D401" i="2"/>
  <c r="O400" i="2"/>
  <c r="N400" i="2"/>
  <c r="L400" i="2"/>
  <c r="K400" i="2"/>
  <c r="J400" i="2"/>
  <c r="I400" i="2"/>
  <c r="H400" i="2"/>
  <c r="G400" i="2"/>
  <c r="F400" i="2"/>
  <c r="E400" i="2"/>
  <c r="D400" i="2"/>
  <c r="O399" i="2"/>
  <c r="N399" i="2"/>
  <c r="L399" i="2"/>
  <c r="K399" i="2"/>
  <c r="J399" i="2"/>
  <c r="I399" i="2"/>
  <c r="H399" i="2"/>
  <c r="G399" i="2"/>
  <c r="F399" i="2"/>
  <c r="E399" i="2"/>
  <c r="D399" i="2"/>
  <c r="O398" i="2"/>
  <c r="N398" i="2"/>
  <c r="L398" i="2"/>
  <c r="K398" i="2"/>
  <c r="J398" i="2"/>
  <c r="I398" i="2"/>
  <c r="H398" i="2"/>
  <c r="G398" i="2"/>
  <c r="F398" i="2"/>
  <c r="E398" i="2"/>
  <c r="D398" i="2"/>
  <c r="O397" i="2"/>
  <c r="N397" i="2"/>
  <c r="L397" i="2"/>
  <c r="K397" i="2"/>
  <c r="J397" i="2"/>
  <c r="I397" i="2"/>
  <c r="H397" i="2"/>
  <c r="G397" i="2"/>
  <c r="F397" i="2"/>
  <c r="E397" i="2"/>
  <c r="D397" i="2"/>
  <c r="O396" i="2"/>
  <c r="N396" i="2"/>
  <c r="L396" i="2"/>
  <c r="K396" i="2"/>
  <c r="J396" i="2"/>
  <c r="I396" i="2"/>
  <c r="H396" i="2"/>
  <c r="G396" i="2"/>
  <c r="F396" i="2"/>
  <c r="E396" i="2"/>
  <c r="D396" i="2"/>
  <c r="O395" i="2"/>
  <c r="N395" i="2"/>
  <c r="L395" i="2"/>
  <c r="K395" i="2"/>
  <c r="J395" i="2"/>
  <c r="I395" i="2"/>
  <c r="H395" i="2"/>
  <c r="G395" i="2"/>
  <c r="F395" i="2"/>
  <c r="E395" i="2"/>
  <c r="D395" i="2"/>
  <c r="O394" i="2"/>
  <c r="N394" i="2"/>
  <c r="L394" i="2"/>
  <c r="K394" i="2"/>
  <c r="J394" i="2"/>
  <c r="I394" i="2"/>
  <c r="H394" i="2"/>
  <c r="G394" i="2"/>
  <c r="F394" i="2"/>
  <c r="E394" i="2"/>
  <c r="D394" i="2"/>
  <c r="O393" i="2"/>
  <c r="N393" i="2"/>
  <c r="L393" i="2"/>
  <c r="K393" i="2"/>
  <c r="J393" i="2"/>
  <c r="I393" i="2"/>
  <c r="H393" i="2"/>
  <c r="G393" i="2"/>
  <c r="F393" i="2"/>
  <c r="E393" i="2"/>
  <c r="D393" i="2"/>
  <c r="O392" i="2"/>
  <c r="N392" i="2"/>
  <c r="L392" i="2"/>
  <c r="K392" i="2"/>
  <c r="J392" i="2"/>
  <c r="I392" i="2"/>
  <c r="H392" i="2"/>
  <c r="G392" i="2"/>
  <c r="F392" i="2"/>
  <c r="E392" i="2"/>
  <c r="D392" i="2"/>
  <c r="O391" i="2"/>
  <c r="N391" i="2"/>
  <c r="L391" i="2"/>
  <c r="K391" i="2"/>
  <c r="J391" i="2"/>
  <c r="I391" i="2"/>
  <c r="H391" i="2"/>
  <c r="G391" i="2"/>
  <c r="F391" i="2"/>
  <c r="E391" i="2"/>
  <c r="D391" i="2"/>
  <c r="O390" i="2"/>
  <c r="N390" i="2"/>
  <c r="L390" i="2"/>
  <c r="K390" i="2"/>
  <c r="J390" i="2"/>
  <c r="I390" i="2"/>
  <c r="H390" i="2"/>
  <c r="G390" i="2"/>
  <c r="F390" i="2"/>
  <c r="E390" i="2"/>
  <c r="D390" i="2"/>
  <c r="O389" i="2"/>
  <c r="N389" i="2"/>
  <c r="L389" i="2"/>
  <c r="K389" i="2"/>
  <c r="J389" i="2"/>
  <c r="I389" i="2"/>
  <c r="H389" i="2"/>
  <c r="G389" i="2"/>
  <c r="F389" i="2"/>
  <c r="E389" i="2"/>
  <c r="D389" i="2"/>
  <c r="O388" i="2"/>
  <c r="N388" i="2"/>
  <c r="L388" i="2"/>
  <c r="K388" i="2"/>
  <c r="J388" i="2"/>
  <c r="I388" i="2"/>
  <c r="H388" i="2"/>
  <c r="G388" i="2"/>
  <c r="F388" i="2"/>
  <c r="E388" i="2"/>
  <c r="D388" i="2"/>
  <c r="O387" i="2"/>
  <c r="N387" i="2"/>
  <c r="L387" i="2"/>
  <c r="K387" i="2"/>
  <c r="J387" i="2"/>
  <c r="I387" i="2"/>
  <c r="H387" i="2"/>
  <c r="G387" i="2"/>
  <c r="F387" i="2"/>
  <c r="E387" i="2"/>
  <c r="D387" i="2"/>
  <c r="O386" i="2"/>
  <c r="N386" i="2"/>
  <c r="L386" i="2"/>
  <c r="K386" i="2"/>
  <c r="J386" i="2"/>
  <c r="I386" i="2"/>
  <c r="H386" i="2"/>
  <c r="G386" i="2"/>
  <c r="F386" i="2"/>
  <c r="E386" i="2"/>
  <c r="D386" i="2"/>
  <c r="O385" i="2"/>
  <c r="N385" i="2"/>
  <c r="L385" i="2"/>
  <c r="K385" i="2"/>
  <c r="J385" i="2"/>
  <c r="I385" i="2"/>
  <c r="H385" i="2"/>
  <c r="G385" i="2"/>
  <c r="F385" i="2"/>
  <c r="E385" i="2"/>
  <c r="D385" i="2"/>
  <c r="O384" i="2"/>
  <c r="N384" i="2"/>
  <c r="L384" i="2"/>
  <c r="K384" i="2"/>
  <c r="J384" i="2"/>
  <c r="I384" i="2"/>
  <c r="H384" i="2"/>
  <c r="G384" i="2"/>
  <c r="F384" i="2"/>
  <c r="E384" i="2"/>
  <c r="D384" i="2"/>
  <c r="O383" i="2"/>
  <c r="N383" i="2"/>
  <c r="L383" i="2"/>
  <c r="K383" i="2"/>
  <c r="J383" i="2"/>
  <c r="I383" i="2"/>
  <c r="H383" i="2"/>
  <c r="G383" i="2"/>
  <c r="F383" i="2"/>
  <c r="E383" i="2"/>
  <c r="D383" i="2"/>
  <c r="O382" i="2"/>
  <c r="N382" i="2"/>
  <c r="L382" i="2"/>
  <c r="K382" i="2"/>
  <c r="J382" i="2"/>
  <c r="I382" i="2"/>
  <c r="H382" i="2"/>
  <c r="G382" i="2"/>
  <c r="F382" i="2"/>
  <c r="E382" i="2"/>
  <c r="D382" i="2"/>
  <c r="O381" i="2"/>
  <c r="N381" i="2"/>
  <c r="L381" i="2"/>
  <c r="K381" i="2"/>
  <c r="J381" i="2"/>
  <c r="I381" i="2"/>
  <c r="H381" i="2"/>
  <c r="G381" i="2"/>
  <c r="F381" i="2"/>
  <c r="E381" i="2"/>
  <c r="D381" i="2"/>
  <c r="O380" i="2"/>
  <c r="N380" i="2"/>
  <c r="L380" i="2"/>
  <c r="K380" i="2"/>
  <c r="J380" i="2"/>
  <c r="I380" i="2"/>
  <c r="H380" i="2"/>
  <c r="G380" i="2"/>
  <c r="F380" i="2"/>
  <c r="E380" i="2"/>
  <c r="D380" i="2"/>
  <c r="O379" i="2"/>
  <c r="N379" i="2"/>
  <c r="L379" i="2"/>
  <c r="K379" i="2"/>
  <c r="J379" i="2"/>
  <c r="I379" i="2"/>
  <c r="H379" i="2"/>
  <c r="G379" i="2"/>
  <c r="F379" i="2"/>
  <c r="E379" i="2"/>
  <c r="D379" i="2"/>
  <c r="O378" i="2"/>
  <c r="N378" i="2"/>
  <c r="L378" i="2"/>
  <c r="K378" i="2"/>
  <c r="J378" i="2"/>
  <c r="I378" i="2"/>
  <c r="H378" i="2"/>
  <c r="G378" i="2"/>
  <c r="F378" i="2"/>
  <c r="E378" i="2"/>
  <c r="D378" i="2"/>
  <c r="O377" i="2"/>
  <c r="N377" i="2"/>
  <c r="L377" i="2"/>
  <c r="K377" i="2"/>
  <c r="J377" i="2"/>
  <c r="I377" i="2"/>
  <c r="H377" i="2"/>
  <c r="G377" i="2"/>
  <c r="F377" i="2"/>
  <c r="E377" i="2"/>
  <c r="D377" i="2"/>
  <c r="O376" i="2"/>
  <c r="N376" i="2"/>
  <c r="L376" i="2"/>
  <c r="K376" i="2"/>
  <c r="J376" i="2"/>
  <c r="I376" i="2"/>
  <c r="H376" i="2"/>
  <c r="G376" i="2"/>
  <c r="F376" i="2"/>
  <c r="E376" i="2"/>
  <c r="D376" i="2"/>
  <c r="O375" i="2"/>
  <c r="N375" i="2"/>
  <c r="L375" i="2"/>
  <c r="K375" i="2"/>
  <c r="J375" i="2"/>
  <c r="I375" i="2"/>
  <c r="H375" i="2"/>
  <c r="G375" i="2"/>
  <c r="F375" i="2"/>
  <c r="E375" i="2"/>
  <c r="D375" i="2"/>
  <c r="O374" i="2"/>
  <c r="N374" i="2"/>
  <c r="L374" i="2"/>
  <c r="K374" i="2"/>
  <c r="J374" i="2"/>
  <c r="I374" i="2"/>
  <c r="H374" i="2"/>
  <c r="G374" i="2"/>
  <c r="F374" i="2"/>
  <c r="E374" i="2"/>
  <c r="D374" i="2"/>
  <c r="O373" i="2"/>
  <c r="N373" i="2"/>
  <c r="L373" i="2"/>
  <c r="K373" i="2"/>
  <c r="J373" i="2"/>
  <c r="I373" i="2"/>
  <c r="H373" i="2"/>
  <c r="G373" i="2"/>
  <c r="F373" i="2"/>
  <c r="E373" i="2"/>
  <c r="D373" i="2"/>
  <c r="O372" i="2"/>
  <c r="N372" i="2"/>
  <c r="L372" i="2"/>
  <c r="K372" i="2"/>
  <c r="J372" i="2"/>
  <c r="I372" i="2"/>
  <c r="H372" i="2"/>
  <c r="G372" i="2"/>
  <c r="F372" i="2"/>
  <c r="E372" i="2"/>
  <c r="D372" i="2"/>
  <c r="O371" i="2"/>
  <c r="N371" i="2"/>
  <c r="L371" i="2"/>
  <c r="K371" i="2"/>
  <c r="J371" i="2"/>
  <c r="I371" i="2"/>
  <c r="H371" i="2"/>
  <c r="G371" i="2"/>
  <c r="F371" i="2"/>
  <c r="E371" i="2"/>
  <c r="D371" i="2"/>
  <c r="O370" i="2"/>
  <c r="N370" i="2"/>
  <c r="L370" i="2"/>
  <c r="K370" i="2"/>
  <c r="J370" i="2"/>
  <c r="I370" i="2"/>
  <c r="H370" i="2"/>
  <c r="G370" i="2"/>
  <c r="F370" i="2"/>
  <c r="E370" i="2"/>
  <c r="D370" i="2"/>
  <c r="O369" i="2"/>
  <c r="N369" i="2"/>
  <c r="L369" i="2"/>
  <c r="K369" i="2"/>
  <c r="J369" i="2"/>
  <c r="I369" i="2"/>
  <c r="H369" i="2"/>
  <c r="G369" i="2"/>
  <c r="F369" i="2"/>
  <c r="E369" i="2"/>
  <c r="D369" i="2"/>
  <c r="C369" i="2"/>
  <c r="O368" i="2"/>
  <c r="N368" i="2"/>
  <c r="L368" i="2"/>
  <c r="K368" i="2"/>
  <c r="J368" i="2"/>
  <c r="I368" i="2"/>
  <c r="H368" i="2"/>
  <c r="G368" i="2"/>
  <c r="F368" i="2"/>
  <c r="E368" i="2"/>
  <c r="D368" i="2"/>
  <c r="O367" i="2"/>
  <c r="N367" i="2"/>
  <c r="L367" i="2"/>
  <c r="K367" i="2"/>
  <c r="J367" i="2"/>
  <c r="I367" i="2"/>
  <c r="H367" i="2"/>
  <c r="G367" i="2"/>
  <c r="F367" i="2"/>
  <c r="E367" i="2"/>
  <c r="D367" i="2"/>
  <c r="B367" i="2"/>
  <c r="O366" i="2"/>
  <c r="N366" i="2"/>
  <c r="L366" i="2"/>
  <c r="K366" i="2"/>
  <c r="J366" i="2"/>
  <c r="I366" i="2"/>
  <c r="H366" i="2"/>
  <c r="G366" i="2"/>
  <c r="F366" i="2"/>
  <c r="E366" i="2"/>
  <c r="D366" i="2"/>
  <c r="O365" i="2"/>
  <c r="N365" i="2"/>
  <c r="L365" i="2"/>
  <c r="K365" i="2"/>
  <c r="J365" i="2"/>
  <c r="I365" i="2"/>
  <c r="H365" i="2"/>
  <c r="G365" i="2"/>
  <c r="F365" i="2"/>
  <c r="E365" i="2"/>
  <c r="D365" i="2"/>
  <c r="O364" i="2"/>
  <c r="N364" i="2"/>
  <c r="L364" i="2"/>
  <c r="K364" i="2"/>
  <c r="J364" i="2"/>
  <c r="I364" i="2"/>
  <c r="H364" i="2"/>
  <c r="G364" i="2"/>
  <c r="F364" i="2"/>
  <c r="E364" i="2"/>
  <c r="D364" i="2"/>
  <c r="O363" i="2"/>
  <c r="N363" i="2"/>
  <c r="L363" i="2"/>
  <c r="K363" i="2"/>
  <c r="J363" i="2"/>
  <c r="I363" i="2"/>
  <c r="H363" i="2"/>
  <c r="G363" i="2"/>
  <c r="F363" i="2"/>
  <c r="E363" i="2"/>
  <c r="D363" i="2"/>
  <c r="O362" i="2"/>
  <c r="N362" i="2"/>
  <c r="L362" i="2"/>
  <c r="K362" i="2"/>
  <c r="J362" i="2"/>
  <c r="I362" i="2"/>
  <c r="H362" i="2"/>
  <c r="G362" i="2"/>
  <c r="F362" i="2"/>
  <c r="E362" i="2"/>
  <c r="D362" i="2"/>
  <c r="O361" i="2"/>
  <c r="N361" i="2"/>
  <c r="L361" i="2"/>
  <c r="K361" i="2"/>
  <c r="J361" i="2"/>
  <c r="I361" i="2"/>
  <c r="H361" i="2"/>
  <c r="G361" i="2"/>
  <c r="F361" i="2"/>
  <c r="E361" i="2"/>
  <c r="D361" i="2"/>
  <c r="O360" i="2"/>
  <c r="N360" i="2"/>
  <c r="L360" i="2"/>
  <c r="K360" i="2"/>
  <c r="J360" i="2"/>
  <c r="I360" i="2"/>
  <c r="H360" i="2"/>
  <c r="G360" i="2"/>
  <c r="F360" i="2"/>
  <c r="E360" i="2"/>
  <c r="D360" i="2"/>
  <c r="O359" i="2"/>
  <c r="N359" i="2"/>
  <c r="L359" i="2"/>
  <c r="K359" i="2"/>
  <c r="J359" i="2"/>
  <c r="I359" i="2"/>
  <c r="H359" i="2"/>
  <c r="G359" i="2"/>
  <c r="F359" i="2"/>
  <c r="E359" i="2"/>
  <c r="D359" i="2"/>
  <c r="O358" i="2"/>
  <c r="N358" i="2"/>
  <c r="L358" i="2"/>
  <c r="K358" i="2"/>
  <c r="J358" i="2"/>
  <c r="I358" i="2"/>
  <c r="H358" i="2"/>
  <c r="G358" i="2"/>
  <c r="F358" i="2"/>
  <c r="E358" i="2"/>
  <c r="D358" i="2"/>
  <c r="O357" i="2"/>
  <c r="N357" i="2"/>
  <c r="L357" i="2"/>
  <c r="K357" i="2"/>
  <c r="J357" i="2"/>
  <c r="I357" i="2"/>
  <c r="H357" i="2"/>
  <c r="G357" i="2"/>
  <c r="F357" i="2"/>
  <c r="E357" i="2"/>
  <c r="D357" i="2"/>
  <c r="O356" i="2"/>
  <c r="N356" i="2"/>
  <c r="L356" i="2"/>
  <c r="K356" i="2"/>
  <c r="J356" i="2"/>
  <c r="I356" i="2"/>
  <c r="H356" i="2"/>
  <c r="G356" i="2"/>
  <c r="F356" i="2"/>
  <c r="E356" i="2"/>
  <c r="D356" i="2"/>
  <c r="O355" i="2"/>
  <c r="N355" i="2"/>
  <c r="L355" i="2"/>
  <c r="K355" i="2"/>
  <c r="J355" i="2"/>
  <c r="I355" i="2"/>
  <c r="H355" i="2"/>
  <c r="G355" i="2"/>
  <c r="F355" i="2"/>
  <c r="E355" i="2"/>
  <c r="D355" i="2"/>
  <c r="O354" i="2"/>
  <c r="N354" i="2"/>
  <c r="L354" i="2"/>
  <c r="K354" i="2"/>
  <c r="J354" i="2"/>
  <c r="I354" i="2"/>
  <c r="H354" i="2"/>
  <c r="G354" i="2"/>
  <c r="F354" i="2"/>
  <c r="E354" i="2"/>
  <c r="D354" i="2"/>
  <c r="O353" i="2"/>
  <c r="N353" i="2"/>
  <c r="L353" i="2"/>
  <c r="K353" i="2"/>
  <c r="J353" i="2"/>
  <c r="I353" i="2"/>
  <c r="H353" i="2"/>
  <c r="G353" i="2"/>
  <c r="F353" i="2"/>
  <c r="E353" i="2"/>
  <c r="D353" i="2"/>
  <c r="O352" i="2"/>
  <c r="N352" i="2"/>
  <c r="L352" i="2"/>
  <c r="K352" i="2"/>
  <c r="J352" i="2"/>
  <c r="I352" i="2"/>
  <c r="H352" i="2"/>
  <c r="G352" i="2"/>
  <c r="F352" i="2"/>
  <c r="E352" i="2"/>
  <c r="D352" i="2"/>
  <c r="O351" i="2"/>
  <c r="N351" i="2"/>
  <c r="L351" i="2"/>
  <c r="K351" i="2"/>
  <c r="J351" i="2"/>
  <c r="I351" i="2"/>
  <c r="H351" i="2"/>
  <c r="G351" i="2"/>
  <c r="F351" i="2"/>
  <c r="E351" i="2"/>
  <c r="D351" i="2"/>
  <c r="O350" i="2"/>
  <c r="N350" i="2"/>
  <c r="L350" i="2"/>
  <c r="K350" i="2"/>
  <c r="J350" i="2"/>
  <c r="I350" i="2"/>
  <c r="H350" i="2"/>
  <c r="G350" i="2"/>
  <c r="F350" i="2"/>
  <c r="E350" i="2"/>
  <c r="D350" i="2"/>
  <c r="O349" i="2"/>
  <c r="N349" i="2"/>
  <c r="L349" i="2"/>
  <c r="K349" i="2"/>
  <c r="J349" i="2"/>
  <c r="I349" i="2"/>
  <c r="H349" i="2"/>
  <c r="G349" i="2"/>
  <c r="F349" i="2"/>
  <c r="E349" i="2"/>
  <c r="D349" i="2"/>
  <c r="O348" i="2"/>
  <c r="N348" i="2"/>
  <c r="L348" i="2"/>
  <c r="K348" i="2"/>
  <c r="J348" i="2"/>
  <c r="I348" i="2"/>
  <c r="H348" i="2"/>
  <c r="G348" i="2"/>
  <c r="F348" i="2"/>
  <c r="E348" i="2"/>
  <c r="D348" i="2"/>
  <c r="O347" i="2"/>
  <c r="N347" i="2"/>
  <c r="L347" i="2"/>
  <c r="K347" i="2"/>
  <c r="J347" i="2"/>
  <c r="I347" i="2"/>
  <c r="H347" i="2"/>
  <c r="G347" i="2"/>
  <c r="F347" i="2"/>
  <c r="E347" i="2"/>
  <c r="D347" i="2"/>
  <c r="O346" i="2"/>
  <c r="N346" i="2"/>
  <c r="L346" i="2"/>
  <c r="K346" i="2"/>
  <c r="J346" i="2"/>
  <c r="I346" i="2"/>
  <c r="H346" i="2"/>
  <c r="G346" i="2"/>
  <c r="F346" i="2"/>
  <c r="E346" i="2"/>
  <c r="D346" i="2"/>
  <c r="O345" i="2"/>
  <c r="N345" i="2"/>
  <c r="L345" i="2"/>
  <c r="K345" i="2"/>
  <c r="J345" i="2"/>
  <c r="I345" i="2"/>
  <c r="H345" i="2"/>
  <c r="G345" i="2"/>
  <c r="F345" i="2"/>
  <c r="E345" i="2"/>
  <c r="D345" i="2"/>
  <c r="O344" i="2"/>
  <c r="N344" i="2"/>
  <c r="L344" i="2"/>
  <c r="K344" i="2"/>
  <c r="J344" i="2"/>
  <c r="I344" i="2"/>
  <c r="H344" i="2"/>
  <c r="G344" i="2"/>
  <c r="F344" i="2"/>
  <c r="E344" i="2"/>
  <c r="D344" i="2"/>
  <c r="O343" i="2"/>
  <c r="N343" i="2"/>
  <c r="L343" i="2"/>
  <c r="K343" i="2"/>
  <c r="J343" i="2"/>
  <c r="I343" i="2"/>
  <c r="H343" i="2"/>
  <c r="G343" i="2"/>
  <c r="F343" i="2"/>
  <c r="E343" i="2"/>
  <c r="D343" i="2"/>
  <c r="O342" i="2"/>
  <c r="N342" i="2"/>
  <c r="L342" i="2"/>
  <c r="K342" i="2"/>
  <c r="J342" i="2"/>
  <c r="I342" i="2"/>
  <c r="H342" i="2"/>
  <c r="G342" i="2"/>
  <c r="F342" i="2"/>
  <c r="E342" i="2"/>
  <c r="D342" i="2"/>
  <c r="O341" i="2"/>
  <c r="N341" i="2"/>
  <c r="L341" i="2"/>
  <c r="K341" i="2"/>
  <c r="J341" i="2"/>
  <c r="I341" i="2"/>
  <c r="H341" i="2"/>
  <c r="G341" i="2"/>
  <c r="F341" i="2"/>
  <c r="E341" i="2"/>
  <c r="D341" i="2"/>
  <c r="O340" i="2"/>
  <c r="N340" i="2"/>
  <c r="L340" i="2"/>
  <c r="K340" i="2"/>
  <c r="J340" i="2"/>
  <c r="I340" i="2"/>
  <c r="H340" i="2"/>
  <c r="G340" i="2"/>
  <c r="F340" i="2"/>
  <c r="E340" i="2"/>
  <c r="D340" i="2"/>
  <c r="O339" i="2"/>
  <c r="N339" i="2"/>
  <c r="L339" i="2"/>
  <c r="K339" i="2"/>
  <c r="J339" i="2"/>
  <c r="I339" i="2"/>
  <c r="H339" i="2"/>
  <c r="G339" i="2"/>
  <c r="F339" i="2"/>
  <c r="E339" i="2"/>
  <c r="D339" i="2"/>
  <c r="O338" i="2"/>
  <c r="N338" i="2"/>
  <c r="L338" i="2"/>
  <c r="K338" i="2"/>
  <c r="J338" i="2"/>
  <c r="I338" i="2"/>
  <c r="H338" i="2"/>
  <c r="G338" i="2"/>
  <c r="F338" i="2"/>
  <c r="E338" i="2"/>
  <c r="D338" i="2"/>
  <c r="O337" i="2"/>
  <c r="N337" i="2"/>
  <c r="L337" i="2"/>
  <c r="K337" i="2"/>
  <c r="J337" i="2"/>
  <c r="I337" i="2"/>
  <c r="H337" i="2"/>
  <c r="G337" i="2"/>
  <c r="F337" i="2"/>
  <c r="E337" i="2"/>
  <c r="D337" i="2"/>
  <c r="O336" i="2"/>
  <c r="N336" i="2"/>
  <c r="L336" i="2"/>
  <c r="K336" i="2"/>
  <c r="J336" i="2"/>
  <c r="I336" i="2"/>
  <c r="H336" i="2"/>
  <c r="G336" i="2"/>
  <c r="F336" i="2"/>
  <c r="E336" i="2"/>
  <c r="D336" i="2"/>
  <c r="O335" i="2"/>
  <c r="N335" i="2"/>
  <c r="L335" i="2"/>
  <c r="K335" i="2"/>
  <c r="J335" i="2"/>
  <c r="I335" i="2"/>
  <c r="H335" i="2"/>
  <c r="G335" i="2"/>
  <c r="F335" i="2"/>
  <c r="E335" i="2"/>
  <c r="D335" i="2"/>
  <c r="O334" i="2"/>
  <c r="N334" i="2"/>
  <c r="L334" i="2"/>
  <c r="K334" i="2"/>
  <c r="J334" i="2"/>
  <c r="I334" i="2"/>
  <c r="H334" i="2"/>
  <c r="G334" i="2"/>
  <c r="F334" i="2"/>
  <c r="E334" i="2"/>
  <c r="D334" i="2"/>
  <c r="O333" i="2"/>
  <c r="N333" i="2"/>
  <c r="L333" i="2"/>
  <c r="K333" i="2"/>
  <c r="J333" i="2"/>
  <c r="I333" i="2"/>
  <c r="H333" i="2"/>
  <c r="G333" i="2"/>
  <c r="F333" i="2"/>
  <c r="E333" i="2"/>
  <c r="D333" i="2"/>
  <c r="O332" i="2"/>
  <c r="N332" i="2"/>
  <c r="L332" i="2"/>
  <c r="K332" i="2"/>
  <c r="J332" i="2"/>
  <c r="I332" i="2"/>
  <c r="H332" i="2"/>
  <c r="G332" i="2"/>
  <c r="F332" i="2"/>
  <c r="E332" i="2"/>
  <c r="D332" i="2"/>
  <c r="O331" i="2"/>
  <c r="N331" i="2"/>
  <c r="L331" i="2"/>
  <c r="K331" i="2"/>
  <c r="J331" i="2"/>
  <c r="I331" i="2"/>
  <c r="H331" i="2"/>
  <c r="G331" i="2"/>
  <c r="F331" i="2"/>
  <c r="E331" i="2"/>
  <c r="D331" i="2"/>
  <c r="O330" i="2"/>
  <c r="N330" i="2"/>
  <c r="L330" i="2"/>
  <c r="K330" i="2"/>
  <c r="J330" i="2"/>
  <c r="I330" i="2"/>
  <c r="H330" i="2"/>
  <c r="G330" i="2"/>
  <c r="F330" i="2"/>
  <c r="E330" i="2"/>
  <c r="D330" i="2"/>
  <c r="O329" i="2"/>
  <c r="N329" i="2"/>
  <c r="L329" i="2"/>
  <c r="K329" i="2"/>
  <c r="J329" i="2"/>
  <c r="I329" i="2"/>
  <c r="H329" i="2"/>
  <c r="G329" i="2"/>
  <c r="F329" i="2"/>
  <c r="E329" i="2"/>
  <c r="D329" i="2"/>
  <c r="O328" i="2"/>
  <c r="N328" i="2"/>
  <c r="L328" i="2"/>
  <c r="K328" i="2"/>
  <c r="J328" i="2"/>
  <c r="I328" i="2"/>
  <c r="H328" i="2"/>
  <c r="G328" i="2"/>
  <c r="F328" i="2"/>
  <c r="E328" i="2"/>
  <c r="D328" i="2"/>
  <c r="O327" i="2"/>
  <c r="N327" i="2"/>
  <c r="L327" i="2"/>
  <c r="K327" i="2"/>
  <c r="J327" i="2"/>
  <c r="I327" i="2"/>
  <c r="H327" i="2"/>
  <c r="G327" i="2"/>
  <c r="F327" i="2"/>
  <c r="E327" i="2"/>
  <c r="D327" i="2"/>
  <c r="O326" i="2"/>
  <c r="N326" i="2"/>
  <c r="L326" i="2"/>
  <c r="K326" i="2"/>
  <c r="J326" i="2"/>
  <c r="I326" i="2"/>
  <c r="H326" i="2"/>
  <c r="G326" i="2"/>
  <c r="F326" i="2"/>
  <c r="E326" i="2"/>
  <c r="D326" i="2"/>
  <c r="O325" i="2"/>
  <c r="N325" i="2"/>
  <c r="L325" i="2"/>
  <c r="K325" i="2"/>
  <c r="J325" i="2"/>
  <c r="I325" i="2"/>
  <c r="H325" i="2"/>
  <c r="G325" i="2"/>
  <c r="F325" i="2"/>
  <c r="E325" i="2"/>
  <c r="D325" i="2"/>
  <c r="O324" i="2"/>
  <c r="N324" i="2"/>
  <c r="L324" i="2"/>
  <c r="K324" i="2"/>
  <c r="J324" i="2"/>
  <c r="I324" i="2"/>
  <c r="H324" i="2"/>
  <c r="G324" i="2"/>
  <c r="F324" i="2"/>
  <c r="E324" i="2"/>
  <c r="D324" i="2"/>
  <c r="O323" i="2"/>
  <c r="N323" i="2"/>
  <c r="L323" i="2"/>
  <c r="K323" i="2"/>
  <c r="J323" i="2"/>
  <c r="I323" i="2"/>
  <c r="H323" i="2"/>
  <c r="G323" i="2"/>
  <c r="F323" i="2"/>
  <c r="E323" i="2"/>
  <c r="D323" i="2"/>
  <c r="O322" i="2"/>
  <c r="N322" i="2"/>
  <c r="L322" i="2"/>
  <c r="K322" i="2"/>
  <c r="J322" i="2"/>
  <c r="I322" i="2"/>
  <c r="H322" i="2"/>
  <c r="G322" i="2"/>
  <c r="F322" i="2"/>
  <c r="E322" i="2"/>
  <c r="D322" i="2"/>
  <c r="O321" i="2"/>
  <c r="N321" i="2"/>
  <c r="L321" i="2"/>
  <c r="K321" i="2"/>
  <c r="J321" i="2"/>
  <c r="I321" i="2"/>
  <c r="H321" i="2"/>
  <c r="G321" i="2"/>
  <c r="F321" i="2"/>
  <c r="E321" i="2"/>
  <c r="D321" i="2"/>
  <c r="O320" i="2"/>
  <c r="N320" i="2"/>
  <c r="L320" i="2"/>
  <c r="K320" i="2"/>
  <c r="J320" i="2"/>
  <c r="I320" i="2"/>
  <c r="H320" i="2"/>
  <c r="G320" i="2"/>
  <c r="F320" i="2"/>
  <c r="E320" i="2"/>
  <c r="D320" i="2"/>
  <c r="O319" i="2"/>
  <c r="N319" i="2"/>
  <c r="L319" i="2"/>
  <c r="K319" i="2"/>
  <c r="J319" i="2"/>
  <c r="I319" i="2"/>
  <c r="H319" i="2"/>
  <c r="G319" i="2"/>
  <c r="F319" i="2"/>
  <c r="E319" i="2"/>
  <c r="D319" i="2"/>
  <c r="O318" i="2"/>
  <c r="N318" i="2"/>
  <c r="L318" i="2"/>
  <c r="K318" i="2"/>
  <c r="J318" i="2"/>
  <c r="I318" i="2"/>
  <c r="H318" i="2"/>
  <c r="G318" i="2"/>
  <c r="F318" i="2"/>
  <c r="E318" i="2"/>
  <c r="D318" i="2"/>
  <c r="O317" i="2"/>
  <c r="N317" i="2"/>
  <c r="L317" i="2"/>
  <c r="K317" i="2"/>
  <c r="J317" i="2"/>
  <c r="I317" i="2"/>
  <c r="H317" i="2"/>
  <c r="G317" i="2"/>
  <c r="F317" i="2"/>
  <c r="E317" i="2"/>
  <c r="D317" i="2"/>
  <c r="O316" i="2"/>
  <c r="N316" i="2"/>
  <c r="L316" i="2"/>
  <c r="K316" i="2"/>
  <c r="J316" i="2"/>
  <c r="I316" i="2"/>
  <c r="H316" i="2"/>
  <c r="G316" i="2"/>
  <c r="F316" i="2"/>
  <c r="E316" i="2"/>
  <c r="D316" i="2"/>
  <c r="O315" i="2"/>
  <c r="N315" i="2"/>
  <c r="L315" i="2"/>
  <c r="K315" i="2"/>
  <c r="J315" i="2"/>
  <c r="I315" i="2"/>
  <c r="H315" i="2"/>
  <c r="G315" i="2"/>
  <c r="F315" i="2"/>
  <c r="E315" i="2"/>
  <c r="D315" i="2"/>
  <c r="O314" i="2"/>
  <c r="N314" i="2"/>
  <c r="L314" i="2"/>
  <c r="K314" i="2"/>
  <c r="J314" i="2"/>
  <c r="I314" i="2"/>
  <c r="H314" i="2"/>
  <c r="G314" i="2"/>
  <c r="F314" i="2"/>
  <c r="E314" i="2"/>
  <c r="D314" i="2"/>
  <c r="O313" i="2"/>
  <c r="N313" i="2"/>
  <c r="L313" i="2"/>
  <c r="K313" i="2"/>
  <c r="J313" i="2"/>
  <c r="I313" i="2"/>
  <c r="H313" i="2"/>
  <c r="G313" i="2"/>
  <c r="F313" i="2"/>
  <c r="E313" i="2"/>
  <c r="D313" i="2"/>
  <c r="O312" i="2"/>
  <c r="N312" i="2"/>
  <c r="L312" i="2"/>
  <c r="K312" i="2"/>
  <c r="J312" i="2"/>
  <c r="I312" i="2"/>
  <c r="H312" i="2"/>
  <c r="G312" i="2"/>
  <c r="F312" i="2"/>
  <c r="E312" i="2"/>
  <c r="D312" i="2"/>
  <c r="O311" i="2"/>
  <c r="N311" i="2"/>
  <c r="L311" i="2"/>
  <c r="K311" i="2"/>
  <c r="J311" i="2"/>
  <c r="I311" i="2"/>
  <c r="H311" i="2"/>
  <c r="G311" i="2"/>
  <c r="F311" i="2"/>
  <c r="E311" i="2"/>
  <c r="D311" i="2"/>
  <c r="O310" i="2"/>
  <c r="N310" i="2"/>
  <c r="L310" i="2"/>
  <c r="K310" i="2"/>
  <c r="J310" i="2"/>
  <c r="I310" i="2"/>
  <c r="H310" i="2"/>
  <c r="G310" i="2"/>
  <c r="F310" i="2"/>
  <c r="E310" i="2"/>
  <c r="D310" i="2"/>
  <c r="O309" i="2"/>
  <c r="N309" i="2"/>
  <c r="L309" i="2"/>
  <c r="K309" i="2"/>
  <c r="J309" i="2"/>
  <c r="I309" i="2"/>
  <c r="H309" i="2"/>
  <c r="G309" i="2"/>
  <c r="F309" i="2"/>
  <c r="E309" i="2"/>
  <c r="D309" i="2"/>
  <c r="O308" i="2"/>
  <c r="N308" i="2"/>
  <c r="L308" i="2"/>
  <c r="K308" i="2"/>
  <c r="J308" i="2"/>
  <c r="I308" i="2"/>
  <c r="H308" i="2"/>
  <c r="G308" i="2"/>
  <c r="F308" i="2"/>
  <c r="E308" i="2"/>
  <c r="D308" i="2"/>
  <c r="O307" i="2"/>
  <c r="N307" i="2"/>
  <c r="L307" i="2"/>
  <c r="K307" i="2"/>
  <c r="J307" i="2"/>
  <c r="I307" i="2"/>
  <c r="H307" i="2"/>
  <c r="G307" i="2"/>
  <c r="F307" i="2"/>
  <c r="E307" i="2"/>
  <c r="D307" i="2"/>
  <c r="O306" i="2"/>
  <c r="N306" i="2"/>
  <c r="L306" i="2"/>
  <c r="K306" i="2"/>
  <c r="J306" i="2"/>
  <c r="I306" i="2"/>
  <c r="H306" i="2"/>
  <c r="G306" i="2"/>
  <c r="F306" i="2"/>
  <c r="E306" i="2"/>
  <c r="D306" i="2"/>
  <c r="O305" i="2"/>
  <c r="N305" i="2"/>
  <c r="L305" i="2"/>
  <c r="K305" i="2"/>
  <c r="J305" i="2"/>
  <c r="I305" i="2"/>
  <c r="H305" i="2"/>
  <c r="G305" i="2"/>
  <c r="F305" i="2"/>
  <c r="E305" i="2"/>
  <c r="D305" i="2"/>
  <c r="O304" i="2"/>
  <c r="N304" i="2"/>
  <c r="L304" i="2"/>
  <c r="K304" i="2"/>
  <c r="J304" i="2"/>
  <c r="I304" i="2"/>
  <c r="H304" i="2"/>
  <c r="G304" i="2"/>
  <c r="F304" i="2"/>
  <c r="E304" i="2"/>
  <c r="D304" i="2"/>
  <c r="O303" i="2"/>
  <c r="N303" i="2"/>
  <c r="L303" i="2"/>
  <c r="K303" i="2"/>
  <c r="J303" i="2"/>
  <c r="I303" i="2"/>
  <c r="H303" i="2"/>
  <c r="G303" i="2"/>
  <c r="F303" i="2"/>
  <c r="E303" i="2"/>
  <c r="D303" i="2"/>
  <c r="O302" i="2"/>
  <c r="N302" i="2"/>
  <c r="L302" i="2"/>
  <c r="K302" i="2"/>
  <c r="J302" i="2"/>
  <c r="I302" i="2"/>
  <c r="H302" i="2"/>
  <c r="G302" i="2"/>
  <c r="F302" i="2"/>
  <c r="E302" i="2"/>
  <c r="D302" i="2"/>
  <c r="O301" i="2"/>
  <c r="N301" i="2"/>
  <c r="L301" i="2"/>
  <c r="K301" i="2"/>
  <c r="J301" i="2"/>
  <c r="I301" i="2"/>
  <c r="H301" i="2"/>
  <c r="G301" i="2"/>
  <c r="F301" i="2"/>
  <c r="E301" i="2"/>
  <c r="D301" i="2"/>
  <c r="O300" i="2"/>
  <c r="N300" i="2"/>
  <c r="L300" i="2"/>
  <c r="K300" i="2"/>
  <c r="J300" i="2"/>
  <c r="I300" i="2"/>
  <c r="H300" i="2"/>
  <c r="G300" i="2"/>
  <c r="F300" i="2"/>
  <c r="E300" i="2"/>
  <c r="D300" i="2"/>
  <c r="O299" i="2"/>
  <c r="N299" i="2"/>
  <c r="L299" i="2"/>
  <c r="K299" i="2"/>
  <c r="J299" i="2"/>
  <c r="I299" i="2"/>
  <c r="H299" i="2"/>
  <c r="G299" i="2"/>
  <c r="F299" i="2"/>
  <c r="E299" i="2"/>
  <c r="D299" i="2"/>
  <c r="O298" i="2"/>
  <c r="N298" i="2"/>
  <c r="L298" i="2"/>
  <c r="K298" i="2"/>
  <c r="J298" i="2"/>
  <c r="I298" i="2"/>
  <c r="H298" i="2"/>
  <c r="G298" i="2"/>
  <c r="F298" i="2"/>
  <c r="E298" i="2"/>
  <c r="D298" i="2"/>
  <c r="O297" i="2"/>
  <c r="N297" i="2"/>
  <c r="L297" i="2"/>
  <c r="K297" i="2"/>
  <c r="J297" i="2"/>
  <c r="I297" i="2"/>
  <c r="H297" i="2"/>
  <c r="G297" i="2"/>
  <c r="F297" i="2"/>
  <c r="E297" i="2"/>
  <c r="D297" i="2"/>
  <c r="O296" i="2"/>
  <c r="N296" i="2"/>
  <c r="L296" i="2"/>
  <c r="K296" i="2"/>
  <c r="J296" i="2"/>
  <c r="I296" i="2"/>
  <c r="H296" i="2"/>
  <c r="G296" i="2"/>
  <c r="F296" i="2"/>
  <c r="E296" i="2"/>
  <c r="D296" i="2"/>
  <c r="O295" i="2"/>
  <c r="N295" i="2"/>
  <c r="L295" i="2"/>
  <c r="K295" i="2"/>
  <c r="J295" i="2"/>
  <c r="I295" i="2"/>
  <c r="H295" i="2"/>
  <c r="G295" i="2"/>
  <c r="F295" i="2"/>
  <c r="E295" i="2"/>
  <c r="D295" i="2"/>
  <c r="O294" i="2"/>
  <c r="N294" i="2"/>
  <c r="L294" i="2"/>
  <c r="K294" i="2"/>
  <c r="J294" i="2"/>
  <c r="I294" i="2"/>
  <c r="H294" i="2"/>
  <c r="G294" i="2"/>
  <c r="F294" i="2"/>
  <c r="E294" i="2"/>
  <c r="D294" i="2"/>
  <c r="O293" i="2"/>
  <c r="N293" i="2"/>
  <c r="L293" i="2"/>
  <c r="K293" i="2"/>
  <c r="J293" i="2"/>
  <c r="I293" i="2"/>
  <c r="H293" i="2"/>
  <c r="G293" i="2"/>
  <c r="F293" i="2"/>
  <c r="E293" i="2"/>
  <c r="D293" i="2"/>
  <c r="O292" i="2"/>
  <c r="N292" i="2"/>
  <c r="L292" i="2"/>
  <c r="K292" i="2"/>
  <c r="J292" i="2"/>
  <c r="I292" i="2"/>
  <c r="H292" i="2"/>
  <c r="G292" i="2"/>
  <c r="F292" i="2"/>
  <c r="E292" i="2"/>
  <c r="D292" i="2"/>
  <c r="O291" i="2"/>
  <c r="N291" i="2"/>
  <c r="L291" i="2"/>
  <c r="K291" i="2"/>
  <c r="J291" i="2"/>
  <c r="I291" i="2"/>
  <c r="H291" i="2"/>
  <c r="G291" i="2"/>
  <c r="F291" i="2"/>
  <c r="E291" i="2"/>
  <c r="D291" i="2"/>
  <c r="O290" i="2"/>
  <c r="N290" i="2"/>
  <c r="L290" i="2"/>
  <c r="K290" i="2"/>
  <c r="J290" i="2"/>
  <c r="I290" i="2"/>
  <c r="H290" i="2"/>
  <c r="G290" i="2"/>
  <c r="F290" i="2"/>
  <c r="E290" i="2"/>
  <c r="D290" i="2"/>
  <c r="O289" i="2"/>
  <c r="N289" i="2"/>
  <c r="L289" i="2"/>
  <c r="K289" i="2"/>
  <c r="J289" i="2"/>
  <c r="I289" i="2"/>
  <c r="H289" i="2"/>
  <c r="G289" i="2"/>
  <c r="F289" i="2"/>
  <c r="E289" i="2"/>
  <c r="D289" i="2"/>
  <c r="O288" i="2"/>
  <c r="N288" i="2"/>
  <c r="L288" i="2"/>
  <c r="K288" i="2"/>
  <c r="J288" i="2"/>
  <c r="I288" i="2"/>
  <c r="H288" i="2"/>
  <c r="G288" i="2"/>
  <c r="F288" i="2"/>
  <c r="E288" i="2"/>
  <c r="D288" i="2"/>
  <c r="O287" i="2"/>
  <c r="N287" i="2"/>
  <c r="L287" i="2"/>
  <c r="K287" i="2"/>
  <c r="J287" i="2"/>
  <c r="I287" i="2"/>
  <c r="H287" i="2"/>
  <c r="G287" i="2"/>
  <c r="F287" i="2"/>
  <c r="E287" i="2"/>
  <c r="D287" i="2"/>
  <c r="O286" i="2"/>
  <c r="N286" i="2"/>
  <c r="L286" i="2"/>
  <c r="K286" i="2"/>
  <c r="J286" i="2"/>
  <c r="I286" i="2"/>
  <c r="H286" i="2"/>
  <c r="G286" i="2"/>
  <c r="F286" i="2"/>
  <c r="E286" i="2"/>
  <c r="D286" i="2"/>
  <c r="O285" i="2"/>
  <c r="N285" i="2"/>
  <c r="L285" i="2"/>
  <c r="K285" i="2"/>
  <c r="J285" i="2"/>
  <c r="I285" i="2"/>
  <c r="H285" i="2"/>
  <c r="G285" i="2"/>
  <c r="F285" i="2"/>
  <c r="E285" i="2"/>
  <c r="D285" i="2"/>
  <c r="O284" i="2"/>
  <c r="N284" i="2"/>
  <c r="L284" i="2"/>
  <c r="K284" i="2"/>
  <c r="J284" i="2"/>
  <c r="I284" i="2"/>
  <c r="H284" i="2"/>
  <c r="G284" i="2"/>
  <c r="F284" i="2"/>
  <c r="E284" i="2"/>
  <c r="D284" i="2"/>
  <c r="O283" i="2"/>
  <c r="N283" i="2"/>
  <c r="L283" i="2"/>
  <c r="K283" i="2"/>
  <c r="J283" i="2"/>
  <c r="I283" i="2"/>
  <c r="H283" i="2"/>
  <c r="G283" i="2"/>
  <c r="F283" i="2"/>
  <c r="E283" i="2"/>
  <c r="D283" i="2"/>
  <c r="O282" i="2"/>
  <c r="N282" i="2"/>
  <c r="L282" i="2"/>
  <c r="K282" i="2"/>
  <c r="J282" i="2"/>
  <c r="I282" i="2"/>
  <c r="H282" i="2"/>
  <c r="G282" i="2"/>
  <c r="F282" i="2"/>
  <c r="E282" i="2"/>
  <c r="D282" i="2"/>
  <c r="O281" i="2"/>
  <c r="N281" i="2"/>
  <c r="L281" i="2"/>
  <c r="K281" i="2"/>
  <c r="J281" i="2"/>
  <c r="I281" i="2"/>
  <c r="H281" i="2"/>
  <c r="G281" i="2"/>
  <c r="F281" i="2"/>
  <c r="E281" i="2"/>
  <c r="D281" i="2"/>
  <c r="O280" i="2"/>
  <c r="N280" i="2"/>
  <c r="L280" i="2"/>
  <c r="K280" i="2"/>
  <c r="J280" i="2"/>
  <c r="I280" i="2"/>
  <c r="H280" i="2"/>
  <c r="G280" i="2"/>
  <c r="F280" i="2"/>
  <c r="E280" i="2"/>
  <c r="D280" i="2"/>
  <c r="O279" i="2"/>
  <c r="N279" i="2"/>
  <c r="L279" i="2"/>
  <c r="K279" i="2"/>
  <c r="J279" i="2"/>
  <c r="I279" i="2"/>
  <c r="H279" i="2"/>
  <c r="G279" i="2"/>
  <c r="F279" i="2"/>
  <c r="E279" i="2"/>
  <c r="D279" i="2"/>
  <c r="O278" i="2"/>
  <c r="N278" i="2"/>
  <c r="L278" i="2"/>
  <c r="K278" i="2"/>
  <c r="J278" i="2"/>
  <c r="I278" i="2"/>
  <c r="H278" i="2"/>
  <c r="G278" i="2"/>
  <c r="F278" i="2"/>
  <c r="E278" i="2"/>
  <c r="D278" i="2"/>
  <c r="O277" i="2"/>
  <c r="N277" i="2"/>
  <c r="L277" i="2"/>
  <c r="K277" i="2"/>
  <c r="J277" i="2"/>
  <c r="I277" i="2"/>
  <c r="H277" i="2"/>
  <c r="G277" i="2"/>
  <c r="F277" i="2"/>
  <c r="E277" i="2"/>
  <c r="D277" i="2"/>
  <c r="O276" i="2"/>
  <c r="N276" i="2"/>
  <c r="L276" i="2"/>
  <c r="K276" i="2"/>
  <c r="J276" i="2"/>
  <c r="I276" i="2"/>
  <c r="H276" i="2"/>
  <c r="G276" i="2"/>
  <c r="F276" i="2"/>
  <c r="E276" i="2"/>
  <c r="D276" i="2"/>
  <c r="O275" i="2"/>
  <c r="N275" i="2"/>
  <c r="L275" i="2"/>
  <c r="K275" i="2"/>
  <c r="J275" i="2"/>
  <c r="I275" i="2"/>
  <c r="H275" i="2"/>
  <c r="G275" i="2"/>
  <c r="F275" i="2"/>
  <c r="E275" i="2"/>
  <c r="D275" i="2"/>
  <c r="O274" i="2"/>
  <c r="N274" i="2"/>
  <c r="L274" i="2"/>
  <c r="K274" i="2"/>
  <c r="J274" i="2"/>
  <c r="I274" i="2"/>
  <c r="H274" i="2"/>
  <c r="G274" i="2"/>
  <c r="F274" i="2"/>
  <c r="E274" i="2"/>
  <c r="D274" i="2"/>
  <c r="O273" i="2"/>
  <c r="N273" i="2"/>
  <c r="L273" i="2"/>
  <c r="K273" i="2"/>
  <c r="J273" i="2"/>
  <c r="I273" i="2"/>
  <c r="H273" i="2"/>
  <c r="G273" i="2"/>
  <c r="F273" i="2"/>
  <c r="E273" i="2"/>
  <c r="D273" i="2"/>
  <c r="O272" i="2"/>
  <c r="N272" i="2"/>
  <c r="L272" i="2"/>
  <c r="K272" i="2"/>
  <c r="J272" i="2"/>
  <c r="I272" i="2"/>
  <c r="H272" i="2"/>
  <c r="G272" i="2"/>
  <c r="F272" i="2"/>
  <c r="E272" i="2"/>
  <c r="D272" i="2"/>
  <c r="O271" i="2"/>
  <c r="N271" i="2"/>
  <c r="L271" i="2"/>
  <c r="K271" i="2"/>
  <c r="J271" i="2"/>
  <c r="I271" i="2"/>
  <c r="H271" i="2"/>
  <c r="G271" i="2"/>
  <c r="F271" i="2"/>
  <c r="E271" i="2"/>
  <c r="D271" i="2"/>
  <c r="O270" i="2"/>
  <c r="N270" i="2"/>
  <c r="L270" i="2"/>
  <c r="K270" i="2"/>
  <c r="J270" i="2"/>
  <c r="I270" i="2"/>
  <c r="H270" i="2"/>
  <c r="G270" i="2"/>
  <c r="F270" i="2"/>
  <c r="E270" i="2"/>
  <c r="D270" i="2"/>
  <c r="O269" i="2"/>
  <c r="N269" i="2"/>
  <c r="L269" i="2"/>
  <c r="K269" i="2"/>
  <c r="J269" i="2"/>
  <c r="I269" i="2"/>
  <c r="H269" i="2"/>
  <c r="G269" i="2"/>
  <c r="F269" i="2"/>
  <c r="E269" i="2"/>
  <c r="D269" i="2"/>
  <c r="O268" i="2"/>
  <c r="N268" i="2"/>
  <c r="L268" i="2"/>
  <c r="K268" i="2"/>
  <c r="J268" i="2"/>
  <c r="I268" i="2"/>
  <c r="H268" i="2"/>
  <c r="G268" i="2"/>
  <c r="F268" i="2"/>
  <c r="E268" i="2"/>
  <c r="D268" i="2"/>
  <c r="O267" i="2"/>
  <c r="N267" i="2"/>
  <c r="L267" i="2"/>
  <c r="K267" i="2"/>
  <c r="J267" i="2"/>
  <c r="I267" i="2"/>
  <c r="H267" i="2"/>
  <c r="G267" i="2"/>
  <c r="F267" i="2"/>
  <c r="E267" i="2"/>
  <c r="D267" i="2"/>
  <c r="O266" i="2"/>
  <c r="N266" i="2"/>
  <c r="L266" i="2"/>
  <c r="K266" i="2"/>
  <c r="J266" i="2"/>
  <c r="I266" i="2"/>
  <c r="H266" i="2"/>
  <c r="G266" i="2"/>
  <c r="F266" i="2"/>
  <c r="E266" i="2"/>
  <c r="D266" i="2"/>
  <c r="O265" i="2"/>
  <c r="N265" i="2"/>
  <c r="L265" i="2"/>
  <c r="K265" i="2"/>
  <c r="J265" i="2"/>
  <c r="I265" i="2"/>
  <c r="H265" i="2"/>
  <c r="G265" i="2"/>
  <c r="F265" i="2"/>
  <c r="E265" i="2"/>
  <c r="D265" i="2"/>
  <c r="O264" i="2"/>
  <c r="N264" i="2"/>
  <c r="L264" i="2"/>
  <c r="K264" i="2"/>
  <c r="J264" i="2"/>
  <c r="I264" i="2"/>
  <c r="H264" i="2"/>
  <c r="G264" i="2"/>
  <c r="F264" i="2"/>
  <c r="E264" i="2"/>
  <c r="D264" i="2"/>
  <c r="O263" i="2"/>
  <c r="N263" i="2"/>
  <c r="L263" i="2"/>
  <c r="K263" i="2"/>
  <c r="J263" i="2"/>
  <c r="I263" i="2"/>
  <c r="H263" i="2"/>
  <c r="G263" i="2"/>
  <c r="F263" i="2"/>
  <c r="E263" i="2"/>
  <c r="D263" i="2"/>
  <c r="O262" i="2"/>
  <c r="N262" i="2"/>
  <c r="L262" i="2"/>
  <c r="K262" i="2"/>
  <c r="J262" i="2"/>
  <c r="I262" i="2"/>
  <c r="H262" i="2"/>
  <c r="G262" i="2"/>
  <c r="F262" i="2"/>
  <c r="E262" i="2"/>
  <c r="D262" i="2"/>
  <c r="O261" i="2"/>
  <c r="N261" i="2"/>
  <c r="L261" i="2"/>
  <c r="K261" i="2"/>
  <c r="J261" i="2"/>
  <c r="I261" i="2"/>
  <c r="H261" i="2"/>
  <c r="G261" i="2"/>
  <c r="F261" i="2"/>
  <c r="E261" i="2"/>
  <c r="D261" i="2"/>
  <c r="C261" i="2"/>
  <c r="O260" i="2"/>
  <c r="N260" i="2"/>
  <c r="L260" i="2"/>
  <c r="K260" i="2"/>
  <c r="J260" i="2"/>
  <c r="I260" i="2"/>
  <c r="H260" i="2"/>
  <c r="G260" i="2"/>
  <c r="F260" i="2"/>
  <c r="E260" i="2"/>
  <c r="D260" i="2"/>
  <c r="O259" i="2"/>
  <c r="N259" i="2"/>
  <c r="L259" i="2"/>
  <c r="K259" i="2"/>
  <c r="J259" i="2"/>
  <c r="I259" i="2"/>
  <c r="H259" i="2"/>
  <c r="G259" i="2"/>
  <c r="F259" i="2"/>
  <c r="E259" i="2"/>
  <c r="D259" i="2"/>
  <c r="O258" i="2"/>
  <c r="N258" i="2"/>
  <c r="L258" i="2"/>
  <c r="K258" i="2"/>
  <c r="J258" i="2"/>
  <c r="I258" i="2"/>
  <c r="H258" i="2"/>
  <c r="G258" i="2"/>
  <c r="F258" i="2"/>
  <c r="E258" i="2"/>
  <c r="D258" i="2"/>
  <c r="O257" i="2"/>
  <c r="N257" i="2"/>
  <c r="L257" i="2"/>
  <c r="K257" i="2"/>
  <c r="J257" i="2"/>
  <c r="I257" i="2"/>
  <c r="H257" i="2"/>
  <c r="G257" i="2"/>
  <c r="F257" i="2"/>
  <c r="E257" i="2"/>
  <c r="D257" i="2"/>
  <c r="O256" i="2"/>
  <c r="N256" i="2"/>
  <c r="L256" i="2"/>
  <c r="K256" i="2"/>
  <c r="J256" i="2"/>
  <c r="I256" i="2"/>
  <c r="H256" i="2"/>
  <c r="G256" i="2"/>
  <c r="F256" i="2"/>
  <c r="E256" i="2"/>
  <c r="D256" i="2"/>
  <c r="O255" i="2"/>
  <c r="N255" i="2"/>
  <c r="L255" i="2"/>
  <c r="K255" i="2"/>
  <c r="J255" i="2"/>
  <c r="I255" i="2"/>
  <c r="H255" i="2"/>
  <c r="G255" i="2"/>
  <c r="F255" i="2"/>
  <c r="E255" i="2"/>
  <c r="D255" i="2"/>
  <c r="O254" i="2"/>
  <c r="N254" i="2"/>
  <c r="L254" i="2"/>
  <c r="K254" i="2"/>
  <c r="J254" i="2"/>
  <c r="I254" i="2"/>
  <c r="H254" i="2"/>
  <c r="G254" i="2"/>
  <c r="F254" i="2"/>
  <c r="E254" i="2"/>
  <c r="D254" i="2"/>
  <c r="O253" i="2"/>
  <c r="N253" i="2"/>
  <c r="L253" i="2"/>
  <c r="K253" i="2"/>
  <c r="J253" i="2"/>
  <c r="I253" i="2"/>
  <c r="H253" i="2"/>
  <c r="G253" i="2"/>
  <c r="F253" i="2"/>
  <c r="E253" i="2"/>
  <c r="D253" i="2"/>
  <c r="O252" i="2"/>
  <c r="N252" i="2"/>
  <c r="L252" i="2"/>
  <c r="K252" i="2"/>
  <c r="J252" i="2"/>
  <c r="I252" i="2"/>
  <c r="H252" i="2"/>
  <c r="G252" i="2"/>
  <c r="F252" i="2"/>
  <c r="E252" i="2"/>
  <c r="D252" i="2"/>
  <c r="O251" i="2"/>
  <c r="N251" i="2"/>
  <c r="L251" i="2"/>
  <c r="K251" i="2"/>
  <c r="J251" i="2"/>
  <c r="I251" i="2"/>
  <c r="H251" i="2"/>
  <c r="G251" i="2"/>
  <c r="F251" i="2"/>
  <c r="E251" i="2"/>
  <c r="D251" i="2"/>
  <c r="O250" i="2"/>
  <c r="N250" i="2"/>
  <c r="L250" i="2"/>
  <c r="K250" i="2"/>
  <c r="J250" i="2"/>
  <c r="I250" i="2"/>
  <c r="H250" i="2"/>
  <c r="G250" i="2"/>
  <c r="F250" i="2"/>
  <c r="E250" i="2"/>
  <c r="D250" i="2"/>
  <c r="O249" i="2"/>
  <c r="N249" i="2"/>
  <c r="L249" i="2"/>
  <c r="K249" i="2"/>
  <c r="J249" i="2"/>
  <c r="I249" i="2"/>
  <c r="H249" i="2"/>
  <c r="G249" i="2"/>
  <c r="F249" i="2"/>
  <c r="E249" i="2"/>
  <c r="D249" i="2"/>
  <c r="O248" i="2"/>
  <c r="N248" i="2"/>
  <c r="L248" i="2"/>
  <c r="K248" i="2"/>
  <c r="J248" i="2"/>
  <c r="I248" i="2"/>
  <c r="H248" i="2"/>
  <c r="G248" i="2"/>
  <c r="F248" i="2"/>
  <c r="E248" i="2"/>
  <c r="D248" i="2"/>
  <c r="O247" i="2"/>
  <c r="N247" i="2"/>
  <c r="L247" i="2"/>
  <c r="K247" i="2"/>
  <c r="J247" i="2"/>
  <c r="I247" i="2"/>
  <c r="H247" i="2"/>
  <c r="G247" i="2"/>
  <c r="F247" i="2"/>
  <c r="E247" i="2"/>
  <c r="D247" i="2"/>
  <c r="O246" i="2"/>
  <c r="N246" i="2"/>
  <c r="L246" i="2"/>
  <c r="K246" i="2"/>
  <c r="J246" i="2"/>
  <c r="I246" i="2"/>
  <c r="H246" i="2"/>
  <c r="G246" i="2"/>
  <c r="F246" i="2"/>
  <c r="E246" i="2"/>
  <c r="D246" i="2"/>
  <c r="O245" i="2"/>
  <c r="N245" i="2"/>
  <c r="L245" i="2"/>
  <c r="K245" i="2"/>
  <c r="J245" i="2"/>
  <c r="I245" i="2"/>
  <c r="H245" i="2"/>
  <c r="G245" i="2"/>
  <c r="F245" i="2"/>
  <c r="E245" i="2"/>
  <c r="D245" i="2"/>
  <c r="O244" i="2"/>
  <c r="N244" i="2"/>
  <c r="L244" i="2"/>
  <c r="K244" i="2"/>
  <c r="J244" i="2"/>
  <c r="I244" i="2"/>
  <c r="H244" i="2"/>
  <c r="G244" i="2"/>
  <c r="F244" i="2"/>
  <c r="E244" i="2"/>
  <c r="D244" i="2"/>
  <c r="O243" i="2"/>
  <c r="N243" i="2"/>
  <c r="L243" i="2"/>
  <c r="K243" i="2"/>
  <c r="J243" i="2"/>
  <c r="I243" i="2"/>
  <c r="H243" i="2"/>
  <c r="G243" i="2"/>
  <c r="F243" i="2"/>
  <c r="E243" i="2"/>
  <c r="D243" i="2"/>
  <c r="O242" i="2"/>
  <c r="N242" i="2"/>
  <c r="L242" i="2"/>
  <c r="K242" i="2"/>
  <c r="J242" i="2"/>
  <c r="I242" i="2"/>
  <c r="H242" i="2"/>
  <c r="G242" i="2"/>
  <c r="F242" i="2"/>
  <c r="E242" i="2"/>
  <c r="D242" i="2"/>
  <c r="O241" i="2"/>
  <c r="N241" i="2"/>
  <c r="L241" i="2"/>
  <c r="K241" i="2"/>
  <c r="J241" i="2"/>
  <c r="I241" i="2"/>
  <c r="H241" i="2"/>
  <c r="G241" i="2"/>
  <c r="F241" i="2"/>
  <c r="E241" i="2"/>
  <c r="D241" i="2"/>
  <c r="O240" i="2"/>
  <c r="N240" i="2"/>
  <c r="L240" i="2"/>
  <c r="K240" i="2"/>
  <c r="J240" i="2"/>
  <c r="I240" i="2"/>
  <c r="H240" i="2"/>
  <c r="G240" i="2"/>
  <c r="F240" i="2"/>
  <c r="E240" i="2"/>
  <c r="D240" i="2"/>
  <c r="O239" i="2"/>
  <c r="N239" i="2"/>
  <c r="L239" i="2"/>
  <c r="K239" i="2"/>
  <c r="J239" i="2"/>
  <c r="I239" i="2"/>
  <c r="H239" i="2"/>
  <c r="G239" i="2"/>
  <c r="F239" i="2"/>
  <c r="E239" i="2"/>
  <c r="D239" i="2"/>
  <c r="O238" i="2"/>
  <c r="N238" i="2"/>
  <c r="L238" i="2"/>
  <c r="K238" i="2"/>
  <c r="J238" i="2"/>
  <c r="I238" i="2"/>
  <c r="H238" i="2"/>
  <c r="G238" i="2"/>
  <c r="F238" i="2"/>
  <c r="E238" i="2"/>
  <c r="D238" i="2"/>
  <c r="O237" i="2"/>
  <c r="N237" i="2"/>
  <c r="L237" i="2"/>
  <c r="K237" i="2"/>
  <c r="J237" i="2"/>
  <c r="I237" i="2"/>
  <c r="H237" i="2"/>
  <c r="G237" i="2"/>
  <c r="F237" i="2"/>
  <c r="E237" i="2"/>
  <c r="D237" i="2"/>
  <c r="O236" i="2"/>
  <c r="N236" i="2"/>
  <c r="L236" i="2"/>
  <c r="K236" i="2"/>
  <c r="J236" i="2"/>
  <c r="I236" i="2"/>
  <c r="H236" i="2"/>
  <c r="G236" i="2"/>
  <c r="F236" i="2"/>
  <c r="E236" i="2"/>
  <c r="D236" i="2"/>
  <c r="O235" i="2"/>
  <c r="N235" i="2"/>
  <c r="L235" i="2"/>
  <c r="K235" i="2"/>
  <c r="J235" i="2"/>
  <c r="I235" i="2"/>
  <c r="H235" i="2"/>
  <c r="G235" i="2"/>
  <c r="F235" i="2"/>
  <c r="E235" i="2"/>
  <c r="D235" i="2"/>
  <c r="O234" i="2"/>
  <c r="N234" i="2"/>
  <c r="L234" i="2"/>
  <c r="K234" i="2"/>
  <c r="J234" i="2"/>
  <c r="I234" i="2"/>
  <c r="H234" i="2"/>
  <c r="G234" i="2"/>
  <c r="F234" i="2"/>
  <c r="E234" i="2"/>
  <c r="D234" i="2"/>
  <c r="O233" i="2"/>
  <c r="N233" i="2"/>
  <c r="L233" i="2"/>
  <c r="K233" i="2"/>
  <c r="J233" i="2"/>
  <c r="I233" i="2"/>
  <c r="H233" i="2"/>
  <c r="G233" i="2"/>
  <c r="F233" i="2"/>
  <c r="E233" i="2"/>
  <c r="D233" i="2"/>
  <c r="O232" i="2"/>
  <c r="N232" i="2"/>
  <c r="L232" i="2"/>
  <c r="K232" i="2"/>
  <c r="J232" i="2"/>
  <c r="I232" i="2"/>
  <c r="H232" i="2"/>
  <c r="G232" i="2"/>
  <c r="F232" i="2"/>
  <c r="E232" i="2"/>
  <c r="D232" i="2"/>
  <c r="O231" i="2"/>
  <c r="N231" i="2"/>
  <c r="L231" i="2"/>
  <c r="K231" i="2"/>
  <c r="J231" i="2"/>
  <c r="I231" i="2"/>
  <c r="H231" i="2"/>
  <c r="G231" i="2"/>
  <c r="F231" i="2"/>
  <c r="E231" i="2"/>
  <c r="D231" i="2"/>
  <c r="O230" i="2"/>
  <c r="N230" i="2"/>
  <c r="L230" i="2"/>
  <c r="K230" i="2"/>
  <c r="J230" i="2"/>
  <c r="I230" i="2"/>
  <c r="H230" i="2"/>
  <c r="G230" i="2"/>
  <c r="F230" i="2"/>
  <c r="E230" i="2"/>
  <c r="D230" i="2"/>
  <c r="O229" i="2"/>
  <c r="N229" i="2"/>
  <c r="L229" i="2"/>
  <c r="K229" i="2"/>
  <c r="J229" i="2"/>
  <c r="I229" i="2"/>
  <c r="H229" i="2"/>
  <c r="G229" i="2"/>
  <c r="F229" i="2"/>
  <c r="E229" i="2"/>
  <c r="D229" i="2"/>
  <c r="O228" i="2"/>
  <c r="N228" i="2"/>
  <c r="L228" i="2"/>
  <c r="K228" i="2"/>
  <c r="J228" i="2"/>
  <c r="I228" i="2"/>
  <c r="H228" i="2"/>
  <c r="G228" i="2"/>
  <c r="F228" i="2"/>
  <c r="E228" i="2"/>
  <c r="D228" i="2"/>
  <c r="O227" i="2"/>
  <c r="N227" i="2"/>
  <c r="L227" i="2"/>
  <c r="K227" i="2"/>
  <c r="J227" i="2"/>
  <c r="I227" i="2"/>
  <c r="H227" i="2"/>
  <c r="G227" i="2"/>
  <c r="F227" i="2"/>
  <c r="E227" i="2"/>
  <c r="D227" i="2"/>
  <c r="O226" i="2"/>
  <c r="N226" i="2"/>
  <c r="L226" i="2"/>
  <c r="K226" i="2"/>
  <c r="J226" i="2"/>
  <c r="I226" i="2"/>
  <c r="H226" i="2"/>
  <c r="G226" i="2"/>
  <c r="F226" i="2"/>
  <c r="E226" i="2"/>
  <c r="D226" i="2"/>
  <c r="O225" i="2"/>
  <c r="N225" i="2"/>
  <c r="L225" i="2"/>
  <c r="K225" i="2"/>
  <c r="J225" i="2"/>
  <c r="I225" i="2"/>
  <c r="H225" i="2"/>
  <c r="G225" i="2"/>
  <c r="F225" i="2"/>
  <c r="E225" i="2"/>
  <c r="D225" i="2"/>
  <c r="O224" i="2"/>
  <c r="N224" i="2"/>
  <c r="L224" i="2"/>
  <c r="K224" i="2"/>
  <c r="J224" i="2"/>
  <c r="I224" i="2"/>
  <c r="H224" i="2"/>
  <c r="G224" i="2"/>
  <c r="F224" i="2"/>
  <c r="E224" i="2"/>
  <c r="D224" i="2"/>
  <c r="O223" i="2"/>
  <c r="N223" i="2"/>
  <c r="L223" i="2"/>
  <c r="K223" i="2"/>
  <c r="J223" i="2"/>
  <c r="I223" i="2"/>
  <c r="H223" i="2"/>
  <c r="G223" i="2"/>
  <c r="F223" i="2"/>
  <c r="E223" i="2"/>
  <c r="D223" i="2"/>
  <c r="O222" i="2"/>
  <c r="N222" i="2"/>
  <c r="L222" i="2"/>
  <c r="K222" i="2"/>
  <c r="J222" i="2"/>
  <c r="I222" i="2"/>
  <c r="H222" i="2"/>
  <c r="G222" i="2"/>
  <c r="F222" i="2"/>
  <c r="E222" i="2"/>
  <c r="D222" i="2"/>
  <c r="O221" i="2"/>
  <c r="N221" i="2"/>
  <c r="L221" i="2"/>
  <c r="K221" i="2"/>
  <c r="J221" i="2"/>
  <c r="I221" i="2"/>
  <c r="H221" i="2"/>
  <c r="G221" i="2"/>
  <c r="F221" i="2"/>
  <c r="E221" i="2"/>
  <c r="D221" i="2"/>
  <c r="O220" i="2"/>
  <c r="N220" i="2"/>
  <c r="L220" i="2"/>
  <c r="K220" i="2"/>
  <c r="J220" i="2"/>
  <c r="I220" i="2"/>
  <c r="H220" i="2"/>
  <c r="G220" i="2"/>
  <c r="F220" i="2"/>
  <c r="E220" i="2"/>
  <c r="D220" i="2"/>
  <c r="O219" i="2"/>
  <c r="N219" i="2"/>
  <c r="L219" i="2"/>
  <c r="K219" i="2"/>
  <c r="J219" i="2"/>
  <c r="I219" i="2"/>
  <c r="H219" i="2"/>
  <c r="G219" i="2"/>
  <c r="F219" i="2"/>
  <c r="E219" i="2"/>
  <c r="D219" i="2"/>
  <c r="O218" i="2"/>
  <c r="N218" i="2"/>
  <c r="L218" i="2"/>
  <c r="K218" i="2"/>
  <c r="J218" i="2"/>
  <c r="I218" i="2"/>
  <c r="H218" i="2"/>
  <c r="G218" i="2"/>
  <c r="F218" i="2"/>
  <c r="E218" i="2"/>
  <c r="D218" i="2"/>
  <c r="O217" i="2"/>
  <c r="N217" i="2"/>
  <c r="L217" i="2"/>
  <c r="K217" i="2"/>
  <c r="J217" i="2"/>
  <c r="I217" i="2"/>
  <c r="H217" i="2"/>
  <c r="G217" i="2"/>
  <c r="F217" i="2"/>
  <c r="E217" i="2"/>
  <c r="D217" i="2"/>
  <c r="O216" i="2"/>
  <c r="N216" i="2"/>
  <c r="L216" i="2"/>
  <c r="K216" i="2"/>
  <c r="J216" i="2"/>
  <c r="I216" i="2"/>
  <c r="H216" i="2"/>
  <c r="G216" i="2"/>
  <c r="F216" i="2"/>
  <c r="E216" i="2"/>
  <c r="D216" i="2"/>
  <c r="O215" i="2"/>
  <c r="N215" i="2"/>
  <c r="L215" i="2"/>
  <c r="K215" i="2"/>
  <c r="J215" i="2"/>
  <c r="I215" i="2"/>
  <c r="H215" i="2"/>
  <c r="G215" i="2"/>
  <c r="F215" i="2"/>
  <c r="E215" i="2"/>
  <c r="D215" i="2"/>
  <c r="O214" i="2"/>
  <c r="N214" i="2"/>
  <c r="L214" i="2"/>
  <c r="K214" i="2"/>
  <c r="J214" i="2"/>
  <c r="I214" i="2"/>
  <c r="H214" i="2"/>
  <c r="G214" i="2"/>
  <c r="F214" i="2"/>
  <c r="E214" i="2"/>
  <c r="D214" i="2"/>
  <c r="O213" i="2"/>
  <c r="N213" i="2"/>
  <c r="L213" i="2"/>
  <c r="K213" i="2"/>
  <c r="J213" i="2"/>
  <c r="I213" i="2"/>
  <c r="H213" i="2"/>
  <c r="G213" i="2"/>
  <c r="F213" i="2"/>
  <c r="E213" i="2"/>
  <c r="D213" i="2"/>
  <c r="C213" i="2"/>
  <c r="O212" i="2"/>
  <c r="N212" i="2"/>
  <c r="L212" i="2"/>
  <c r="K212" i="2"/>
  <c r="J212" i="2"/>
  <c r="I212" i="2"/>
  <c r="H212" i="2"/>
  <c r="G212" i="2"/>
  <c r="F212" i="2"/>
  <c r="E212" i="2"/>
  <c r="D212" i="2"/>
  <c r="O211" i="2"/>
  <c r="N211" i="2"/>
  <c r="L211" i="2"/>
  <c r="K211" i="2"/>
  <c r="J211" i="2"/>
  <c r="I211" i="2"/>
  <c r="H211" i="2"/>
  <c r="G211" i="2"/>
  <c r="F211" i="2"/>
  <c r="E211" i="2"/>
  <c r="D211" i="2"/>
  <c r="O210" i="2"/>
  <c r="N210" i="2"/>
  <c r="L210" i="2"/>
  <c r="K210" i="2"/>
  <c r="J210" i="2"/>
  <c r="I210" i="2"/>
  <c r="H210" i="2"/>
  <c r="G210" i="2"/>
  <c r="F210" i="2"/>
  <c r="E210" i="2"/>
  <c r="D210" i="2"/>
  <c r="O209" i="2"/>
  <c r="N209" i="2"/>
  <c r="L209" i="2"/>
  <c r="K209" i="2"/>
  <c r="J209" i="2"/>
  <c r="I209" i="2"/>
  <c r="H209" i="2"/>
  <c r="G209" i="2"/>
  <c r="F209" i="2"/>
  <c r="E209" i="2"/>
  <c r="D209" i="2"/>
  <c r="O208" i="2"/>
  <c r="N208" i="2"/>
  <c r="L208" i="2"/>
  <c r="K208" i="2"/>
  <c r="J208" i="2"/>
  <c r="I208" i="2"/>
  <c r="H208" i="2"/>
  <c r="G208" i="2"/>
  <c r="F208" i="2"/>
  <c r="E208" i="2"/>
  <c r="D208" i="2"/>
  <c r="O207" i="2"/>
  <c r="N207" i="2"/>
  <c r="L207" i="2"/>
  <c r="K207" i="2"/>
  <c r="J207" i="2"/>
  <c r="I207" i="2"/>
  <c r="H207" i="2"/>
  <c r="G207" i="2"/>
  <c r="F207" i="2"/>
  <c r="E207" i="2"/>
  <c r="D207" i="2"/>
  <c r="O206" i="2"/>
  <c r="N206" i="2"/>
  <c r="L206" i="2"/>
  <c r="K206" i="2"/>
  <c r="J206" i="2"/>
  <c r="I206" i="2"/>
  <c r="H206" i="2"/>
  <c r="G206" i="2"/>
  <c r="F206" i="2"/>
  <c r="E206" i="2"/>
  <c r="D206" i="2"/>
  <c r="O205" i="2"/>
  <c r="N205" i="2"/>
  <c r="L205" i="2"/>
  <c r="K205" i="2"/>
  <c r="J205" i="2"/>
  <c r="I205" i="2"/>
  <c r="H205" i="2"/>
  <c r="G205" i="2"/>
  <c r="F205" i="2"/>
  <c r="E205" i="2"/>
  <c r="D205" i="2"/>
  <c r="O204" i="2"/>
  <c r="N204" i="2"/>
  <c r="L204" i="2"/>
  <c r="K204" i="2"/>
  <c r="J204" i="2"/>
  <c r="I204" i="2"/>
  <c r="H204" i="2"/>
  <c r="G204" i="2"/>
  <c r="F204" i="2"/>
  <c r="E204" i="2"/>
  <c r="D204" i="2"/>
  <c r="O203" i="2"/>
  <c r="N203" i="2"/>
  <c r="L203" i="2"/>
  <c r="K203" i="2"/>
  <c r="J203" i="2"/>
  <c r="I203" i="2"/>
  <c r="H203" i="2"/>
  <c r="G203" i="2"/>
  <c r="F203" i="2"/>
  <c r="E203" i="2"/>
  <c r="D203" i="2"/>
  <c r="O202" i="2"/>
  <c r="N202" i="2"/>
  <c r="L202" i="2"/>
  <c r="K202" i="2"/>
  <c r="J202" i="2"/>
  <c r="I202" i="2"/>
  <c r="H202" i="2"/>
  <c r="G202" i="2"/>
  <c r="F202" i="2"/>
  <c r="E202" i="2"/>
  <c r="D202" i="2"/>
  <c r="O201" i="2"/>
  <c r="N201" i="2"/>
  <c r="L201" i="2"/>
  <c r="K201" i="2"/>
  <c r="J201" i="2"/>
  <c r="I201" i="2"/>
  <c r="H201" i="2"/>
  <c r="G201" i="2"/>
  <c r="F201" i="2"/>
  <c r="E201" i="2"/>
  <c r="D201" i="2"/>
  <c r="C201" i="2"/>
  <c r="O200" i="2"/>
  <c r="N200" i="2"/>
  <c r="L200" i="2"/>
  <c r="K200" i="2"/>
  <c r="J200" i="2"/>
  <c r="I200" i="2"/>
  <c r="H200" i="2"/>
  <c r="G200" i="2"/>
  <c r="F200" i="2"/>
  <c r="E200" i="2"/>
  <c r="D200" i="2"/>
  <c r="O199" i="2"/>
  <c r="N199" i="2"/>
  <c r="L199" i="2"/>
  <c r="K199" i="2"/>
  <c r="J199" i="2"/>
  <c r="I199" i="2"/>
  <c r="H199" i="2"/>
  <c r="G199" i="2"/>
  <c r="F199" i="2"/>
  <c r="E199" i="2"/>
  <c r="D199" i="2"/>
  <c r="B199" i="2"/>
  <c r="O198" i="2"/>
  <c r="N198" i="2"/>
  <c r="L198" i="2"/>
  <c r="K198" i="2"/>
  <c r="J198" i="2"/>
  <c r="I198" i="2"/>
  <c r="H198" i="2"/>
  <c r="G198" i="2"/>
  <c r="F198" i="2"/>
  <c r="E198" i="2"/>
  <c r="D198" i="2"/>
  <c r="O197" i="2"/>
  <c r="N197" i="2"/>
  <c r="L197" i="2"/>
  <c r="K197" i="2"/>
  <c r="J197" i="2"/>
  <c r="I197" i="2"/>
  <c r="H197" i="2"/>
  <c r="G197" i="2"/>
  <c r="F197" i="2"/>
  <c r="E197" i="2"/>
  <c r="D197" i="2"/>
  <c r="O196" i="2"/>
  <c r="N196" i="2"/>
  <c r="L196" i="2"/>
  <c r="K196" i="2"/>
  <c r="J196" i="2"/>
  <c r="I196" i="2"/>
  <c r="H196" i="2"/>
  <c r="G196" i="2"/>
  <c r="F196" i="2"/>
  <c r="E196" i="2"/>
  <c r="D196" i="2"/>
  <c r="O195" i="2"/>
  <c r="N195" i="2"/>
  <c r="L195" i="2"/>
  <c r="K195" i="2"/>
  <c r="J195" i="2"/>
  <c r="I195" i="2"/>
  <c r="H195" i="2"/>
  <c r="G195" i="2"/>
  <c r="F195" i="2"/>
  <c r="E195" i="2"/>
  <c r="D195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O193" i="2"/>
  <c r="N193" i="2"/>
  <c r="L193" i="2"/>
  <c r="K193" i="2"/>
  <c r="J193" i="2"/>
  <c r="I193" i="2"/>
  <c r="H193" i="2"/>
  <c r="G193" i="2"/>
  <c r="F193" i="2"/>
  <c r="E193" i="2"/>
  <c r="D193" i="2"/>
  <c r="O192" i="2"/>
  <c r="N192" i="2"/>
  <c r="L192" i="2"/>
  <c r="K192" i="2"/>
  <c r="J192" i="2"/>
  <c r="I192" i="2"/>
  <c r="H192" i="2"/>
  <c r="G192" i="2"/>
  <c r="F192" i="2"/>
  <c r="E192" i="2"/>
  <c r="D192" i="2"/>
  <c r="O191" i="2"/>
  <c r="N191" i="2"/>
  <c r="L191" i="2"/>
  <c r="K191" i="2"/>
  <c r="J191" i="2"/>
  <c r="I191" i="2"/>
  <c r="H191" i="2"/>
  <c r="G191" i="2"/>
  <c r="F191" i="2"/>
  <c r="E191" i="2"/>
  <c r="D191" i="2"/>
  <c r="O190" i="2"/>
  <c r="N190" i="2"/>
  <c r="L190" i="2"/>
  <c r="K190" i="2"/>
  <c r="J190" i="2"/>
  <c r="I190" i="2"/>
  <c r="H190" i="2"/>
  <c r="G190" i="2"/>
  <c r="F190" i="2"/>
  <c r="E190" i="2"/>
  <c r="D190" i="2"/>
  <c r="O189" i="2"/>
  <c r="N189" i="2"/>
  <c r="L189" i="2"/>
  <c r="K189" i="2"/>
  <c r="J189" i="2"/>
  <c r="I189" i="2"/>
  <c r="H189" i="2"/>
  <c r="G189" i="2"/>
  <c r="F189" i="2"/>
  <c r="E189" i="2"/>
  <c r="D189" i="2"/>
  <c r="O188" i="2"/>
  <c r="N188" i="2"/>
  <c r="L188" i="2"/>
  <c r="K188" i="2"/>
  <c r="J188" i="2"/>
  <c r="I188" i="2"/>
  <c r="H188" i="2"/>
  <c r="G188" i="2"/>
  <c r="F188" i="2"/>
  <c r="E188" i="2"/>
  <c r="D188" i="2"/>
  <c r="O187" i="2"/>
  <c r="N187" i="2"/>
  <c r="L187" i="2"/>
  <c r="K187" i="2"/>
  <c r="J187" i="2"/>
  <c r="I187" i="2"/>
  <c r="H187" i="2"/>
  <c r="G187" i="2"/>
  <c r="F187" i="2"/>
  <c r="E187" i="2"/>
  <c r="D187" i="2"/>
  <c r="O186" i="2"/>
  <c r="N186" i="2"/>
  <c r="L186" i="2"/>
  <c r="K186" i="2"/>
  <c r="J186" i="2"/>
  <c r="I186" i="2"/>
  <c r="H186" i="2"/>
  <c r="G186" i="2"/>
  <c r="F186" i="2"/>
  <c r="E186" i="2"/>
  <c r="D186" i="2"/>
  <c r="O185" i="2"/>
  <c r="N185" i="2"/>
  <c r="L185" i="2"/>
  <c r="K185" i="2"/>
  <c r="J185" i="2"/>
  <c r="I185" i="2"/>
  <c r="H185" i="2"/>
  <c r="G185" i="2"/>
  <c r="F185" i="2"/>
  <c r="E185" i="2"/>
  <c r="D185" i="2"/>
  <c r="O184" i="2"/>
  <c r="N184" i="2"/>
  <c r="L184" i="2"/>
  <c r="K184" i="2"/>
  <c r="J184" i="2"/>
  <c r="I184" i="2"/>
  <c r="H184" i="2"/>
  <c r="G184" i="2"/>
  <c r="F184" i="2"/>
  <c r="E184" i="2"/>
  <c r="D184" i="2"/>
  <c r="O183" i="2"/>
  <c r="N183" i="2"/>
  <c r="L183" i="2"/>
  <c r="K183" i="2"/>
  <c r="J183" i="2"/>
  <c r="I183" i="2"/>
  <c r="H183" i="2"/>
  <c r="G183" i="2"/>
  <c r="F183" i="2"/>
  <c r="E183" i="2"/>
  <c r="D183" i="2"/>
  <c r="O182" i="2"/>
  <c r="N182" i="2"/>
  <c r="L182" i="2"/>
  <c r="K182" i="2"/>
  <c r="J182" i="2"/>
  <c r="I182" i="2"/>
  <c r="H182" i="2"/>
  <c r="G182" i="2"/>
  <c r="F182" i="2"/>
  <c r="E182" i="2"/>
  <c r="D182" i="2"/>
  <c r="O181" i="2"/>
  <c r="N181" i="2"/>
  <c r="L181" i="2"/>
  <c r="K181" i="2"/>
  <c r="J181" i="2"/>
  <c r="I181" i="2"/>
  <c r="H181" i="2"/>
  <c r="G181" i="2"/>
  <c r="F181" i="2"/>
  <c r="E181" i="2"/>
  <c r="D181" i="2"/>
  <c r="O180" i="2"/>
  <c r="N180" i="2"/>
  <c r="L180" i="2"/>
  <c r="K180" i="2"/>
  <c r="J180" i="2"/>
  <c r="I180" i="2"/>
  <c r="H180" i="2"/>
  <c r="G180" i="2"/>
  <c r="F180" i="2"/>
  <c r="E180" i="2"/>
  <c r="D180" i="2"/>
  <c r="O179" i="2"/>
  <c r="N179" i="2"/>
  <c r="L179" i="2"/>
  <c r="K179" i="2"/>
  <c r="J179" i="2"/>
  <c r="I179" i="2"/>
  <c r="H179" i="2"/>
  <c r="G179" i="2"/>
  <c r="F179" i="2"/>
  <c r="E179" i="2"/>
  <c r="D179" i="2"/>
  <c r="O178" i="2"/>
  <c r="N178" i="2"/>
  <c r="L178" i="2"/>
  <c r="K178" i="2"/>
  <c r="J178" i="2"/>
  <c r="I178" i="2"/>
  <c r="H178" i="2"/>
  <c r="G178" i="2"/>
  <c r="F178" i="2"/>
  <c r="E178" i="2"/>
  <c r="D178" i="2"/>
  <c r="O177" i="2"/>
  <c r="N177" i="2"/>
  <c r="L177" i="2"/>
  <c r="K177" i="2"/>
  <c r="J177" i="2"/>
  <c r="I177" i="2"/>
  <c r="H177" i="2"/>
  <c r="G177" i="2"/>
  <c r="F177" i="2"/>
  <c r="E177" i="2"/>
  <c r="D177" i="2"/>
  <c r="O176" i="2"/>
  <c r="N176" i="2"/>
  <c r="L176" i="2"/>
  <c r="K176" i="2"/>
  <c r="J176" i="2"/>
  <c r="I176" i="2"/>
  <c r="H176" i="2"/>
  <c r="G176" i="2"/>
  <c r="F176" i="2"/>
  <c r="E176" i="2"/>
  <c r="D176" i="2"/>
  <c r="O175" i="2"/>
  <c r="N175" i="2"/>
  <c r="L175" i="2"/>
  <c r="K175" i="2"/>
  <c r="J175" i="2"/>
  <c r="I175" i="2"/>
  <c r="H175" i="2"/>
  <c r="G175" i="2"/>
  <c r="F175" i="2"/>
  <c r="E175" i="2"/>
  <c r="D175" i="2"/>
  <c r="O174" i="2"/>
  <c r="N174" i="2"/>
  <c r="L174" i="2"/>
  <c r="K174" i="2"/>
  <c r="J174" i="2"/>
  <c r="I174" i="2"/>
  <c r="H174" i="2"/>
  <c r="G174" i="2"/>
  <c r="F174" i="2"/>
  <c r="E174" i="2"/>
  <c r="D174" i="2"/>
  <c r="O173" i="2"/>
  <c r="N173" i="2"/>
  <c r="L173" i="2"/>
  <c r="K173" i="2"/>
  <c r="J173" i="2"/>
  <c r="I173" i="2"/>
  <c r="H173" i="2"/>
  <c r="G173" i="2"/>
  <c r="F173" i="2"/>
  <c r="E173" i="2"/>
  <c r="D173" i="2"/>
  <c r="O172" i="2"/>
  <c r="N172" i="2"/>
  <c r="L172" i="2"/>
  <c r="K172" i="2"/>
  <c r="J172" i="2"/>
  <c r="I172" i="2"/>
  <c r="H172" i="2"/>
  <c r="G172" i="2"/>
  <c r="F172" i="2"/>
  <c r="E172" i="2"/>
  <c r="D172" i="2"/>
  <c r="O171" i="2"/>
  <c r="N171" i="2"/>
  <c r="L171" i="2"/>
  <c r="K171" i="2"/>
  <c r="J171" i="2"/>
  <c r="I171" i="2"/>
  <c r="H171" i="2"/>
  <c r="G171" i="2"/>
  <c r="F171" i="2"/>
  <c r="E171" i="2"/>
  <c r="D171" i="2"/>
  <c r="O170" i="2"/>
  <c r="N170" i="2"/>
  <c r="L170" i="2"/>
  <c r="K170" i="2"/>
  <c r="J170" i="2"/>
  <c r="I170" i="2"/>
  <c r="H170" i="2"/>
  <c r="G170" i="2"/>
  <c r="F170" i="2"/>
  <c r="E170" i="2"/>
  <c r="D170" i="2"/>
  <c r="O169" i="2"/>
  <c r="N169" i="2"/>
  <c r="L169" i="2"/>
  <c r="K169" i="2"/>
  <c r="J169" i="2"/>
  <c r="I169" i="2"/>
  <c r="H169" i="2"/>
  <c r="G169" i="2"/>
  <c r="F169" i="2"/>
  <c r="E169" i="2"/>
  <c r="D169" i="2"/>
  <c r="O168" i="2"/>
  <c r="N168" i="2"/>
  <c r="L168" i="2"/>
  <c r="K168" i="2"/>
  <c r="J168" i="2"/>
  <c r="I168" i="2"/>
  <c r="H168" i="2"/>
  <c r="G168" i="2"/>
  <c r="F168" i="2"/>
  <c r="E168" i="2"/>
  <c r="D168" i="2"/>
  <c r="O167" i="2"/>
  <c r="N167" i="2"/>
  <c r="L167" i="2"/>
  <c r="K167" i="2"/>
  <c r="J167" i="2"/>
  <c r="I167" i="2"/>
  <c r="H167" i="2"/>
  <c r="G167" i="2"/>
  <c r="F167" i="2"/>
  <c r="E167" i="2"/>
  <c r="D167" i="2"/>
  <c r="O166" i="2"/>
  <c r="N166" i="2"/>
  <c r="L166" i="2"/>
  <c r="K166" i="2"/>
  <c r="J166" i="2"/>
  <c r="I166" i="2"/>
  <c r="H166" i="2"/>
  <c r="G166" i="2"/>
  <c r="F166" i="2"/>
  <c r="E166" i="2"/>
  <c r="D166" i="2"/>
  <c r="O165" i="2"/>
  <c r="N165" i="2"/>
  <c r="L165" i="2"/>
  <c r="K165" i="2"/>
  <c r="J165" i="2"/>
  <c r="I165" i="2"/>
  <c r="H165" i="2"/>
  <c r="G165" i="2"/>
  <c r="F165" i="2"/>
  <c r="E165" i="2"/>
  <c r="D165" i="2"/>
  <c r="O164" i="2"/>
  <c r="N164" i="2"/>
  <c r="L164" i="2"/>
  <c r="K164" i="2"/>
  <c r="J164" i="2"/>
  <c r="I164" i="2"/>
  <c r="H164" i="2"/>
  <c r="G164" i="2"/>
  <c r="F164" i="2"/>
  <c r="E164" i="2"/>
  <c r="D164" i="2"/>
  <c r="O163" i="2"/>
  <c r="N163" i="2"/>
  <c r="L163" i="2"/>
  <c r="K163" i="2"/>
  <c r="J163" i="2"/>
  <c r="I163" i="2"/>
  <c r="H163" i="2"/>
  <c r="G163" i="2"/>
  <c r="F163" i="2"/>
  <c r="E163" i="2"/>
  <c r="D163" i="2"/>
  <c r="O162" i="2"/>
  <c r="N162" i="2"/>
  <c r="L162" i="2"/>
  <c r="K162" i="2"/>
  <c r="J162" i="2"/>
  <c r="I162" i="2"/>
  <c r="H162" i="2"/>
  <c r="G162" i="2"/>
  <c r="F162" i="2"/>
  <c r="E162" i="2"/>
  <c r="D162" i="2"/>
  <c r="O161" i="2"/>
  <c r="N161" i="2"/>
  <c r="L161" i="2"/>
  <c r="K161" i="2"/>
  <c r="J161" i="2"/>
  <c r="I161" i="2"/>
  <c r="H161" i="2"/>
  <c r="G161" i="2"/>
  <c r="F161" i="2"/>
  <c r="E161" i="2"/>
  <c r="D161" i="2"/>
  <c r="O160" i="2"/>
  <c r="N160" i="2"/>
  <c r="L160" i="2"/>
  <c r="K160" i="2"/>
  <c r="J160" i="2"/>
  <c r="I160" i="2"/>
  <c r="H160" i="2"/>
  <c r="G160" i="2"/>
  <c r="F160" i="2"/>
  <c r="E160" i="2"/>
  <c r="D160" i="2"/>
  <c r="O159" i="2"/>
  <c r="N159" i="2"/>
  <c r="L159" i="2"/>
  <c r="K159" i="2"/>
  <c r="J159" i="2"/>
  <c r="I159" i="2"/>
  <c r="H159" i="2"/>
  <c r="G159" i="2"/>
  <c r="F159" i="2"/>
  <c r="E159" i="2"/>
  <c r="D159" i="2"/>
  <c r="O158" i="2"/>
  <c r="N158" i="2"/>
  <c r="L158" i="2"/>
  <c r="K158" i="2"/>
  <c r="J158" i="2"/>
  <c r="I158" i="2"/>
  <c r="H158" i="2"/>
  <c r="G158" i="2"/>
  <c r="F158" i="2"/>
  <c r="E158" i="2"/>
  <c r="D158" i="2"/>
  <c r="O157" i="2"/>
  <c r="N157" i="2"/>
  <c r="L157" i="2"/>
  <c r="K157" i="2"/>
  <c r="J157" i="2"/>
  <c r="I157" i="2"/>
  <c r="H157" i="2"/>
  <c r="G157" i="2"/>
  <c r="F157" i="2"/>
  <c r="E157" i="2"/>
  <c r="D157" i="2"/>
  <c r="O156" i="2"/>
  <c r="N156" i="2"/>
  <c r="L156" i="2"/>
  <c r="K156" i="2"/>
  <c r="J156" i="2"/>
  <c r="I156" i="2"/>
  <c r="H156" i="2"/>
  <c r="G156" i="2"/>
  <c r="F156" i="2"/>
  <c r="E156" i="2"/>
  <c r="D156" i="2"/>
  <c r="O155" i="2"/>
  <c r="N155" i="2"/>
  <c r="L155" i="2"/>
  <c r="K155" i="2"/>
  <c r="J155" i="2"/>
  <c r="I155" i="2"/>
  <c r="H155" i="2"/>
  <c r="G155" i="2"/>
  <c r="F155" i="2"/>
  <c r="E155" i="2"/>
  <c r="D155" i="2"/>
  <c r="O154" i="2"/>
  <c r="N154" i="2"/>
  <c r="L154" i="2"/>
  <c r="K154" i="2"/>
  <c r="J154" i="2"/>
  <c r="I154" i="2"/>
  <c r="H154" i="2"/>
  <c r="G154" i="2"/>
  <c r="F154" i="2"/>
  <c r="E154" i="2"/>
  <c r="D154" i="2"/>
  <c r="O153" i="2"/>
  <c r="N153" i="2"/>
  <c r="L153" i="2"/>
  <c r="K153" i="2"/>
  <c r="J153" i="2"/>
  <c r="I153" i="2"/>
  <c r="H153" i="2"/>
  <c r="G153" i="2"/>
  <c r="F153" i="2"/>
  <c r="E153" i="2"/>
  <c r="D153" i="2"/>
  <c r="O152" i="2"/>
  <c r="N152" i="2"/>
  <c r="L152" i="2"/>
  <c r="K152" i="2"/>
  <c r="J152" i="2"/>
  <c r="I152" i="2"/>
  <c r="H152" i="2"/>
  <c r="G152" i="2"/>
  <c r="F152" i="2"/>
  <c r="E152" i="2"/>
  <c r="D152" i="2"/>
  <c r="O151" i="2"/>
  <c r="N151" i="2"/>
  <c r="L151" i="2"/>
  <c r="K151" i="2"/>
  <c r="J151" i="2"/>
  <c r="I151" i="2"/>
  <c r="H151" i="2"/>
  <c r="G151" i="2"/>
  <c r="F151" i="2"/>
  <c r="E151" i="2"/>
  <c r="D151" i="2"/>
  <c r="B151" i="2"/>
  <c r="O150" i="2"/>
  <c r="N150" i="2"/>
  <c r="L150" i="2"/>
  <c r="K150" i="2"/>
  <c r="J150" i="2"/>
  <c r="I150" i="2"/>
  <c r="H150" i="2"/>
  <c r="G150" i="2"/>
  <c r="F150" i="2"/>
  <c r="E150" i="2"/>
  <c r="D150" i="2"/>
  <c r="O149" i="2"/>
  <c r="N149" i="2"/>
  <c r="L149" i="2"/>
  <c r="K149" i="2"/>
  <c r="J149" i="2"/>
  <c r="I149" i="2"/>
  <c r="H149" i="2"/>
  <c r="G149" i="2"/>
  <c r="F149" i="2"/>
  <c r="E149" i="2"/>
  <c r="D149" i="2"/>
  <c r="O148" i="2"/>
  <c r="N148" i="2"/>
  <c r="L148" i="2"/>
  <c r="K148" i="2"/>
  <c r="J148" i="2"/>
  <c r="I148" i="2"/>
  <c r="H148" i="2"/>
  <c r="G148" i="2"/>
  <c r="F148" i="2"/>
  <c r="E148" i="2"/>
  <c r="D148" i="2"/>
  <c r="O147" i="2"/>
  <c r="N147" i="2"/>
  <c r="L147" i="2"/>
  <c r="K147" i="2"/>
  <c r="J147" i="2"/>
  <c r="I147" i="2"/>
  <c r="H147" i="2"/>
  <c r="G147" i="2"/>
  <c r="F147" i="2"/>
  <c r="E147" i="2"/>
  <c r="D147" i="2"/>
  <c r="O146" i="2"/>
  <c r="N146" i="2"/>
  <c r="L146" i="2"/>
  <c r="K146" i="2"/>
  <c r="J146" i="2"/>
  <c r="I146" i="2"/>
  <c r="H146" i="2"/>
  <c r="G146" i="2"/>
  <c r="F146" i="2"/>
  <c r="E146" i="2"/>
  <c r="D146" i="2"/>
  <c r="O145" i="2"/>
  <c r="N145" i="2"/>
  <c r="L145" i="2"/>
  <c r="K145" i="2"/>
  <c r="J145" i="2"/>
  <c r="I145" i="2"/>
  <c r="H145" i="2"/>
  <c r="G145" i="2"/>
  <c r="F145" i="2"/>
  <c r="E145" i="2"/>
  <c r="D145" i="2"/>
  <c r="O144" i="2"/>
  <c r="N144" i="2"/>
  <c r="L144" i="2"/>
  <c r="K144" i="2"/>
  <c r="J144" i="2"/>
  <c r="I144" i="2"/>
  <c r="H144" i="2"/>
  <c r="G144" i="2"/>
  <c r="F144" i="2"/>
  <c r="E144" i="2"/>
  <c r="D144" i="2"/>
  <c r="O143" i="2"/>
  <c r="N143" i="2"/>
  <c r="L143" i="2"/>
  <c r="K143" i="2"/>
  <c r="J143" i="2"/>
  <c r="I143" i="2"/>
  <c r="H143" i="2"/>
  <c r="G143" i="2"/>
  <c r="F143" i="2"/>
  <c r="E143" i="2"/>
  <c r="D143" i="2"/>
  <c r="O142" i="2"/>
  <c r="N142" i="2"/>
  <c r="L142" i="2"/>
  <c r="K142" i="2"/>
  <c r="J142" i="2"/>
  <c r="I142" i="2"/>
  <c r="H142" i="2"/>
  <c r="G142" i="2"/>
  <c r="F142" i="2"/>
  <c r="E142" i="2"/>
  <c r="D142" i="2"/>
  <c r="O141" i="2"/>
  <c r="N141" i="2"/>
  <c r="L141" i="2"/>
  <c r="K141" i="2"/>
  <c r="J141" i="2"/>
  <c r="I141" i="2"/>
  <c r="H141" i="2"/>
  <c r="G141" i="2"/>
  <c r="F141" i="2"/>
  <c r="E141" i="2"/>
  <c r="D141" i="2"/>
  <c r="O140" i="2"/>
  <c r="N140" i="2"/>
  <c r="L140" i="2"/>
  <c r="K140" i="2"/>
  <c r="J140" i="2"/>
  <c r="I140" i="2"/>
  <c r="H140" i="2"/>
  <c r="G140" i="2"/>
  <c r="F140" i="2"/>
  <c r="E140" i="2"/>
  <c r="D140" i="2"/>
  <c r="O139" i="2"/>
  <c r="N139" i="2"/>
  <c r="L139" i="2"/>
  <c r="K139" i="2"/>
  <c r="J139" i="2"/>
  <c r="I139" i="2"/>
  <c r="H139" i="2"/>
  <c r="G139" i="2"/>
  <c r="F139" i="2"/>
  <c r="E139" i="2"/>
  <c r="D139" i="2"/>
  <c r="O138" i="2"/>
  <c r="N138" i="2"/>
  <c r="L138" i="2"/>
  <c r="K138" i="2"/>
  <c r="J138" i="2"/>
  <c r="I138" i="2"/>
  <c r="H138" i="2"/>
  <c r="G138" i="2"/>
  <c r="F138" i="2"/>
  <c r="E138" i="2"/>
  <c r="D138" i="2"/>
  <c r="O137" i="2"/>
  <c r="N137" i="2"/>
  <c r="L137" i="2"/>
  <c r="K137" i="2"/>
  <c r="J137" i="2"/>
  <c r="I137" i="2"/>
  <c r="H137" i="2"/>
  <c r="G137" i="2"/>
  <c r="F137" i="2"/>
  <c r="E137" i="2"/>
  <c r="D137" i="2"/>
  <c r="O136" i="2"/>
  <c r="N136" i="2"/>
  <c r="L136" i="2"/>
  <c r="K136" i="2"/>
  <c r="J136" i="2"/>
  <c r="I136" i="2"/>
  <c r="H136" i="2"/>
  <c r="G136" i="2"/>
  <c r="F136" i="2"/>
  <c r="E136" i="2"/>
  <c r="D136" i="2"/>
  <c r="O135" i="2"/>
  <c r="N135" i="2"/>
  <c r="L135" i="2"/>
  <c r="K135" i="2"/>
  <c r="J135" i="2"/>
  <c r="I135" i="2"/>
  <c r="H135" i="2"/>
  <c r="G135" i="2"/>
  <c r="F135" i="2"/>
  <c r="E135" i="2"/>
  <c r="D135" i="2"/>
  <c r="O134" i="2"/>
  <c r="N134" i="2"/>
  <c r="L134" i="2"/>
  <c r="K134" i="2"/>
  <c r="J134" i="2"/>
  <c r="I134" i="2"/>
  <c r="H134" i="2"/>
  <c r="G134" i="2"/>
  <c r="F134" i="2"/>
  <c r="E134" i="2"/>
  <c r="D134" i="2"/>
  <c r="O133" i="2"/>
  <c r="N133" i="2"/>
  <c r="L133" i="2"/>
  <c r="K133" i="2"/>
  <c r="J133" i="2"/>
  <c r="I133" i="2"/>
  <c r="H133" i="2"/>
  <c r="G133" i="2"/>
  <c r="F133" i="2"/>
  <c r="E133" i="2"/>
  <c r="D133" i="2"/>
  <c r="O132" i="2"/>
  <c r="N132" i="2"/>
  <c r="L132" i="2"/>
  <c r="K132" i="2"/>
  <c r="J132" i="2"/>
  <c r="I132" i="2"/>
  <c r="H132" i="2"/>
  <c r="G132" i="2"/>
  <c r="F132" i="2"/>
  <c r="E132" i="2"/>
  <c r="D132" i="2"/>
  <c r="O131" i="2"/>
  <c r="N131" i="2"/>
  <c r="L131" i="2"/>
  <c r="K131" i="2"/>
  <c r="J131" i="2"/>
  <c r="I131" i="2"/>
  <c r="H131" i="2"/>
  <c r="G131" i="2"/>
  <c r="F131" i="2"/>
  <c r="E131" i="2"/>
  <c r="D131" i="2"/>
  <c r="O130" i="2"/>
  <c r="N130" i="2"/>
  <c r="L130" i="2"/>
  <c r="K130" i="2"/>
  <c r="J130" i="2"/>
  <c r="I130" i="2"/>
  <c r="H130" i="2"/>
  <c r="G130" i="2"/>
  <c r="F130" i="2"/>
  <c r="E130" i="2"/>
  <c r="D130" i="2"/>
  <c r="O129" i="2"/>
  <c r="N129" i="2"/>
  <c r="L129" i="2"/>
  <c r="K129" i="2"/>
  <c r="J129" i="2"/>
  <c r="I129" i="2"/>
  <c r="H129" i="2"/>
  <c r="G129" i="2"/>
  <c r="F129" i="2"/>
  <c r="E129" i="2"/>
  <c r="D129" i="2"/>
  <c r="O128" i="2"/>
  <c r="N128" i="2"/>
  <c r="L128" i="2"/>
  <c r="K128" i="2"/>
  <c r="J128" i="2"/>
  <c r="I128" i="2"/>
  <c r="H128" i="2"/>
  <c r="G128" i="2"/>
  <c r="F128" i="2"/>
  <c r="E128" i="2"/>
  <c r="D128" i="2"/>
  <c r="O127" i="2"/>
  <c r="N127" i="2"/>
  <c r="L127" i="2"/>
  <c r="K127" i="2"/>
  <c r="J127" i="2"/>
  <c r="I127" i="2"/>
  <c r="H127" i="2"/>
  <c r="G127" i="2"/>
  <c r="F127" i="2"/>
  <c r="E127" i="2"/>
  <c r="D127" i="2"/>
  <c r="O126" i="2"/>
  <c r="N126" i="2"/>
  <c r="L126" i="2"/>
  <c r="K126" i="2"/>
  <c r="J126" i="2"/>
  <c r="I126" i="2"/>
  <c r="H126" i="2"/>
  <c r="G126" i="2"/>
  <c r="F126" i="2"/>
  <c r="E126" i="2"/>
  <c r="D126" i="2"/>
  <c r="O125" i="2"/>
  <c r="N125" i="2"/>
  <c r="L125" i="2"/>
  <c r="K125" i="2"/>
  <c r="J125" i="2"/>
  <c r="I125" i="2"/>
  <c r="H125" i="2"/>
  <c r="G125" i="2"/>
  <c r="F125" i="2"/>
  <c r="E125" i="2"/>
  <c r="D125" i="2"/>
  <c r="O124" i="2"/>
  <c r="N124" i="2"/>
  <c r="L124" i="2"/>
  <c r="K124" i="2"/>
  <c r="J124" i="2"/>
  <c r="I124" i="2"/>
  <c r="H124" i="2"/>
  <c r="G124" i="2"/>
  <c r="F124" i="2"/>
  <c r="E124" i="2"/>
  <c r="D124" i="2"/>
  <c r="O123" i="2"/>
  <c r="N123" i="2"/>
  <c r="L123" i="2"/>
  <c r="K123" i="2"/>
  <c r="J123" i="2"/>
  <c r="I123" i="2"/>
  <c r="H123" i="2"/>
  <c r="G123" i="2"/>
  <c r="F123" i="2"/>
  <c r="E123" i="2"/>
  <c r="D123" i="2"/>
  <c r="O122" i="2"/>
  <c r="N122" i="2"/>
  <c r="L122" i="2"/>
  <c r="K122" i="2"/>
  <c r="J122" i="2"/>
  <c r="I122" i="2"/>
  <c r="H122" i="2"/>
  <c r="G122" i="2"/>
  <c r="F122" i="2"/>
  <c r="E122" i="2"/>
  <c r="D122" i="2"/>
  <c r="O121" i="2"/>
  <c r="N121" i="2"/>
  <c r="L121" i="2"/>
  <c r="K121" i="2"/>
  <c r="J121" i="2"/>
  <c r="I121" i="2"/>
  <c r="H121" i="2"/>
  <c r="G121" i="2"/>
  <c r="F121" i="2"/>
  <c r="E121" i="2"/>
  <c r="D121" i="2"/>
  <c r="O120" i="2"/>
  <c r="N120" i="2"/>
  <c r="L120" i="2"/>
  <c r="K120" i="2"/>
  <c r="J120" i="2"/>
  <c r="I120" i="2"/>
  <c r="H120" i="2"/>
  <c r="G120" i="2"/>
  <c r="F120" i="2"/>
  <c r="E120" i="2"/>
  <c r="D120" i="2"/>
  <c r="O119" i="2"/>
  <c r="N119" i="2"/>
  <c r="L119" i="2"/>
  <c r="K119" i="2"/>
  <c r="J119" i="2"/>
  <c r="I119" i="2"/>
  <c r="H119" i="2"/>
  <c r="G119" i="2"/>
  <c r="F119" i="2"/>
  <c r="E119" i="2"/>
  <c r="D119" i="2"/>
  <c r="O118" i="2"/>
  <c r="N118" i="2"/>
  <c r="L118" i="2"/>
  <c r="K118" i="2"/>
  <c r="J118" i="2"/>
  <c r="I118" i="2"/>
  <c r="H118" i="2"/>
  <c r="G118" i="2"/>
  <c r="F118" i="2"/>
  <c r="E118" i="2"/>
  <c r="D118" i="2"/>
  <c r="O117" i="2"/>
  <c r="N117" i="2"/>
  <c r="L117" i="2"/>
  <c r="K117" i="2"/>
  <c r="J117" i="2"/>
  <c r="I117" i="2"/>
  <c r="H117" i="2"/>
  <c r="G117" i="2"/>
  <c r="F117" i="2"/>
  <c r="E117" i="2"/>
  <c r="D117" i="2"/>
  <c r="O116" i="2"/>
  <c r="N116" i="2"/>
  <c r="L116" i="2"/>
  <c r="K116" i="2"/>
  <c r="J116" i="2"/>
  <c r="I116" i="2"/>
  <c r="H116" i="2"/>
  <c r="G116" i="2"/>
  <c r="F116" i="2"/>
  <c r="E116" i="2"/>
  <c r="D116" i="2"/>
  <c r="O115" i="2"/>
  <c r="N115" i="2"/>
  <c r="L115" i="2"/>
  <c r="K115" i="2"/>
  <c r="J115" i="2"/>
  <c r="I115" i="2"/>
  <c r="H115" i="2"/>
  <c r="G115" i="2"/>
  <c r="F115" i="2"/>
  <c r="E115" i="2"/>
  <c r="D115" i="2"/>
  <c r="O114" i="2"/>
  <c r="N114" i="2"/>
  <c r="L114" i="2"/>
  <c r="K114" i="2"/>
  <c r="J114" i="2"/>
  <c r="I114" i="2"/>
  <c r="H114" i="2"/>
  <c r="G114" i="2"/>
  <c r="F114" i="2"/>
  <c r="E114" i="2"/>
  <c r="D114" i="2"/>
  <c r="O113" i="2"/>
  <c r="N113" i="2"/>
  <c r="L113" i="2"/>
  <c r="K113" i="2"/>
  <c r="J113" i="2"/>
  <c r="I113" i="2"/>
  <c r="H113" i="2"/>
  <c r="G113" i="2"/>
  <c r="F113" i="2"/>
  <c r="E113" i="2"/>
  <c r="D113" i="2"/>
  <c r="O112" i="2"/>
  <c r="N112" i="2"/>
  <c r="L112" i="2"/>
  <c r="K112" i="2"/>
  <c r="J112" i="2"/>
  <c r="I112" i="2"/>
  <c r="H112" i="2"/>
  <c r="G112" i="2"/>
  <c r="F112" i="2"/>
  <c r="E112" i="2"/>
  <c r="D112" i="2"/>
  <c r="O111" i="2"/>
  <c r="N111" i="2"/>
  <c r="L111" i="2"/>
  <c r="K111" i="2"/>
  <c r="J111" i="2"/>
  <c r="I111" i="2"/>
  <c r="H111" i="2"/>
  <c r="G111" i="2"/>
  <c r="F111" i="2"/>
  <c r="E111" i="2"/>
  <c r="D111" i="2"/>
  <c r="O110" i="2"/>
  <c r="N110" i="2"/>
  <c r="L110" i="2"/>
  <c r="K110" i="2"/>
  <c r="J110" i="2"/>
  <c r="I110" i="2"/>
  <c r="H110" i="2"/>
  <c r="G110" i="2"/>
  <c r="F110" i="2"/>
  <c r="E110" i="2"/>
  <c r="D110" i="2"/>
  <c r="O109" i="2"/>
  <c r="N109" i="2"/>
  <c r="L109" i="2"/>
  <c r="K109" i="2"/>
  <c r="J109" i="2"/>
  <c r="I109" i="2"/>
  <c r="H109" i="2"/>
  <c r="G109" i="2"/>
  <c r="F109" i="2"/>
  <c r="E109" i="2"/>
  <c r="D109" i="2"/>
  <c r="O108" i="2"/>
  <c r="N108" i="2"/>
  <c r="L108" i="2"/>
  <c r="K108" i="2"/>
  <c r="J108" i="2"/>
  <c r="I108" i="2"/>
  <c r="H108" i="2"/>
  <c r="G108" i="2"/>
  <c r="F108" i="2"/>
  <c r="E108" i="2"/>
  <c r="D108" i="2"/>
  <c r="O107" i="2"/>
  <c r="N107" i="2"/>
  <c r="L107" i="2"/>
  <c r="K107" i="2"/>
  <c r="J107" i="2"/>
  <c r="I107" i="2"/>
  <c r="H107" i="2"/>
  <c r="G107" i="2"/>
  <c r="F107" i="2"/>
  <c r="E107" i="2"/>
  <c r="D107" i="2"/>
  <c r="O106" i="2"/>
  <c r="N106" i="2"/>
  <c r="L106" i="2"/>
  <c r="K106" i="2"/>
  <c r="J106" i="2"/>
  <c r="I106" i="2"/>
  <c r="H106" i="2"/>
  <c r="G106" i="2"/>
  <c r="F106" i="2"/>
  <c r="E106" i="2"/>
  <c r="D106" i="2"/>
  <c r="O105" i="2"/>
  <c r="N105" i="2"/>
  <c r="L105" i="2"/>
  <c r="K105" i="2"/>
  <c r="J105" i="2"/>
  <c r="I105" i="2"/>
  <c r="H105" i="2"/>
  <c r="G105" i="2"/>
  <c r="F105" i="2"/>
  <c r="E105" i="2"/>
  <c r="D105" i="2"/>
  <c r="O104" i="2"/>
  <c r="N104" i="2"/>
  <c r="L104" i="2"/>
  <c r="K104" i="2"/>
  <c r="J104" i="2"/>
  <c r="I104" i="2"/>
  <c r="H104" i="2"/>
  <c r="G104" i="2"/>
  <c r="F104" i="2"/>
  <c r="E104" i="2"/>
  <c r="D104" i="2"/>
  <c r="O103" i="2"/>
  <c r="N103" i="2"/>
  <c r="L103" i="2"/>
  <c r="K103" i="2"/>
  <c r="J103" i="2"/>
  <c r="I103" i="2"/>
  <c r="H103" i="2"/>
  <c r="G103" i="2"/>
  <c r="F103" i="2"/>
  <c r="E103" i="2"/>
  <c r="D103" i="2"/>
  <c r="O102" i="2"/>
  <c r="N102" i="2"/>
  <c r="L102" i="2"/>
  <c r="K102" i="2"/>
  <c r="J102" i="2"/>
  <c r="I102" i="2"/>
  <c r="H102" i="2"/>
  <c r="G102" i="2"/>
  <c r="F102" i="2"/>
  <c r="E102" i="2"/>
  <c r="D102" i="2"/>
  <c r="O101" i="2"/>
  <c r="N101" i="2"/>
  <c r="L101" i="2"/>
  <c r="K101" i="2"/>
  <c r="J101" i="2"/>
  <c r="I101" i="2"/>
  <c r="H101" i="2"/>
  <c r="G101" i="2"/>
  <c r="F101" i="2"/>
  <c r="E101" i="2"/>
  <c r="D101" i="2"/>
  <c r="O100" i="2"/>
  <c r="N100" i="2"/>
  <c r="L100" i="2"/>
  <c r="K100" i="2"/>
  <c r="J100" i="2"/>
  <c r="I100" i="2"/>
  <c r="H100" i="2"/>
  <c r="G100" i="2"/>
  <c r="F100" i="2"/>
  <c r="E100" i="2"/>
  <c r="D100" i="2"/>
  <c r="O99" i="2"/>
  <c r="N99" i="2"/>
  <c r="L99" i="2"/>
  <c r="K99" i="2"/>
  <c r="J99" i="2"/>
  <c r="I99" i="2"/>
  <c r="H99" i="2"/>
  <c r="G99" i="2"/>
  <c r="F99" i="2"/>
  <c r="E99" i="2"/>
  <c r="D99" i="2"/>
  <c r="O98" i="2"/>
  <c r="N98" i="2"/>
  <c r="L98" i="2"/>
  <c r="K98" i="2"/>
  <c r="J98" i="2"/>
  <c r="I98" i="2"/>
  <c r="H98" i="2"/>
  <c r="G98" i="2"/>
  <c r="F98" i="2"/>
  <c r="E98" i="2"/>
  <c r="D98" i="2"/>
  <c r="O97" i="2"/>
  <c r="N97" i="2"/>
  <c r="L97" i="2"/>
  <c r="K97" i="2"/>
  <c r="J97" i="2"/>
  <c r="I97" i="2"/>
  <c r="H97" i="2"/>
  <c r="G97" i="2"/>
  <c r="F97" i="2"/>
  <c r="E97" i="2"/>
  <c r="D97" i="2"/>
  <c r="O96" i="2"/>
  <c r="N96" i="2"/>
  <c r="L96" i="2"/>
  <c r="K96" i="2"/>
  <c r="J96" i="2"/>
  <c r="I96" i="2"/>
  <c r="H96" i="2"/>
  <c r="G96" i="2"/>
  <c r="F96" i="2"/>
  <c r="E96" i="2"/>
  <c r="D96" i="2"/>
  <c r="O95" i="2"/>
  <c r="N95" i="2"/>
  <c r="L95" i="2"/>
  <c r="K95" i="2"/>
  <c r="J95" i="2"/>
  <c r="I95" i="2"/>
  <c r="H95" i="2"/>
  <c r="G95" i="2"/>
  <c r="F95" i="2"/>
  <c r="E95" i="2"/>
  <c r="D95" i="2"/>
  <c r="O94" i="2"/>
  <c r="N94" i="2"/>
  <c r="L94" i="2"/>
  <c r="K94" i="2"/>
  <c r="J94" i="2"/>
  <c r="I94" i="2"/>
  <c r="H94" i="2"/>
  <c r="G94" i="2"/>
  <c r="F94" i="2"/>
  <c r="E94" i="2"/>
  <c r="D94" i="2"/>
  <c r="O93" i="2"/>
  <c r="N93" i="2"/>
  <c r="L93" i="2"/>
  <c r="K93" i="2"/>
  <c r="J93" i="2"/>
  <c r="I93" i="2"/>
  <c r="H93" i="2"/>
  <c r="G93" i="2"/>
  <c r="F93" i="2"/>
  <c r="E93" i="2"/>
  <c r="D93" i="2"/>
  <c r="O92" i="2"/>
  <c r="N92" i="2"/>
  <c r="L92" i="2"/>
  <c r="K92" i="2"/>
  <c r="J92" i="2"/>
  <c r="I92" i="2"/>
  <c r="H92" i="2"/>
  <c r="G92" i="2"/>
  <c r="F92" i="2"/>
  <c r="E92" i="2"/>
  <c r="D92" i="2"/>
  <c r="O91" i="2"/>
  <c r="N91" i="2"/>
  <c r="L91" i="2"/>
  <c r="K91" i="2"/>
  <c r="J91" i="2"/>
  <c r="I91" i="2"/>
  <c r="H91" i="2"/>
  <c r="G91" i="2"/>
  <c r="F91" i="2"/>
  <c r="E91" i="2"/>
  <c r="D91" i="2"/>
  <c r="O90" i="2"/>
  <c r="N90" i="2"/>
  <c r="L90" i="2"/>
  <c r="K90" i="2"/>
  <c r="J90" i="2"/>
  <c r="I90" i="2"/>
  <c r="H90" i="2"/>
  <c r="G90" i="2"/>
  <c r="F90" i="2"/>
  <c r="E90" i="2"/>
  <c r="D90" i="2"/>
  <c r="O89" i="2"/>
  <c r="N89" i="2"/>
  <c r="L89" i="2"/>
  <c r="K89" i="2"/>
  <c r="J89" i="2"/>
  <c r="I89" i="2"/>
  <c r="H89" i="2"/>
  <c r="G89" i="2"/>
  <c r="F89" i="2"/>
  <c r="E89" i="2"/>
  <c r="D89" i="2"/>
  <c r="O88" i="2"/>
  <c r="N88" i="2"/>
  <c r="L88" i="2"/>
  <c r="K88" i="2"/>
  <c r="J88" i="2"/>
  <c r="I88" i="2"/>
  <c r="H88" i="2"/>
  <c r="G88" i="2"/>
  <c r="F88" i="2"/>
  <c r="E88" i="2"/>
  <c r="D88" i="2"/>
  <c r="O87" i="2"/>
  <c r="N87" i="2"/>
  <c r="L87" i="2"/>
  <c r="K87" i="2"/>
  <c r="J87" i="2"/>
  <c r="I87" i="2"/>
  <c r="H87" i="2"/>
  <c r="G87" i="2"/>
  <c r="F87" i="2"/>
  <c r="E87" i="2"/>
  <c r="D87" i="2"/>
  <c r="O86" i="2"/>
  <c r="N86" i="2"/>
  <c r="L86" i="2"/>
  <c r="K86" i="2"/>
  <c r="J86" i="2"/>
  <c r="I86" i="2"/>
  <c r="H86" i="2"/>
  <c r="G86" i="2"/>
  <c r="F86" i="2"/>
  <c r="E86" i="2"/>
  <c r="D86" i="2"/>
  <c r="O85" i="2"/>
  <c r="N85" i="2"/>
  <c r="L85" i="2"/>
  <c r="K85" i="2"/>
  <c r="J85" i="2"/>
  <c r="I85" i="2"/>
  <c r="H85" i="2"/>
  <c r="G85" i="2"/>
  <c r="F85" i="2"/>
  <c r="E85" i="2"/>
  <c r="D85" i="2"/>
  <c r="O84" i="2"/>
  <c r="N84" i="2"/>
  <c r="L84" i="2"/>
  <c r="K84" i="2"/>
  <c r="J84" i="2"/>
  <c r="I84" i="2"/>
  <c r="H84" i="2"/>
  <c r="G84" i="2"/>
  <c r="F84" i="2"/>
  <c r="E84" i="2"/>
  <c r="D84" i="2"/>
  <c r="O83" i="2"/>
  <c r="N83" i="2"/>
  <c r="L83" i="2"/>
  <c r="K83" i="2"/>
  <c r="J83" i="2"/>
  <c r="I83" i="2"/>
  <c r="H83" i="2"/>
  <c r="G83" i="2"/>
  <c r="F83" i="2"/>
  <c r="E83" i="2"/>
  <c r="D83" i="2"/>
  <c r="O82" i="2"/>
  <c r="N82" i="2"/>
  <c r="L82" i="2"/>
  <c r="K82" i="2"/>
  <c r="J82" i="2"/>
  <c r="I82" i="2"/>
  <c r="H82" i="2"/>
  <c r="G82" i="2"/>
  <c r="F82" i="2"/>
  <c r="E82" i="2"/>
  <c r="D82" i="2"/>
  <c r="O81" i="2"/>
  <c r="N81" i="2"/>
  <c r="L81" i="2"/>
  <c r="K81" i="2"/>
  <c r="J81" i="2"/>
  <c r="I81" i="2"/>
  <c r="H81" i="2"/>
  <c r="G81" i="2"/>
  <c r="F81" i="2"/>
  <c r="E81" i="2"/>
  <c r="D81" i="2"/>
  <c r="O80" i="2"/>
  <c r="N80" i="2"/>
  <c r="L80" i="2"/>
  <c r="K80" i="2"/>
  <c r="J80" i="2"/>
  <c r="I80" i="2"/>
  <c r="H80" i="2"/>
  <c r="G80" i="2"/>
  <c r="F80" i="2"/>
  <c r="E80" i="2"/>
  <c r="D80" i="2"/>
  <c r="O79" i="2"/>
  <c r="N79" i="2"/>
  <c r="L79" i="2"/>
  <c r="K79" i="2"/>
  <c r="J79" i="2"/>
  <c r="I79" i="2"/>
  <c r="H79" i="2"/>
  <c r="G79" i="2"/>
  <c r="F79" i="2"/>
  <c r="E79" i="2"/>
  <c r="D79" i="2"/>
  <c r="O78" i="2"/>
  <c r="N78" i="2"/>
  <c r="L78" i="2"/>
  <c r="K78" i="2"/>
  <c r="J78" i="2"/>
  <c r="I78" i="2"/>
  <c r="H78" i="2"/>
  <c r="G78" i="2"/>
  <c r="F78" i="2"/>
  <c r="E78" i="2"/>
  <c r="D78" i="2"/>
  <c r="O77" i="2"/>
  <c r="N77" i="2"/>
  <c r="L77" i="2"/>
  <c r="K77" i="2"/>
  <c r="J77" i="2"/>
  <c r="I77" i="2"/>
  <c r="H77" i="2"/>
  <c r="G77" i="2"/>
  <c r="F77" i="2"/>
  <c r="E77" i="2"/>
  <c r="D77" i="2"/>
  <c r="O76" i="2"/>
  <c r="N76" i="2"/>
  <c r="L76" i="2"/>
  <c r="K76" i="2"/>
  <c r="J76" i="2"/>
  <c r="I76" i="2"/>
  <c r="H76" i="2"/>
  <c r="G76" i="2"/>
  <c r="F76" i="2"/>
  <c r="E76" i="2"/>
  <c r="D76" i="2"/>
  <c r="O75" i="2"/>
  <c r="N75" i="2"/>
  <c r="L75" i="2"/>
  <c r="K75" i="2"/>
  <c r="J75" i="2"/>
  <c r="I75" i="2"/>
  <c r="H75" i="2"/>
  <c r="G75" i="2"/>
  <c r="F75" i="2"/>
  <c r="E75" i="2"/>
  <c r="D75" i="2"/>
  <c r="O74" i="2"/>
  <c r="N74" i="2"/>
  <c r="L74" i="2"/>
  <c r="K74" i="2"/>
  <c r="J74" i="2"/>
  <c r="I74" i="2"/>
  <c r="H74" i="2"/>
  <c r="G74" i="2"/>
  <c r="F74" i="2"/>
  <c r="E74" i="2"/>
  <c r="D74" i="2"/>
  <c r="O73" i="2"/>
  <c r="N73" i="2"/>
  <c r="L73" i="2"/>
  <c r="K73" i="2"/>
  <c r="J73" i="2"/>
  <c r="I73" i="2"/>
  <c r="H73" i="2"/>
  <c r="G73" i="2"/>
  <c r="F73" i="2"/>
  <c r="E73" i="2"/>
  <c r="D73" i="2"/>
  <c r="O72" i="2"/>
  <c r="N72" i="2"/>
  <c r="L72" i="2"/>
  <c r="K72" i="2"/>
  <c r="J72" i="2"/>
  <c r="I72" i="2"/>
  <c r="H72" i="2"/>
  <c r="G72" i="2"/>
  <c r="F72" i="2"/>
  <c r="E72" i="2"/>
  <c r="D72" i="2"/>
  <c r="O71" i="2"/>
  <c r="N71" i="2"/>
  <c r="L71" i="2"/>
  <c r="K71" i="2"/>
  <c r="J71" i="2"/>
  <c r="I71" i="2"/>
  <c r="H71" i="2"/>
  <c r="G71" i="2"/>
  <c r="F71" i="2"/>
  <c r="E71" i="2"/>
  <c r="D71" i="2"/>
  <c r="O70" i="2"/>
  <c r="N70" i="2"/>
  <c r="L70" i="2"/>
  <c r="K70" i="2"/>
  <c r="J70" i="2"/>
  <c r="I70" i="2"/>
  <c r="H70" i="2"/>
  <c r="G70" i="2"/>
  <c r="F70" i="2"/>
  <c r="E70" i="2"/>
  <c r="D70" i="2"/>
  <c r="O69" i="2"/>
  <c r="N69" i="2"/>
  <c r="L69" i="2"/>
  <c r="K69" i="2"/>
  <c r="J69" i="2"/>
  <c r="I69" i="2"/>
  <c r="H69" i="2"/>
  <c r="G69" i="2"/>
  <c r="F69" i="2"/>
  <c r="E69" i="2"/>
  <c r="D69" i="2"/>
  <c r="O68" i="2"/>
  <c r="N68" i="2"/>
  <c r="L68" i="2"/>
  <c r="K68" i="2"/>
  <c r="J68" i="2"/>
  <c r="I68" i="2"/>
  <c r="H68" i="2"/>
  <c r="G68" i="2"/>
  <c r="F68" i="2"/>
  <c r="E68" i="2"/>
  <c r="D68" i="2"/>
  <c r="O67" i="2"/>
  <c r="N67" i="2"/>
  <c r="L67" i="2"/>
  <c r="K67" i="2"/>
  <c r="J67" i="2"/>
  <c r="I67" i="2"/>
  <c r="H67" i="2"/>
  <c r="G67" i="2"/>
  <c r="F67" i="2"/>
  <c r="E67" i="2"/>
  <c r="D67" i="2"/>
  <c r="O66" i="2"/>
  <c r="N66" i="2"/>
  <c r="L66" i="2"/>
  <c r="K66" i="2"/>
  <c r="J66" i="2"/>
  <c r="I66" i="2"/>
  <c r="H66" i="2"/>
  <c r="G66" i="2"/>
  <c r="F66" i="2"/>
  <c r="E66" i="2"/>
  <c r="D66" i="2"/>
  <c r="O65" i="2"/>
  <c r="N65" i="2"/>
  <c r="L65" i="2"/>
  <c r="K65" i="2"/>
  <c r="J65" i="2"/>
  <c r="I65" i="2"/>
  <c r="H65" i="2"/>
  <c r="G65" i="2"/>
  <c r="F65" i="2"/>
  <c r="E65" i="2"/>
  <c r="D65" i="2"/>
  <c r="O64" i="2"/>
  <c r="N64" i="2"/>
  <c r="L64" i="2"/>
  <c r="K64" i="2"/>
  <c r="J64" i="2"/>
  <c r="I64" i="2"/>
  <c r="H64" i="2"/>
  <c r="G64" i="2"/>
  <c r="F64" i="2"/>
  <c r="E64" i="2"/>
  <c r="D64" i="2"/>
  <c r="O63" i="2"/>
  <c r="N63" i="2"/>
  <c r="L63" i="2"/>
  <c r="K63" i="2"/>
  <c r="J63" i="2"/>
  <c r="I63" i="2"/>
  <c r="H63" i="2"/>
  <c r="G63" i="2"/>
  <c r="F63" i="2"/>
  <c r="E63" i="2"/>
  <c r="D63" i="2"/>
  <c r="O62" i="2"/>
  <c r="N62" i="2"/>
  <c r="L62" i="2"/>
  <c r="K62" i="2"/>
  <c r="J62" i="2"/>
  <c r="I62" i="2"/>
  <c r="H62" i="2"/>
  <c r="G62" i="2"/>
  <c r="F62" i="2"/>
  <c r="E62" i="2"/>
  <c r="D62" i="2"/>
  <c r="O61" i="2"/>
  <c r="N61" i="2"/>
  <c r="L61" i="2"/>
  <c r="K61" i="2"/>
  <c r="J61" i="2"/>
  <c r="I61" i="2"/>
  <c r="H61" i="2"/>
  <c r="G61" i="2"/>
  <c r="F61" i="2"/>
  <c r="E61" i="2"/>
  <c r="D61" i="2"/>
  <c r="O60" i="2"/>
  <c r="N60" i="2"/>
  <c r="L60" i="2"/>
  <c r="K60" i="2"/>
  <c r="J60" i="2"/>
  <c r="I60" i="2"/>
  <c r="H60" i="2"/>
  <c r="G60" i="2"/>
  <c r="F60" i="2"/>
  <c r="E60" i="2"/>
  <c r="D60" i="2"/>
  <c r="O59" i="2"/>
  <c r="N59" i="2"/>
  <c r="L59" i="2"/>
  <c r="K59" i="2"/>
  <c r="J59" i="2"/>
  <c r="I59" i="2"/>
  <c r="H59" i="2"/>
  <c r="G59" i="2"/>
  <c r="F59" i="2"/>
  <c r="E59" i="2"/>
  <c r="D59" i="2"/>
  <c r="O58" i="2"/>
  <c r="N58" i="2"/>
  <c r="L58" i="2"/>
  <c r="K58" i="2"/>
  <c r="J58" i="2"/>
  <c r="I58" i="2"/>
  <c r="H58" i="2"/>
  <c r="G58" i="2"/>
  <c r="F58" i="2"/>
  <c r="E58" i="2"/>
  <c r="D58" i="2"/>
  <c r="O57" i="2"/>
  <c r="N57" i="2"/>
  <c r="L57" i="2"/>
  <c r="K57" i="2"/>
  <c r="J57" i="2"/>
  <c r="I57" i="2"/>
  <c r="H57" i="2"/>
  <c r="G57" i="2"/>
  <c r="F57" i="2"/>
  <c r="E57" i="2"/>
  <c r="D57" i="2"/>
  <c r="O56" i="2"/>
  <c r="N56" i="2"/>
  <c r="L56" i="2"/>
  <c r="K56" i="2"/>
  <c r="J56" i="2"/>
  <c r="I56" i="2"/>
  <c r="H56" i="2"/>
  <c r="G56" i="2"/>
  <c r="F56" i="2"/>
  <c r="E56" i="2"/>
  <c r="D56" i="2"/>
  <c r="O55" i="2"/>
  <c r="N55" i="2"/>
  <c r="L55" i="2"/>
  <c r="K55" i="2"/>
  <c r="J55" i="2"/>
  <c r="I55" i="2"/>
  <c r="H55" i="2"/>
  <c r="G55" i="2"/>
  <c r="F55" i="2"/>
  <c r="E55" i="2"/>
  <c r="D55" i="2"/>
  <c r="O54" i="2"/>
  <c r="N54" i="2"/>
  <c r="L54" i="2"/>
  <c r="K54" i="2"/>
  <c r="J54" i="2"/>
  <c r="I54" i="2"/>
  <c r="H54" i="2"/>
  <c r="G54" i="2"/>
  <c r="F54" i="2"/>
  <c r="E54" i="2"/>
  <c r="D54" i="2"/>
  <c r="O53" i="2"/>
  <c r="N53" i="2"/>
  <c r="L53" i="2"/>
  <c r="K53" i="2"/>
  <c r="J53" i="2"/>
  <c r="I53" i="2"/>
  <c r="H53" i="2"/>
  <c r="G53" i="2"/>
  <c r="F53" i="2"/>
  <c r="E53" i="2"/>
  <c r="D53" i="2"/>
  <c r="O52" i="2"/>
  <c r="N52" i="2"/>
  <c r="L52" i="2"/>
  <c r="K52" i="2"/>
  <c r="J52" i="2"/>
  <c r="I52" i="2"/>
  <c r="H52" i="2"/>
  <c r="G52" i="2"/>
  <c r="F52" i="2"/>
  <c r="E52" i="2"/>
  <c r="D52" i="2"/>
  <c r="O51" i="2"/>
  <c r="N51" i="2"/>
  <c r="L51" i="2"/>
  <c r="K51" i="2"/>
  <c r="J51" i="2"/>
  <c r="I51" i="2"/>
  <c r="H51" i="2"/>
  <c r="G51" i="2"/>
  <c r="F51" i="2"/>
  <c r="E51" i="2"/>
  <c r="D51" i="2"/>
  <c r="O50" i="2"/>
  <c r="N50" i="2"/>
  <c r="L50" i="2"/>
  <c r="K50" i="2"/>
  <c r="J50" i="2"/>
  <c r="I50" i="2"/>
  <c r="H50" i="2"/>
  <c r="G50" i="2"/>
  <c r="F50" i="2"/>
  <c r="E50" i="2"/>
  <c r="D50" i="2"/>
  <c r="O49" i="2"/>
  <c r="N49" i="2"/>
  <c r="L49" i="2"/>
  <c r="K49" i="2"/>
  <c r="J49" i="2"/>
  <c r="I49" i="2"/>
  <c r="H49" i="2"/>
  <c r="G49" i="2"/>
  <c r="F49" i="2"/>
  <c r="E49" i="2"/>
  <c r="D49" i="2"/>
  <c r="O48" i="2"/>
  <c r="N48" i="2"/>
  <c r="L48" i="2"/>
  <c r="K48" i="2"/>
  <c r="J48" i="2"/>
  <c r="I48" i="2"/>
  <c r="H48" i="2"/>
  <c r="G48" i="2"/>
  <c r="F48" i="2"/>
  <c r="E48" i="2"/>
  <c r="D48" i="2"/>
  <c r="O47" i="2"/>
  <c r="N47" i="2"/>
  <c r="L47" i="2"/>
  <c r="K47" i="2"/>
  <c r="J47" i="2"/>
  <c r="I47" i="2"/>
  <c r="H47" i="2"/>
  <c r="G47" i="2"/>
  <c r="F47" i="2"/>
  <c r="E47" i="2"/>
  <c r="D47" i="2"/>
  <c r="O46" i="2"/>
  <c r="N46" i="2"/>
  <c r="L46" i="2"/>
  <c r="K46" i="2"/>
  <c r="J46" i="2"/>
  <c r="I46" i="2"/>
  <c r="H46" i="2"/>
  <c r="G46" i="2"/>
  <c r="F46" i="2"/>
  <c r="E46" i="2"/>
  <c r="D46" i="2"/>
  <c r="O45" i="2"/>
  <c r="N45" i="2"/>
  <c r="L45" i="2"/>
  <c r="K45" i="2"/>
  <c r="J45" i="2"/>
  <c r="I45" i="2"/>
  <c r="H45" i="2"/>
  <c r="G45" i="2"/>
  <c r="F45" i="2"/>
  <c r="E45" i="2"/>
  <c r="D45" i="2"/>
  <c r="O44" i="2"/>
  <c r="N44" i="2"/>
  <c r="L44" i="2"/>
  <c r="K44" i="2"/>
  <c r="J44" i="2"/>
  <c r="I44" i="2"/>
  <c r="H44" i="2"/>
  <c r="G44" i="2"/>
  <c r="F44" i="2"/>
  <c r="E44" i="2"/>
  <c r="D44" i="2"/>
  <c r="O43" i="2"/>
  <c r="N43" i="2"/>
  <c r="L43" i="2"/>
  <c r="K43" i="2"/>
  <c r="J43" i="2"/>
  <c r="I43" i="2"/>
  <c r="H43" i="2"/>
  <c r="G43" i="2"/>
  <c r="F43" i="2"/>
  <c r="E43" i="2"/>
  <c r="D43" i="2"/>
  <c r="O42" i="2"/>
  <c r="N42" i="2"/>
  <c r="L42" i="2"/>
  <c r="K42" i="2"/>
  <c r="J42" i="2"/>
  <c r="I42" i="2"/>
  <c r="H42" i="2"/>
  <c r="G42" i="2"/>
  <c r="F42" i="2"/>
  <c r="E42" i="2"/>
  <c r="D42" i="2"/>
  <c r="O41" i="2"/>
  <c r="N41" i="2"/>
  <c r="L41" i="2"/>
  <c r="K41" i="2"/>
  <c r="J41" i="2"/>
  <c r="I41" i="2"/>
  <c r="H41" i="2"/>
  <c r="G41" i="2"/>
  <c r="F41" i="2"/>
  <c r="E41" i="2"/>
  <c r="D41" i="2"/>
  <c r="O40" i="2"/>
  <c r="N40" i="2"/>
  <c r="L40" i="2"/>
  <c r="K40" i="2"/>
  <c r="J40" i="2"/>
  <c r="I40" i="2"/>
  <c r="H40" i="2"/>
  <c r="G40" i="2"/>
  <c r="F40" i="2"/>
  <c r="E40" i="2"/>
  <c r="D40" i="2"/>
  <c r="O39" i="2"/>
  <c r="N39" i="2"/>
  <c r="L39" i="2"/>
  <c r="K39" i="2"/>
  <c r="J39" i="2"/>
  <c r="I39" i="2"/>
  <c r="H39" i="2"/>
  <c r="G39" i="2"/>
  <c r="F39" i="2"/>
  <c r="E39" i="2"/>
  <c r="D39" i="2"/>
  <c r="O38" i="2"/>
  <c r="N38" i="2"/>
  <c r="L38" i="2"/>
  <c r="K38" i="2"/>
  <c r="J38" i="2"/>
  <c r="I38" i="2"/>
  <c r="H38" i="2"/>
  <c r="G38" i="2"/>
  <c r="F38" i="2"/>
  <c r="E38" i="2"/>
  <c r="D38" i="2"/>
  <c r="O37" i="2"/>
  <c r="N37" i="2"/>
  <c r="L37" i="2"/>
  <c r="K37" i="2"/>
  <c r="J37" i="2"/>
  <c r="I37" i="2"/>
  <c r="H37" i="2"/>
  <c r="G37" i="2"/>
  <c r="F37" i="2"/>
  <c r="E37" i="2"/>
  <c r="D37" i="2"/>
  <c r="O36" i="2"/>
  <c r="N36" i="2"/>
  <c r="L36" i="2"/>
  <c r="K36" i="2"/>
  <c r="J36" i="2"/>
  <c r="I36" i="2"/>
  <c r="H36" i="2"/>
  <c r="G36" i="2"/>
  <c r="F36" i="2"/>
  <c r="E36" i="2"/>
  <c r="D36" i="2"/>
  <c r="O35" i="2"/>
  <c r="N35" i="2"/>
  <c r="L35" i="2"/>
  <c r="K35" i="2"/>
  <c r="J35" i="2"/>
  <c r="I35" i="2"/>
  <c r="H35" i="2"/>
  <c r="G35" i="2"/>
  <c r="F35" i="2"/>
  <c r="E35" i="2"/>
  <c r="D35" i="2"/>
  <c r="O34" i="2"/>
  <c r="N34" i="2"/>
  <c r="L34" i="2"/>
  <c r="K34" i="2"/>
  <c r="J34" i="2"/>
  <c r="I34" i="2"/>
  <c r="H34" i="2"/>
  <c r="G34" i="2"/>
  <c r="F34" i="2"/>
  <c r="E34" i="2"/>
  <c r="D34" i="2"/>
  <c r="O33" i="2"/>
  <c r="N33" i="2"/>
  <c r="L33" i="2"/>
  <c r="K33" i="2"/>
  <c r="J33" i="2"/>
  <c r="I33" i="2"/>
  <c r="H33" i="2"/>
  <c r="G33" i="2"/>
  <c r="F33" i="2"/>
  <c r="E33" i="2"/>
  <c r="D33" i="2"/>
  <c r="O32" i="2"/>
  <c r="N32" i="2"/>
  <c r="L32" i="2"/>
  <c r="K32" i="2"/>
  <c r="J32" i="2"/>
  <c r="I32" i="2"/>
  <c r="H32" i="2"/>
  <c r="G32" i="2"/>
  <c r="F32" i="2"/>
  <c r="E32" i="2"/>
  <c r="D32" i="2"/>
  <c r="O31" i="2"/>
  <c r="N31" i="2"/>
  <c r="L31" i="2"/>
  <c r="K31" i="2"/>
  <c r="J31" i="2"/>
  <c r="I31" i="2"/>
  <c r="H31" i="2"/>
  <c r="G31" i="2"/>
  <c r="F31" i="2"/>
  <c r="E31" i="2"/>
  <c r="D31" i="2"/>
  <c r="O30" i="2"/>
  <c r="N30" i="2"/>
  <c r="L30" i="2"/>
  <c r="K30" i="2"/>
  <c r="J30" i="2"/>
  <c r="I30" i="2"/>
  <c r="H30" i="2"/>
  <c r="G30" i="2"/>
  <c r="F30" i="2"/>
  <c r="E30" i="2"/>
  <c r="D30" i="2"/>
  <c r="O29" i="2"/>
  <c r="N29" i="2"/>
  <c r="L29" i="2"/>
  <c r="K29" i="2"/>
  <c r="J29" i="2"/>
  <c r="I29" i="2"/>
  <c r="H29" i="2"/>
  <c r="G29" i="2"/>
  <c r="F29" i="2"/>
  <c r="E29" i="2"/>
  <c r="D29" i="2"/>
  <c r="O28" i="2"/>
  <c r="N28" i="2"/>
  <c r="L28" i="2"/>
  <c r="K28" i="2"/>
  <c r="J28" i="2"/>
  <c r="I28" i="2"/>
  <c r="H28" i="2"/>
  <c r="G28" i="2"/>
  <c r="F28" i="2"/>
  <c r="E28" i="2"/>
  <c r="D28" i="2"/>
  <c r="O27" i="2"/>
  <c r="N27" i="2"/>
  <c r="L27" i="2"/>
  <c r="K27" i="2"/>
  <c r="J27" i="2"/>
  <c r="I27" i="2"/>
  <c r="H27" i="2"/>
  <c r="G27" i="2"/>
  <c r="F27" i="2"/>
  <c r="E27" i="2"/>
  <c r="D27" i="2"/>
  <c r="O26" i="2"/>
  <c r="N26" i="2"/>
  <c r="L26" i="2"/>
  <c r="K26" i="2"/>
  <c r="J26" i="2"/>
  <c r="I26" i="2"/>
  <c r="H26" i="2"/>
  <c r="G26" i="2"/>
  <c r="F26" i="2"/>
  <c r="E26" i="2"/>
  <c r="D26" i="2"/>
  <c r="O25" i="2"/>
  <c r="N25" i="2"/>
  <c r="L25" i="2"/>
  <c r="K25" i="2"/>
  <c r="J25" i="2"/>
  <c r="I25" i="2"/>
  <c r="H25" i="2"/>
  <c r="G25" i="2"/>
  <c r="F25" i="2"/>
  <c r="E25" i="2"/>
  <c r="D25" i="2"/>
  <c r="O24" i="2"/>
  <c r="N24" i="2"/>
  <c r="L24" i="2"/>
  <c r="K24" i="2"/>
  <c r="J24" i="2"/>
  <c r="I24" i="2"/>
  <c r="H24" i="2"/>
  <c r="G24" i="2"/>
  <c r="F24" i="2"/>
  <c r="E24" i="2"/>
  <c r="D24" i="2"/>
  <c r="O23" i="2"/>
  <c r="N23" i="2"/>
  <c r="L23" i="2"/>
  <c r="K23" i="2"/>
  <c r="J23" i="2"/>
  <c r="I23" i="2"/>
  <c r="H23" i="2"/>
  <c r="G23" i="2"/>
  <c r="F23" i="2"/>
  <c r="E23" i="2"/>
  <c r="D23" i="2"/>
  <c r="O22" i="2"/>
  <c r="N22" i="2"/>
  <c r="L22" i="2"/>
  <c r="K22" i="2"/>
  <c r="J22" i="2"/>
  <c r="I22" i="2"/>
  <c r="H22" i="2"/>
  <c r="G22" i="2"/>
  <c r="F22" i="2"/>
  <c r="E22" i="2"/>
  <c r="D22" i="2"/>
  <c r="O21" i="2"/>
  <c r="N21" i="2"/>
  <c r="L21" i="2"/>
  <c r="K21" i="2"/>
  <c r="J21" i="2"/>
  <c r="I21" i="2"/>
  <c r="H21" i="2"/>
  <c r="G21" i="2"/>
  <c r="F21" i="2"/>
  <c r="E21" i="2"/>
  <c r="D21" i="2"/>
  <c r="O20" i="2"/>
  <c r="N20" i="2"/>
  <c r="L20" i="2"/>
  <c r="K20" i="2"/>
  <c r="J20" i="2"/>
  <c r="I20" i="2"/>
  <c r="H20" i="2"/>
  <c r="G20" i="2"/>
  <c r="F20" i="2"/>
  <c r="E20" i="2"/>
  <c r="D20" i="2"/>
  <c r="O19" i="2"/>
  <c r="N19" i="2"/>
  <c r="L19" i="2"/>
  <c r="K19" i="2"/>
  <c r="J19" i="2"/>
  <c r="I19" i="2"/>
  <c r="H19" i="2"/>
  <c r="G19" i="2"/>
  <c r="F19" i="2"/>
  <c r="E19" i="2"/>
  <c r="D19" i="2"/>
  <c r="O18" i="2"/>
  <c r="N18" i="2"/>
  <c r="L18" i="2"/>
  <c r="K18" i="2"/>
  <c r="J18" i="2"/>
  <c r="I18" i="2"/>
  <c r="H18" i="2"/>
  <c r="G18" i="2"/>
  <c r="F18" i="2"/>
  <c r="E18" i="2"/>
  <c r="D18" i="2"/>
  <c r="O17" i="2"/>
  <c r="N17" i="2"/>
  <c r="L17" i="2"/>
  <c r="K17" i="2"/>
  <c r="J17" i="2"/>
  <c r="I17" i="2"/>
  <c r="H17" i="2"/>
  <c r="G17" i="2"/>
  <c r="F17" i="2"/>
  <c r="E17" i="2"/>
  <c r="D17" i="2"/>
  <c r="O16" i="2"/>
  <c r="N16" i="2"/>
  <c r="L16" i="2"/>
  <c r="K16" i="2"/>
  <c r="J16" i="2"/>
  <c r="I16" i="2"/>
  <c r="H16" i="2"/>
  <c r="G16" i="2"/>
  <c r="F16" i="2"/>
  <c r="E16" i="2"/>
  <c r="D16" i="2"/>
  <c r="O15" i="2"/>
  <c r="N15" i="2"/>
  <c r="L15" i="2"/>
  <c r="K15" i="2"/>
  <c r="J15" i="2"/>
  <c r="I15" i="2"/>
  <c r="H15" i="2"/>
  <c r="G15" i="2"/>
  <c r="F15" i="2"/>
  <c r="E15" i="2"/>
  <c r="D15" i="2"/>
  <c r="O14" i="2"/>
  <c r="N14" i="2"/>
  <c r="L14" i="2"/>
  <c r="K14" i="2"/>
  <c r="J14" i="2"/>
  <c r="I14" i="2"/>
  <c r="H14" i="2"/>
  <c r="G14" i="2"/>
  <c r="F14" i="2"/>
  <c r="E14" i="2"/>
  <c r="D14" i="2"/>
  <c r="O13" i="2"/>
  <c r="N13" i="2"/>
  <c r="L13" i="2"/>
  <c r="K13" i="2"/>
  <c r="J13" i="2"/>
  <c r="I13" i="2"/>
  <c r="H13" i="2"/>
  <c r="G13" i="2"/>
  <c r="F13" i="2"/>
  <c r="E13" i="2"/>
  <c r="D13" i="2"/>
  <c r="O12" i="2"/>
  <c r="N12" i="2"/>
  <c r="L12" i="2"/>
  <c r="K12" i="2"/>
  <c r="J12" i="2"/>
  <c r="I12" i="2"/>
  <c r="H12" i="2"/>
  <c r="G12" i="2"/>
  <c r="F12" i="2"/>
  <c r="E12" i="2"/>
  <c r="D12" i="2"/>
  <c r="O11" i="2"/>
  <c r="N11" i="2"/>
  <c r="L11" i="2"/>
  <c r="K11" i="2"/>
  <c r="J11" i="2"/>
  <c r="I11" i="2"/>
  <c r="H11" i="2"/>
  <c r="G11" i="2"/>
  <c r="F11" i="2"/>
  <c r="E11" i="2"/>
  <c r="D11" i="2"/>
  <c r="O10" i="2"/>
  <c r="N10" i="2"/>
  <c r="L10" i="2"/>
  <c r="K10" i="2"/>
  <c r="J10" i="2"/>
  <c r="I10" i="2"/>
  <c r="H10" i="2"/>
  <c r="G10" i="2"/>
  <c r="F10" i="2"/>
  <c r="E10" i="2"/>
  <c r="D10" i="2"/>
  <c r="O9" i="2"/>
  <c r="N9" i="2"/>
  <c r="L9" i="2"/>
  <c r="K9" i="2"/>
  <c r="J9" i="2"/>
  <c r="I9" i="2"/>
  <c r="H9" i="2"/>
  <c r="G9" i="2"/>
  <c r="F9" i="2"/>
  <c r="E9" i="2"/>
  <c r="D9" i="2"/>
  <c r="O8" i="2"/>
  <c r="N8" i="2"/>
  <c r="L8" i="2"/>
  <c r="K8" i="2"/>
  <c r="J8" i="2"/>
  <c r="I8" i="2"/>
  <c r="H8" i="2"/>
  <c r="G8" i="2"/>
  <c r="F8" i="2"/>
  <c r="E8" i="2"/>
  <c r="D8" i="2"/>
  <c r="O7" i="2"/>
  <c r="N7" i="2"/>
  <c r="L7" i="2"/>
  <c r="K7" i="2"/>
  <c r="J7" i="2"/>
  <c r="I7" i="2"/>
  <c r="H7" i="2"/>
  <c r="G7" i="2"/>
  <c r="F7" i="2"/>
  <c r="E7" i="2"/>
  <c r="D7" i="2"/>
  <c r="O6" i="2"/>
  <c r="N6" i="2"/>
  <c r="L6" i="2"/>
  <c r="K6" i="2"/>
  <c r="J6" i="2"/>
  <c r="I6" i="2"/>
  <c r="H6" i="2"/>
  <c r="G6" i="2"/>
  <c r="F6" i="2"/>
  <c r="E6" i="2"/>
  <c r="D6" i="2"/>
  <c r="O5" i="2"/>
  <c r="N5" i="2"/>
  <c r="L5" i="2"/>
  <c r="K5" i="2"/>
  <c r="J5" i="2"/>
  <c r="I5" i="2"/>
  <c r="H5" i="2"/>
  <c r="G5" i="2"/>
  <c r="F5" i="2"/>
  <c r="E5" i="2"/>
  <c r="D5" i="2"/>
  <c r="B480" i="2" l="1"/>
  <c r="AA47" i="3"/>
  <c r="AD47" i="3" s="1"/>
  <c r="AA44" i="3"/>
  <c r="AD44" i="3" s="1"/>
  <c r="AA43" i="3"/>
  <c r="AD43" i="3" s="1"/>
  <c r="AH43" i="3" s="1"/>
  <c r="M216" i="2"/>
  <c r="AA41" i="3"/>
  <c r="AD41" i="3" s="1"/>
  <c r="AH41" i="3" s="1"/>
  <c r="AA35" i="3"/>
  <c r="AD35" i="3" s="1"/>
  <c r="AH35" i="3" s="1"/>
  <c r="B221" i="2"/>
  <c r="AA34" i="3"/>
  <c r="AD34" i="3" s="1"/>
  <c r="AA33" i="3"/>
  <c r="AD33" i="3" s="1"/>
  <c r="AH33" i="3" s="1"/>
  <c r="AA31" i="3"/>
  <c r="AD31" i="3" s="1"/>
  <c r="AH31" i="3" s="1"/>
  <c r="AA28" i="3"/>
  <c r="AD28" i="3" s="1"/>
  <c r="AA29" i="3"/>
  <c r="AD29" i="3" s="1"/>
  <c r="AH29" i="3" s="1"/>
  <c r="C362" i="2"/>
  <c r="M499" i="2"/>
  <c r="C480" i="2"/>
  <c r="B353" i="2"/>
  <c r="B461" i="2"/>
  <c r="AA27" i="3"/>
  <c r="AD27" i="3" s="1"/>
  <c r="AH27" i="3" s="1"/>
  <c r="B259" i="2"/>
  <c r="C333" i="2"/>
  <c r="B355" i="2"/>
  <c r="M386" i="2"/>
  <c r="B415" i="2"/>
  <c r="C84" i="2"/>
  <c r="AA26" i="3"/>
  <c r="AD26" i="3" s="1"/>
  <c r="AH26" i="3" s="1"/>
  <c r="B498" i="2"/>
  <c r="B409" i="2"/>
  <c r="M199" i="2"/>
  <c r="B420" i="2"/>
  <c r="AA22" i="3"/>
  <c r="AD22" i="3" s="1"/>
  <c r="AH22" i="3" s="1"/>
  <c r="AA19" i="3"/>
  <c r="AD19" i="3" s="1"/>
  <c r="AH19" i="3" s="1"/>
  <c r="M387" i="2"/>
  <c r="M60" i="2"/>
  <c r="M401" i="2"/>
  <c r="M475" i="2"/>
  <c r="B336" i="2"/>
  <c r="C458" i="2"/>
  <c r="AA21" i="3"/>
  <c r="AD21" i="3" s="1"/>
  <c r="AH21" i="3" s="1"/>
  <c r="C264" i="2"/>
  <c r="C324" i="2"/>
  <c r="M204" i="2"/>
  <c r="C209" i="2"/>
  <c r="B485" i="2"/>
  <c r="B334" i="2"/>
  <c r="C211" i="2"/>
  <c r="M240" i="2"/>
  <c r="C487" i="2"/>
  <c r="B272" i="2"/>
  <c r="B224" i="2"/>
  <c r="B284" i="2"/>
  <c r="C452" i="2"/>
  <c r="AA16" i="3"/>
  <c r="AD16" i="3" s="1"/>
  <c r="AH16" i="3" s="1"/>
  <c r="M67" i="2"/>
  <c r="M49" i="2"/>
  <c r="B181" i="2"/>
  <c r="M10" i="2"/>
  <c r="B164" i="2"/>
  <c r="C214" i="2"/>
  <c r="C108" i="2"/>
  <c r="B42" i="2"/>
  <c r="C44" i="2"/>
  <c r="M183" i="2"/>
  <c r="M53" i="2"/>
  <c r="M151" i="2"/>
  <c r="M84" i="2"/>
  <c r="M301" i="2"/>
  <c r="M76" i="2"/>
  <c r="M137" i="2"/>
  <c r="B28" i="2"/>
  <c r="M237" i="2"/>
  <c r="C196" i="2"/>
  <c r="C279" i="2"/>
  <c r="B433" i="2"/>
  <c r="M335" i="2"/>
  <c r="C265" i="2"/>
  <c r="B16" i="2"/>
  <c r="B325" i="2"/>
  <c r="C107" i="2"/>
  <c r="C31" i="2"/>
  <c r="B402" i="2"/>
  <c r="C114" i="2"/>
  <c r="B146" i="2"/>
  <c r="C66" i="2"/>
  <c r="B318" i="2"/>
  <c r="AH498" i="3"/>
  <c r="B277" i="2"/>
  <c r="C239" i="2"/>
  <c r="M310" i="2"/>
  <c r="M345" i="2"/>
  <c r="M370" i="2"/>
  <c r="B399" i="2"/>
  <c r="C484" i="2"/>
  <c r="M477" i="2"/>
  <c r="B477" i="2"/>
  <c r="M460" i="2"/>
  <c r="C330" i="2"/>
  <c r="C479" i="2"/>
  <c r="B328" i="2"/>
  <c r="B460" i="2"/>
  <c r="M44" i="2"/>
  <c r="C144" i="2"/>
  <c r="B428" i="2"/>
  <c r="M58" i="2"/>
  <c r="M143" i="2"/>
  <c r="M157" i="2"/>
  <c r="M191" i="2"/>
  <c r="M287" i="2"/>
  <c r="M318" i="2"/>
  <c r="B453" i="2"/>
  <c r="C169" i="2"/>
  <c r="C157" i="2"/>
  <c r="M221" i="2"/>
  <c r="C457" i="2"/>
  <c r="C159" i="2"/>
  <c r="B215" i="2"/>
  <c r="C318" i="2"/>
  <c r="C450" i="2"/>
  <c r="B362" i="2"/>
  <c r="B18" i="2"/>
  <c r="B150" i="2"/>
  <c r="C400" i="2"/>
  <c r="C310" i="2"/>
  <c r="C277" i="2"/>
  <c r="M501" i="2"/>
  <c r="M124" i="2"/>
  <c r="M111" i="2"/>
  <c r="C296" i="2"/>
  <c r="C313" i="2"/>
  <c r="C460" i="2"/>
  <c r="B350" i="2"/>
  <c r="B32" i="2"/>
  <c r="C140" i="2"/>
  <c r="B214" i="2"/>
  <c r="C219" i="2"/>
  <c r="C221" i="2"/>
  <c r="C320" i="2"/>
  <c r="M450" i="2"/>
  <c r="C37" i="2"/>
  <c r="C420" i="2"/>
  <c r="M203" i="2"/>
  <c r="C297" i="2"/>
  <c r="B242" i="2"/>
  <c r="B413" i="2"/>
  <c r="M40" i="2"/>
  <c r="C203" i="2"/>
  <c r="M139" i="2"/>
  <c r="B292" i="2"/>
  <c r="M458" i="2"/>
  <c r="B235" i="2"/>
  <c r="C272" i="2"/>
  <c r="M309" i="2"/>
  <c r="M427" i="2"/>
  <c r="C67" i="2"/>
  <c r="M99" i="2"/>
  <c r="B162" i="2"/>
  <c r="M171" i="2"/>
  <c r="B213" i="2"/>
  <c r="C253" i="2"/>
  <c r="C289" i="2"/>
  <c r="B314" i="2"/>
  <c r="B379" i="2"/>
  <c r="C381" i="2"/>
  <c r="C393" i="2"/>
  <c r="M412" i="2"/>
  <c r="M453" i="2"/>
  <c r="B458" i="2"/>
  <c r="B370" i="2"/>
  <c r="AH283" i="3"/>
  <c r="C328" i="2"/>
  <c r="B333" i="2"/>
  <c r="M128" i="2"/>
  <c r="B290" i="2"/>
  <c r="B341" i="2"/>
  <c r="M42" i="2"/>
  <c r="B97" i="2"/>
  <c r="M196" i="2"/>
  <c r="C331" i="2"/>
  <c r="C335" i="2"/>
  <c r="B316" i="2"/>
  <c r="B319" i="2"/>
  <c r="B410" i="2"/>
  <c r="M106" i="2"/>
  <c r="C39" i="2"/>
  <c r="M56" i="2"/>
  <c r="C232" i="2"/>
  <c r="C350" i="2"/>
  <c r="C376" i="2"/>
  <c r="C453" i="2"/>
  <c r="B145" i="2"/>
  <c r="M189" i="2"/>
  <c r="B270" i="2"/>
  <c r="B321" i="2"/>
  <c r="M382" i="2"/>
  <c r="M436" i="2"/>
  <c r="C73" i="2"/>
  <c r="B38" i="2"/>
  <c r="M290" i="2"/>
  <c r="M336" i="2"/>
  <c r="C340" i="2"/>
  <c r="C415" i="2"/>
  <c r="B33" i="2"/>
  <c r="M184" i="2"/>
  <c r="C242" i="2"/>
  <c r="C384" i="2"/>
  <c r="M461" i="2"/>
  <c r="B52" i="2"/>
  <c r="M294" i="2"/>
  <c r="M509" i="2"/>
  <c r="C412" i="2"/>
  <c r="M62" i="2"/>
  <c r="B35" i="2"/>
  <c r="M367" i="2"/>
  <c r="M369" i="2"/>
  <c r="M403" i="2"/>
  <c r="B470" i="2"/>
  <c r="B67" i="2"/>
  <c r="M211" i="2"/>
  <c r="B252" i="2"/>
  <c r="B301" i="2"/>
  <c r="M365" i="2"/>
  <c r="M9" i="2"/>
  <c r="B418" i="2"/>
  <c r="M413" i="2"/>
  <c r="M7" i="2"/>
  <c r="B116" i="2"/>
  <c r="M355" i="2"/>
  <c r="M357" i="2"/>
  <c r="C463" i="2"/>
  <c r="M109" i="2"/>
  <c r="C99" i="2"/>
  <c r="B278" i="2"/>
  <c r="B357" i="2"/>
  <c r="B437" i="2"/>
  <c r="B196" i="2"/>
  <c r="C321" i="2"/>
  <c r="C439" i="2"/>
  <c r="M463" i="2"/>
  <c r="C35" i="2"/>
  <c r="C106" i="2"/>
  <c r="C188" i="2"/>
  <c r="C249" i="2"/>
  <c r="B114" i="2"/>
  <c r="C175" i="2"/>
  <c r="B210" i="2"/>
  <c r="M243" i="2"/>
  <c r="M254" i="2"/>
  <c r="M343" i="2"/>
  <c r="M372" i="2"/>
  <c r="C379" i="2"/>
  <c r="M409" i="2"/>
  <c r="B426" i="2"/>
  <c r="M438" i="2"/>
  <c r="AE37" i="3"/>
  <c r="AH37" i="3" s="1"/>
  <c r="C68" i="2"/>
  <c r="AD91" i="3"/>
  <c r="B22" i="2"/>
  <c r="AJ98" i="3"/>
  <c r="M29" i="2"/>
  <c r="C146" i="2"/>
  <c r="AJ12" i="3"/>
  <c r="M133" i="2"/>
  <c r="M8" i="2"/>
  <c r="M134" i="2"/>
  <c r="AJ20" i="3"/>
  <c r="M136" i="2"/>
  <c r="AJ25" i="3"/>
  <c r="M140" i="2"/>
  <c r="B57" i="2"/>
  <c r="B71" i="2"/>
  <c r="AD45" i="3"/>
  <c r="B76" i="2"/>
  <c r="AE47" i="3"/>
  <c r="AH47" i="3" s="1"/>
  <c r="C78" i="2"/>
  <c r="AJ81" i="3"/>
  <c r="M112" i="2"/>
  <c r="AH86" i="3"/>
  <c r="C105" i="2"/>
  <c r="C119" i="2"/>
  <c r="M34" i="2"/>
  <c r="M24" i="2"/>
  <c r="AJ493" i="3"/>
  <c r="M510" i="2"/>
  <c r="AJ500" i="3"/>
  <c r="M120" i="2"/>
  <c r="AE95" i="3"/>
  <c r="C26" i="2"/>
  <c r="AJ37" i="3"/>
  <c r="M68" i="2"/>
  <c r="AJ95" i="3"/>
  <c r="M26" i="2"/>
  <c r="AE102" i="3"/>
  <c r="C33" i="2"/>
  <c r="M13" i="2"/>
  <c r="AJ504" i="3"/>
  <c r="M121" i="2"/>
  <c r="AD32" i="3"/>
  <c r="B63" i="2"/>
  <c r="AE34" i="3"/>
  <c r="C65" i="2"/>
  <c r="B264" i="2"/>
  <c r="B254" i="2"/>
  <c r="AD215" i="3"/>
  <c r="AH215" i="3" s="1"/>
  <c r="B232" i="2"/>
  <c r="AJ400" i="3"/>
  <c r="M417" i="2"/>
  <c r="AH434" i="3"/>
  <c r="AJ42" i="3"/>
  <c r="M73" i="2"/>
  <c r="AJ288" i="3"/>
  <c r="M305" i="2"/>
  <c r="C481" i="2"/>
  <c r="C495" i="2"/>
  <c r="AJ22" i="3"/>
  <c r="M138" i="2"/>
  <c r="AJ32" i="3"/>
  <c r="M63" i="2"/>
  <c r="AE285" i="3"/>
  <c r="AH285" i="3" s="1"/>
  <c r="C302" i="2"/>
  <c r="AD454" i="3"/>
  <c r="AH454" i="3" s="1"/>
  <c r="B471" i="2"/>
  <c r="AE224" i="3"/>
  <c r="C241" i="2"/>
  <c r="AJ383" i="3"/>
  <c r="M400" i="2"/>
  <c r="AE132" i="3"/>
  <c r="C149" i="2"/>
  <c r="AJ137" i="3"/>
  <c r="M154" i="2"/>
  <c r="AE144" i="3"/>
  <c r="C161" i="2"/>
  <c r="AJ161" i="3"/>
  <c r="M178" i="2"/>
  <c r="M201" i="2"/>
  <c r="M214" i="2"/>
  <c r="AJ366" i="3"/>
  <c r="M383" i="2"/>
  <c r="AD383" i="3"/>
  <c r="B400" i="2"/>
  <c r="B66" i="2"/>
  <c r="AD288" i="3"/>
  <c r="AH288" i="3" s="1"/>
  <c r="B305" i="2"/>
  <c r="AD476" i="3"/>
  <c r="AH476" i="3" s="1"/>
  <c r="B493" i="2"/>
  <c r="B322" i="2"/>
  <c r="M252" i="2"/>
  <c r="AJ249" i="3"/>
  <c r="AJ290" i="3"/>
  <c r="M307" i="2"/>
  <c r="AE473" i="3"/>
  <c r="AH473" i="3" s="1"/>
  <c r="C490" i="2"/>
  <c r="C60" i="2"/>
  <c r="AD234" i="3"/>
  <c r="AH234" i="3" s="1"/>
  <c r="B251" i="2"/>
  <c r="AJ108" i="3"/>
  <c r="M39" i="2"/>
  <c r="M195" i="2"/>
  <c r="M209" i="2"/>
  <c r="AD212" i="3"/>
  <c r="B229" i="2"/>
  <c r="AD224" i="3"/>
  <c r="B241" i="2"/>
  <c r="AD366" i="3"/>
  <c r="B383" i="2"/>
  <c r="AJ385" i="3"/>
  <c r="M402" i="2"/>
  <c r="AD390" i="3"/>
  <c r="B407" i="2"/>
  <c r="C395" i="2"/>
  <c r="C409" i="2"/>
  <c r="AE483" i="3"/>
  <c r="C500" i="2"/>
  <c r="AE90" i="3"/>
  <c r="AH90" i="3" s="1"/>
  <c r="C21" i="2"/>
  <c r="AD266" i="3"/>
  <c r="AH266" i="3" s="1"/>
  <c r="B283" i="2"/>
  <c r="AE212" i="3"/>
  <c r="C229" i="2"/>
  <c r="AJ347" i="3"/>
  <c r="M364" i="2"/>
  <c r="AJ79" i="3"/>
  <c r="M110" i="2"/>
  <c r="AD168" i="3"/>
  <c r="AH168" i="3" s="1"/>
  <c r="B185" i="2"/>
  <c r="AE170" i="3"/>
  <c r="C187" i="2"/>
  <c r="B195" i="2"/>
  <c r="M202" i="2"/>
  <c r="C354" i="2"/>
  <c r="AD361" i="3"/>
  <c r="B378" i="2"/>
  <c r="C366" i="2"/>
  <c r="C380" i="2"/>
  <c r="M173" i="2"/>
  <c r="AH337" i="3"/>
  <c r="C361" i="2"/>
  <c r="B473" i="2"/>
  <c r="M90" i="2"/>
  <c r="B53" i="2"/>
  <c r="B180" i="2"/>
  <c r="B261" i="2"/>
  <c r="B385" i="2"/>
  <c r="C363" i="2"/>
  <c r="B439" i="2"/>
  <c r="C442" i="2"/>
  <c r="M495" i="2"/>
  <c r="M116" i="2"/>
  <c r="M245" i="2"/>
  <c r="C250" i="2"/>
  <c r="C282" i="2"/>
  <c r="M292" i="2"/>
  <c r="M299" i="2"/>
  <c r="M346" i="2"/>
  <c r="M97" i="2"/>
  <c r="B102" i="2"/>
  <c r="AH238" i="3"/>
  <c r="C292" i="2"/>
  <c r="M351" i="2"/>
  <c r="C359" i="2"/>
  <c r="M410" i="2"/>
  <c r="M490" i="2"/>
  <c r="B307" i="2"/>
  <c r="M422" i="2"/>
  <c r="M150" i="2"/>
  <c r="M267" i="2"/>
  <c r="C291" i="2"/>
  <c r="M375" i="2"/>
  <c r="M428" i="2"/>
  <c r="C52" i="2"/>
  <c r="B243" i="2"/>
  <c r="C245" i="2"/>
  <c r="M300" i="2"/>
  <c r="M324" i="2"/>
  <c r="C168" i="2"/>
  <c r="B178" i="2"/>
  <c r="C180" i="2"/>
  <c r="M207" i="2"/>
  <c r="M266" i="2"/>
  <c r="M349" i="2"/>
  <c r="B464" i="2"/>
  <c r="C62" i="2"/>
  <c r="B287" i="2"/>
  <c r="M426" i="2"/>
  <c r="B153" i="2"/>
  <c r="C428" i="2"/>
  <c r="C116" i="2"/>
  <c r="B238" i="2"/>
  <c r="B23" i="2"/>
  <c r="C25" i="2"/>
  <c r="M131" i="2"/>
  <c r="M132" i="2"/>
  <c r="M135" i="2"/>
  <c r="B175" i="2"/>
  <c r="C238" i="2"/>
  <c r="B273" i="2"/>
  <c r="B380" i="2"/>
  <c r="C399" i="2"/>
  <c r="B490" i="2"/>
  <c r="C492" i="2"/>
  <c r="M129" i="2"/>
  <c r="C57" i="2"/>
  <c r="B40" i="2"/>
  <c r="B239" i="2"/>
  <c r="M255" i="2"/>
  <c r="B300" i="2"/>
  <c r="C338" i="2"/>
  <c r="B377" i="2"/>
  <c r="M384" i="2"/>
  <c r="B389" i="2"/>
  <c r="B207" i="2"/>
  <c r="M238" i="2"/>
  <c r="C502" i="2"/>
  <c r="B50" i="2"/>
  <c r="AH169" i="3"/>
  <c r="C353" i="2"/>
  <c r="M35" i="2"/>
  <c r="C28" i="2"/>
  <c r="C375" i="2"/>
  <c r="B423" i="2"/>
  <c r="B450" i="2"/>
  <c r="M57" i="2"/>
  <c r="C63" i="2"/>
  <c r="B82" i="2"/>
  <c r="M114" i="2"/>
  <c r="M31" i="2"/>
  <c r="B191" i="2"/>
  <c r="C205" i="2"/>
  <c r="B245" i="2"/>
  <c r="B250" i="2"/>
  <c r="C301" i="2"/>
  <c r="B372" i="2"/>
  <c r="B384" i="2"/>
  <c r="M392" i="2"/>
  <c r="C190" i="2"/>
  <c r="B20" i="2"/>
  <c r="C95" i="2"/>
  <c r="M6" i="2"/>
  <c r="M11" i="2"/>
  <c r="M14" i="2"/>
  <c r="C23" i="2"/>
  <c r="M33" i="2"/>
  <c r="C197" i="2"/>
  <c r="C210" i="2"/>
  <c r="C327" i="2"/>
  <c r="C378" i="2"/>
  <c r="AE257" i="3"/>
  <c r="AH257" i="3" s="1"/>
  <c r="C260" i="2"/>
  <c r="AJ263" i="3"/>
  <c r="AE334" i="3"/>
  <c r="C337" i="2"/>
  <c r="AD61" i="3"/>
  <c r="B78" i="2"/>
  <c r="AD78" i="3"/>
  <c r="AH78" i="3" s="1"/>
  <c r="B95" i="2"/>
  <c r="AE88" i="3"/>
  <c r="AE306" i="3"/>
  <c r="AH306" i="3" s="1"/>
  <c r="C309" i="2"/>
  <c r="AE333" i="3"/>
  <c r="C336" i="2"/>
  <c r="C342" i="2"/>
  <c r="C341" i="2"/>
  <c r="AD431" i="3"/>
  <c r="AH431" i="3" s="1"/>
  <c r="B434" i="2"/>
  <c r="AE433" i="3"/>
  <c r="AH433" i="3" s="1"/>
  <c r="C436" i="2"/>
  <c r="B445" i="2"/>
  <c r="B444" i="2"/>
  <c r="AJ453" i="3"/>
  <c r="M456" i="2"/>
  <c r="AE456" i="3"/>
  <c r="AE463" i="3"/>
  <c r="AH463" i="3" s="1"/>
  <c r="C466" i="2"/>
  <c r="AJ468" i="3"/>
  <c r="M471" i="2"/>
  <c r="C112" i="2"/>
  <c r="M117" i="2"/>
  <c r="M185" i="2"/>
  <c r="B266" i="2"/>
  <c r="C404" i="2"/>
  <c r="B421" i="2"/>
  <c r="B474" i="2"/>
  <c r="AD51" i="3"/>
  <c r="AH51" i="3" s="1"/>
  <c r="B68" i="2"/>
  <c r="AJ68" i="3"/>
  <c r="M85" i="2"/>
  <c r="AD73" i="3"/>
  <c r="B90" i="2"/>
  <c r="AE75" i="3"/>
  <c r="AH75" i="3" s="1"/>
  <c r="C92" i="2"/>
  <c r="AD309" i="3"/>
  <c r="B312" i="2"/>
  <c r="AJ396" i="3"/>
  <c r="M399" i="2"/>
  <c r="AE443" i="3"/>
  <c r="AH443" i="3" s="1"/>
  <c r="C446" i="2"/>
  <c r="M55" i="2"/>
  <c r="B113" i="2"/>
  <c r="C115" i="2"/>
  <c r="M118" i="2"/>
  <c r="M122" i="2"/>
  <c r="M123" i="2"/>
  <c r="M125" i="2"/>
  <c r="M126" i="2"/>
  <c r="C148" i="2"/>
  <c r="B182" i="2"/>
  <c r="B183" i="2"/>
  <c r="M188" i="2"/>
  <c r="B297" i="2"/>
  <c r="B299" i="2"/>
  <c r="M459" i="2"/>
  <c r="C471" i="2"/>
  <c r="B481" i="2"/>
  <c r="B86" i="2"/>
  <c r="B85" i="2"/>
  <c r="AJ75" i="3"/>
  <c r="M92" i="2"/>
  <c r="AJ273" i="3"/>
  <c r="M276" i="2"/>
  <c r="AJ386" i="3"/>
  <c r="M389" i="2"/>
  <c r="AJ391" i="3"/>
  <c r="M394" i="2"/>
  <c r="B432" i="2"/>
  <c r="B431" i="2"/>
  <c r="AD349" i="3"/>
  <c r="AH349" i="3" s="1"/>
  <c r="B352" i="2"/>
  <c r="AE444" i="3"/>
  <c r="C447" i="2"/>
  <c r="AJ444" i="3"/>
  <c r="M447" i="2"/>
  <c r="AJ518" i="3"/>
  <c r="M507" i="2"/>
  <c r="AE66" i="3"/>
  <c r="C83" i="2"/>
  <c r="AJ299" i="3"/>
  <c r="M302" i="2"/>
  <c r="AD444" i="3"/>
  <c r="B447" i="2"/>
  <c r="B463" i="2"/>
  <c r="B462" i="2"/>
  <c r="C493" i="2"/>
  <c r="AE73" i="3"/>
  <c r="C90" i="2"/>
  <c r="B303" i="2"/>
  <c r="B302" i="2"/>
  <c r="M474" i="2"/>
  <c r="AJ202" i="3"/>
  <c r="M205" i="2"/>
  <c r="C248" i="2"/>
  <c r="C247" i="2"/>
  <c r="AJ356" i="3"/>
  <c r="M359" i="2"/>
  <c r="M496" i="2"/>
  <c r="AJ103" i="3"/>
  <c r="M20" i="2"/>
  <c r="AD307" i="3"/>
  <c r="AH307" i="3" s="1"/>
  <c r="B310" i="2"/>
  <c r="AJ312" i="3"/>
  <c r="M315" i="2"/>
  <c r="AD351" i="3"/>
  <c r="B354" i="2"/>
  <c r="C445" i="2"/>
  <c r="C444" i="2"/>
  <c r="AE446" i="3"/>
  <c r="AH446" i="3" s="1"/>
  <c r="C449" i="2"/>
  <c r="AJ466" i="3"/>
  <c r="M469" i="2"/>
  <c r="B108" i="2"/>
  <c r="C215" i="2"/>
  <c r="AE309" i="3"/>
  <c r="C312" i="2"/>
  <c r="AD336" i="3"/>
  <c r="AH336" i="3" s="1"/>
  <c r="B339" i="2"/>
  <c r="AJ476" i="3"/>
  <c r="M479" i="2"/>
  <c r="AD439" i="3"/>
  <c r="AH439" i="3" s="1"/>
  <c r="B442" i="2"/>
  <c r="AE466" i="3"/>
  <c r="C469" i="2"/>
  <c r="B220" i="2"/>
  <c r="B230" i="2"/>
  <c r="AD466" i="3"/>
  <c r="B469" i="2"/>
  <c r="M454" i="2"/>
  <c r="AE65" i="3"/>
  <c r="C82" i="2"/>
  <c r="AE162" i="3"/>
  <c r="C165" i="2"/>
  <c r="AJ258" i="3"/>
  <c r="M261" i="2"/>
  <c r="AE393" i="3"/>
  <c r="AH393" i="3" s="1"/>
  <c r="C396" i="2"/>
  <c r="AE430" i="3"/>
  <c r="AH430" i="3" s="1"/>
  <c r="C433" i="2"/>
  <c r="B190" i="2"/>
  <c r="C356" i="2"/>
  <c r="B359" i="2"/>
  <c r="B364" i="2"/>
  <c r="B366" i="2"/>
  <c r="M523" i="2"/>
  <c r="B59" i="2"/>
  <c r="AJ393" i="3"/>
  <c r="M396" i="2"/>
  <c r="M25" i="2"/>
  <c r="B73" i="2"/>
  <c r="AE57" i="3"/>
  <c r="C74" i="2"/>
  <c r="AD162" i="3"/>
  <c r="B165" i="2"/>
  <c r="AJ169" i="3"/>
  <c r="M172" i="2"/>
  <c r="AE220" i="3"/>
  <c r="AH220" i="3" s="1"/>
  <c r="C223" i="2"/>
  <c r="AD245" i="3"/>
  <c r="AH245" i="3" s="1"/>
  <c r="B248" i="2"/>
  <c r="AE255" i="3"/>
  <c r="AH255" i="3" s="1"/>
  <c r="C258" i="2"/>
  <c r="M268" i="2"/>
  <c r="AJ265" i="3"/>
  <c r="AE395" i="3"/>
  <c r="AH395" i="3" s="1"/>
  <c r="C398" i="2"/>
  <c r="AJ449" i="3"/>
  <c r="M452" i="2"/>
  <c r="M337" i="2"/>
  <c r="AJ324" i="3"/>
  <c r="M327" i="2"/>
  <c r="M108" i="2"/>
  <c r="M220" i="2"/>
  <c r="AJ336" i="3"/>
  <c r="M339" i="2"/>
  <c r="AD71" i="3"/>
  <c r="AH71" i="3" s="1"/>
  <c r="B88" i="2"/>
  <c r="M119" i="2"/>
  <c r="M95" i="2"/>
  <c r="AD341" i="3"/>
  <c r="B344" i="2"/>
  <c r="AE348" i="3"/>
  <c r="C351" i="2"/>
  <c r="AJ436" i="3"/>
  <c r="M439" i="2"/>
  <c r="AJ490" i="3"/>
  <c r="M493" i="2"/>
  <c r="C220" i="2"/>
  <c r="B459" i="2"/>
  <c r="B61" i="2"/>
  <c r="B60" i="2"/>
  <c r="AH58" i="3"/>
  <c r="AJ167" i="3"/>
  <c r="M170" i="2"/>
  <c r="AD273" i="3"/>
  <c r="B276" i="2"/>
  <c r="M297" i="2"/>
  <c r="AD391" i="3"/>
  <c r="B394" i="2"/>
  <c r="M344" i="2"/>
  <c r="AJ162" i="3"/>
  <c r="M165" i="2"/>
  <c r="M249" i="2"/>
  <c r="M248" i="2"/>
  <c r="AE383" i="3"/>
  <c r="C386" i="2"/>
  <c r="M197" i="2"/>
  <c r="M379" i="2"/>
  <c r="B170" i="2"/>
  <c r="AE42" i="3"/>
  <c r="C59" i="2"/>
  <c r="AD128" i="3"/>
  <c r="AH128" i="3" s="1"/>
  <c r="B45" i="2"/>
  <c r="AE130" i="3"/>
  <c r="AH130" i="3" s="1"/>
  <c r="C47" i="2"/>
  <c r="M224" i="2"/>
  <c r="AJ220" i="3"/>
  <c r="AD260" i="3"/>
  <c r="B263" i="2"/>
  <c r="AJ395" i="3"/>
  <c r="M398" i="2"/>
  <c r="C349" i="2"/>
  <c r="C49" i="2"/>
  <c r="M247" i="2"/>
  <c r="M393" i="2"/>
  <c r="B218" i="2"/>
  <c r="B271" i="2"/>
  <c r="C391" i="2"/>
  <c r="C54" i="2"/>
  <c r="B346" i="2"/>
  <c r="B200" i="2"/>
  <c r="M233" i="2"/>
  <c r="AH249" i="3"/>
  <c r="B327" i="2"/>
  <c r="M317" i="2"/>
  <c r="C329" i="2"/>
  <c r="M406" i="2"/>
  <c r="B411" i="2"/>
  <c r="M481" i="2"/>
  <c r="C85" i="2"/>
  <c r="M75" i="2"/>
  <c r="M28" i="2"/>
  <c r="B188" i="2"/>
  <c r="M223" i="2"/>
  <c r="B369" i="2"/>
  <c r="C199" i="2"/>
  <c r="M163" i="2"/>
  <c r="M312" i="2"/>
  <c r="B342" i="2"/>
  <c r="C431" i="2"/>
  <c r="B247" i="2"/>
  <c r="C348" i="2"/>
  <c r="B438" i="2"/>
  <c r="M167" i="2"/>
  <c r="M314" i="2"/>
  <c r="AE44" i="3"/>
  <c r="AH44" i="3" s="1"/>
  <c r="AH49" i="3"/>
  <c r="B25" i="2"/>
  <c r="B149" i="2"/>
  <c r="M200" i="2"/>
  <c r="AH216" i="3"/>
  <c r="M265" i="2"/>
  <c r="M381" i="2"/>
  <c r="M421" i="2"/>
  <c r="B449" i="2"/>
  <c r="M70" i="2"/>
  <c r="C200" i="2"/>
  <c r="C462" i="2"/>
  <c r="M466" i="2"/>
  <c r="B75" i="2"/>
  <c r="B69" i="2"/>
  <c r="B74" i="2"/>
  <c r="M18" i="2"/>
  <c r="B92" i="2"/>
  <c r="M107" i="2"/>
  <c r="M285" i="2"/>
  <c r="M321" i="2"/>
  <c r="M326" i="2"/>
  <c r="C27" i="2"/>
  <c r="AH188" i="3"/>
  <c r="C194" i="2"/>
  <c r="B288" i="2"/>
  <c r="M306" i="2"/>
  <c r="B381" i="2"/>
  <c r="C443" i="2"/>
  <c r="M100" i="2"/>
  <c r="C163" i="2"/>
  <c r="B501" i="2"/>
  <c r="M82" i="2"/>
  <c r="C294" i="2"/>
  <c r="M74" i="2"/>
  <c r="B393" i="2"/>
  <c r="B466" i="2"/>
  <c r="M22" i="2"/>
  <c r="C94" i="2"/>
  <c r="B107" i="2"/>
  <c r="B167" i="2"/>
  <c r="B77" i="2"/>
  <c r="B115" i="2"/>
  <c r="AJ87" i="3"/>
  <c r="B160" i="2"/>
  <c r="C189" i="2"/>
  <c r="M227" i="2"/>
  <c r="C257" i="2"/>
  <c r="C267" i="2"/>
  <c r="C303" i="2"/>
  <c r="M311" i="2"/>
  <c r="AH315" i="3"/>
  <c r="M331" i="2"/>
  <c r="AJ517" i="3"/>
  <c r="M508" i="2"/>
  <c r="AJ71" i="3"/>
  <c r="M89" i="2"/>
  <c r="AD66" i="3"/>
  <c r="C145" i="2"/>
  <c r="C179" i="2"/>
  <c r="AJ325" i="3"/>
  <c r="M329" i="2"/>
  <c r="AE402" i="3"/>
  <c r="C406" i="2"/>
  <c r="AJ420" i="3"/>
  <c r="M424" i="2"/>
  <c r="AJ483" i="3"/>
  <c r="M487" i="2"/>
  <c r="AE138" i="3"/>
  <c r="AH138" i="3" s="1"/>
  <c r="C56" i="2"/>
  <c r="AJ253" i="3"/>
  <c r="M257" i="2"/>
  <c r="AD292" i="3"/>
  <c r="B296" i="2"/>
  <c r="AD123" i="3"/>
  <c r="AH123" i="3" s="1"/>
  <c r="B41" i="2"/>
  <c r="AD170" i="3"/>
  <c r="B174" i="2"/>
  <c r="M298" i="2"/>
  <c r="AJ294" i="3"/>
  <c r="AJ372" i="3"/>
  <c r="M376" i="2"/>
  <c r="AE497" i="3"/>
  <c r="C501" i="2"/>
  <c r="AJ172" i="3"/>
  <c r="M176" i="2"/>
  <c r="B96" i="2"/>
  <c r="C259" i="2"/>
  <c r="AD172" i="3"/>
  <c r="B176" i="2"/>
  <c r="M282" i="2"/>
  <c r="AJ255" i="3"/>
  <c r="AE301" i="3"/>
  <c r="AH301" i="3" s="1"/>
  <c r="C305" i="2"/>
  <c r="AJ354" i="3"/>
  <c r="M358" i="2"/>
  <c r="AE472" i="3"/>
  <c r="AH472" i="3" s="1"/>
  <c r="C476" i="2"/>
  <c r="AE482" i="3"/>
  <c r="AH482" i="3" s="1"/>
  <c r="C486" i="2"/>
  <c r="AE485" i="3"/>
  <c r="AH485" i="3" s="1"/>
  <c r="AE232" i="3"/>
  <c r="AH232" i="3" s="1"/>
  <c r="C236" i="2"/>
  <c r="AE247" i="3"/>
  <c r="C251" i="2"/>
  <c r="AE339" i="3"/>
  <c r="C343" i="2"/>
  <c r="AJ349" i="3"/>
  <c r="M353" i="2"/>
  <c r="AD354" i="3"/>
  <c r="B358" i="2"/>
  <c r="AJ369" i="3"/>
  <c r="M373" i="2"/>
  <c r="AD384" i="3"/>
  <c r="AH384" i="3" s="1"/>
  <c r="B388" i="2"/>
  <c r="AE386" i="3"/>
  <c r="C390" i="2"/>
  <c r="AJ472" i="3"/>
  <c r="M476" i="2"/>
  <c r="B44" i="2"/>
  <c r="M46" i="2"/>
  <c r="M61" i="2"/>
  <c r="C360" i="2"/>
  <c r="C424" i="2"/>
  <c r="C426" i="2"/>
  <c r="AJ523" i="3"/>
  <c r="M526" i="2"/>
  <c r="C58" i="2"/>
  <c r="M81" i="2"/>
  <c r="AJ40" i="3"/>
  <c r="B43" i="2"/>
  <c r="B249" i="2"/>
  <c r="AJ232" i="3"/>
  <c r="M236" i="2"/>
  <c r="AD291" i="3"/>
  <c r="AH291" i="3" s="1"/>
  <c r="B295" i="2"/>
  <c r="AE351" i="3"/>
  <c r="C355" i="2"/>
  <c r="AE366" i="3"/>
  <c r="C370" i="2"/>
  <c r="AD452" i="3"/>
  <c r="B456" i="2"/>
  <c r="C478" i="2"/>
  <c r="AE474" i="3"/>
  <c r="AH474" i="3" s="1"/>
  <c r="AE479" i="3"/>
  <c r="AH479" i="3" s="1"/>
  <c r="C483" i="2"/>
  <c r="AJ515" i="3"/>
  <c r="M506" i="2"/>
  <c r="AJ156" i="3"/>
  <c r="M160" i="2"/>
  <c r="AH193" i="3"/>
  <c r="AJ73" i="3"/>
  <c r="M91" i="2"/>
  <c r="AD493" i="3"/>
  <c r="B497" i="2"/>
  <c r="AJ123" i="3"/>
  <c r="M41" i="2"/>
  <c r="AD126" i="3"/>
  <c r="AJ412" i="3"/>
  <c r="M416" i="2"/>
  <c r="B184" i="2"/>
  <c r="AJ177" i="3"/>
  <c r="M181" i="2"/>
  <c r="M303" i="2"/>
  <c r="B332" i="2"/>
  <c r="M363" i="2"/>
  <c r="B427" i="2"/>
  <c r="C470" i="2"/>
  <c r="B81" i="2"/>
  <c r="AD102" i="3"/>
  <c r="AD339" i="3"/>
  <c r="B343" i="2"/>
  <c r="AE341" i="3"/>
  <c r="C345" i="2"/>
  <c r="AJ426" i="3"/>
  <c r="M430" i="2"/>
  <c r="AE436" i="3"/>
  <c r="C440" i="2"/>
  <c r="AD447" i="3"/>
  <c r="AH447" i="3" s="1"/>
  <c r="B451" i="2"/>
  <c r="AE469" i="3"/>
  <c r="AH469" i="3" s="1"/>
  <c r="C473" i="2"/>
  <c r="AE151" i="3"/>
  <c r="AH151" i="3" s="1"/>
  <c r="C155" i="2"/>
  <c r="C339" i="2"/>
  <c r="AE335" i="3"/>
  <c r="AH335" i="3" s="1"/>
  <c r="AD139" i="3"/>
  <c r="B143" i="2"/>
  <c r="AD277" i="3"/>
  <c r="AH277" i="3" s="1"/>
  <c r="B281" i="2"/>
  <c r="AD55" i="3"/>
  <c r="AH55" i="3" s="1"/>
  <c r="AD136" i="3"/>
  <c r="AH136" i="3" s="1"/>
  <c r="B54" i="2"/>
  <c r="AD183" i="3"/>
  <c r="AH183" i="3" s="1"/>
  <c r="B187" i="2"/>
  <c r="M273" i="2"/>
  <c r="AJ269" i="3"/>
  <c r="AE412" i="3"/>
  <c r="AH412" i="3" s="1"/>
  <c r="C416" i="2"/>
  <c r="C499" i="2"/>
  <c r="C91" i="2"/>
  <c r="B93" i="2"/>
  <c r="B70" i="2"/>
  <c r="AJ170" i="3"/>
  <c r="M174" i="2"/>
  <c r="AE54" i="3"/>
  <c r="AH54" i="3" s="1"/>
  <c r="C72" i="2"/>
  <c r="C171" i="2"/>
  <c r="AE167" i="3"/>
  <c r="AH167" i="3" s="1"/>
  <c r="C176" i="2"/>
  <c r="AE172" i="3"/>
  <c r="AE304" i="3"/>
  <c r="C308" i="2"/>
  <c r="AD382" i="3"/>
  <c r="AH382" i="3" s="1"/>
  <c r="B386" i="2"/>
  <c r="C403" i="2"/>
  <c r="AE399" i="3"/>
  <c r="AH399" i="3" s="1"/>
  <c r="AD407" i="3"/>
  <c r="M96" i="2"/>
  <c r="M262" i="2"/>
  <c r="AJ54" i="3"/>
  <c r="M72" i="2"/>
  <c r="AD113" i="3"/>
  <c r="AH113" i="3" s="1"/>
  <c r="B31" i="2"/>
  <c r="M244" i="2"/>
  <c r="AJ240" i="3"/>
  <c r="C323" i="2"/>
  <c r="AE296" i="3"/>
  <c r="AE354" i="3"/>
  <c r="C358" i="2"/>
  <c r="AD372" i="3"/>
  <c r="AH372" i="3" s="1"/>
  <c r="B376" i="2"/>
  <c r="B502" i="2"/>
  <c r="B479" i="2"/>
  <c r="AD480" i="3"/>
  <c r="B484" i="2"/>
  <c r="AD240" i="3"/>
  <c r="AH240" i="3" s="1"/>
  <c r="B244" i="2"/>
  <c r="C36" i="2"/>
  <c r="C298" i="2"/>
  <c r="B424" i="2"/>
  <c r="AE122" i="3"/>
  <c r="C40" i="2"/>
  <c r="B197" i="2"/>
  <c r="B265" i="2"/>
  <c r="B46" i="2"/>
  <c r="M51" i="2"/>
  <c r="M270" i="2"/>
  <c r="B363" i="2"/>
  <c r="M484" i="2"/>
  <c r="AJ86" i="3"/>
  <c r="M104" i="2"/>
  <c r="B30" i="2"/>
  <c r="AD112" i="3"/>
  <c r="AH112" i="3" s="1"/>
  <c r="AJ154" i="3"/>
  <c r="M158" i="2"/>
  <c r="AD159" i="3"/>
  <c r="B163" i="2"/>
  <c r="AJ209" i="3"/>
  <c r="M213" i="2"/>
  <c r="AD275" i="3"/>
  <c r="AH275" i="3" s="1"/>
  <c r="B279" i="2"/>
  <c r="AE282" i="3"/>
  <c r="C286" i="2"/>
  <c r="AH331" i="3"/>
  <c r="AJ346" i="3"/>
  <c r="M350" i="2"/>
  <c r="AE423" i="3"/>
  <c r="AH423" i="3" s="1"/>
  <c r="C427" i="2"/>
  <c r="AD426" i="3"/>
  <c r="AH426" i="3" s="1"/>
  <c r="B430" i="2"/>
  <c r="AJ431" i="3"/>
  <c r="M435" i="2"/>
  <c r="AJ83" i="3"/>
  <c r="M101" i="2"/>
  <c r="M210" i="2"/>
  <c r="AJ206" i="3"/>
  <c r="AD264" i="3"/>
  <c r="AH264" i="3" s="1"/>
  <c r="B268" i="2"/>
  <c r="AE425" i="3"/>
  <c r="AH425" i="3" s="1"/>
  <c r="C429" i="2"/>
  <c r="M442" i="2"/>
  <c r="AE80" i="3"/>
  <c r="C98" i="2"/>
  <c r="C152" i="2"/>
  <c r="AE148" i="3"/>
  <c r="AH148" i="3" s="1"/>
  <c r="AJ175" i="3"/>
  <c r="M179" i="2"/>
  <c r="AH330" i="3"/>
  <c r="C314" i="2"/>
  <c r="M516" i="2"/>
  <c r="AJ510" i="3"/>
  <c r="AD483" i="3"/>
  <c r="B487" i="2"/>
  <c r="AE70" i="3"/>
  <c r="C88" i="2"/>
  <c r="AE364" i="3"/>
  <c r="C368" i="2"/>
  <c r="B499" i="2"/>
  <c r="C43" i="2"/>
  <c r="AE125" i="3"/>
  <c r="AH125" i="3" s="1"/>
  <c r="C162" i="2"/>
  <c r="AE135" i="3"/>
  <c r="C53" i="2"/>
  <c r="AJ304" i="3"/>
  <c r="M308" i="2"/>
  <c r="AJ125" i="3"/>
  <c r="M43" i="2"/>
  <c r="AD289" i="3"/>
  <c r="B293" i="2"/>
  <c r="AD304" i="3"/>
  <c r="B308" i="2"/>
  <c r="AD347" i="3"/>
  <c r="B351" i="2"/>
  <c r="AE369" i="3"/>
  <c r="C373" i="2"/>
  <c r="C96" i="2"/>
  <c r="C383" i="2"/>
  <c r="B87" i="2"/>
  <c r="M166" i="2"/>
  <c r="M5" i="2"/>
  <c r="M15" i="2"/>
  <c r="C48" i="2"/>
  <c r="C75" i="2"/>
  <c r="M78" i="2"/>
  <c r="M83" i="2"/>
  <c r="M130" i="2"/>
  <c r="M142" i="2"/>
  <c r="B166" i="2"/>
  <c r="C202" i="2"/>
  <c r="C334" i="2"/>
  <c r="M437" i="2"/>
  <c r="AE17" i="3"/>
  <c r="AH17" i="3" s="1"/>
  <c r="AD81" i="3"/>
  <c r="B99" i="2"/>
  <c r="AE83" i="3"/>
  <c r="AH83" i="3" s="1"/>
  <c r="C101" i="2"/>
  <c r="AD94" i="3"/>
  <c r="AH94" i="3" s="1"/>
  <c r="B112" i="2"/>
  <c r="C160" i="2"/>
  <c r="AE156" i="3"/>
  <c r="B228" i="2"/>
  <c r="B205" i="2"/>
  <c r="AJ328" i="3"/>
  <c r="M332" i="2"/>
  <c r="AD413" i="3"/>
  <c r="AH413" i="3" s="1"/>
  <c r="B417" i="2"/>
  <c r="AE418" i="3"/>
  <c r="AH418" i="3" s="1"/>
  <c r="C422" i="2"/>
  <c r="AD436" i="3"/>
  <c r="B440" i="2"/>
  <c r="M175" i="2"/>
  <c r="AJ148" i="3"/>
  <c r="AJ285" i="3"/>
  <c r="M289" i="2"/>
  <c r="AE388" i="3"/>
  <c r="AH388" i="3" s="1"/>
  <c r="C392" i="2"/>
  <c r="AJ461" i="3"/>
  <c r="M465" i="2"/>
  <c r="M88" i="2"/>
  <c r="M206" i="2"/>
  <c r="C174" i="2"/>
  <c r="C285" i="2"/>
  <c r="AE281" i="3"/>
  <c r="AH281" i="3" s="1"/>
  <c r="AD453" i="3"/>
  <c r="AH453" i="3" s="1"/>
  <c r="B457" i="2"/>
  <c r="AJ484" i="3"/>
  <c r="M488" i="2"/>
  <c r="AJ499" i="3"/>
  <c r="M503" i="2"/>
  <c r="B157" i="2"/>
  <c r="M280" i="2"/>
  <c r="M15" i="3"/>
  <c r="AE15" i="3" s="1"/>
  <c r="AH15" i="3" s="1"/>
  <c r="AE153" i="3"/>
  <c r="C227" i="2"/>
  <c r="AE223" i="3"/>
  <c r="AH223" i="3" s="1"/>
  <c r="AJ254" i="3"/>
  <c r="M258" i="2"/>
  <c r="AD327" i="3"/>
  <c r="AH327" i="3" s="1"/>
  <c r="B331" i="2"/>
  <c r="AD401" i="3"/>
  <c r="AH401" i="3" s="1"/>
  <c r="B405" i="2"/>
  <c r="AD471" i="3"/>
  <c r="AE239" i="3"/>
  <c r="AH239" i="3" s="1"/>
  <c r="C243" i="2"/>
  <c r="M152" i="2"/>
  <c r="AE32" i="3"/>
  <c r="C135" i="2"/>
  <c r="AD156" i="3"/>
  <c r="AD205" i="3"/>
  <c r="AH205" i="3" s="1"/>
  <c r="B209" i="2"/>
  <c r="C256" i="2"/>
  <c r="AE229" i="3"/>
  <c r="AD101" i="3"/>
  <c r="B119" i="2"/>
  <c r="AD197" i="3"/>
  <c r="AH197" i="3" s="1"/>
  <c r="B201" i="2"/>
  <c r="AE311" i="3"/>
  <c r="C315" i="2"/>
  <c r="AJ338" i="3"/>
  <c r="M342" i="2"/>
  <c r="AJ348" i="3"/>
  <c r="M352" i="2"/>
  <c r="AD422" i="3"/>
  <c r="AH422" i="3" s="1"/>
  <c r="B155" i="2"/>
  <c r="C173" i="2"/>
  <c r="B206" i="2"/>
  <c r="C55" i="2"/>
  <c r="B100" i="2"/>
  <c r="M102" i="2"/>
  <c r="M162" i="2"/>
  <c r="M390" i="2"/>
  <c r="C413" i="2"/>
  <c r="B478" i="2"/>
  <c r="AJ507" i="3"/>
  <c r="M512" i="2"/>
  <c r="M169" i="2"/>
  <c r="M146" i="2"/>
  <c r="M190" i="2"/>
  <c r="AJ186" i="3"/>
  <c r="C231" i="2"/>
  <c r="C208" i="2"/>
  <c r="AJ267" i="3"/>
  <c r="M271" i="2"/>
  <c r="AD311" i="3"/>
  <c r="B315" i="2"/>
  <c r="B309" i="2"/>
  <c r="B286" i="2"/>
  <c r="AE363" i="3"/>
  <c r="AH363" i="3" s="1"/>
  <c r="C367" i="2"/>
  <c r="AE471" i="3"/>
  <c r="C475" i="2"/>
  <c r="B298" i="2"/>
  <c r="AD386" i="3"/>
  <c r="B390" i="2"/>
  <c r="C193" i="2"/>
  <c r="B329" i="2"/>
  <c r="M347" i="2"/>
  <c r="C29" i="2"/>
  <c r="C280" i="2"/>
  <c r="M283" i="2"/>
  <c r="B347" i="2"/>
  <c r="AJ505" i="3"/>
  <c r="AH23" i="3"/>
  <c r="AH142" i="3"/>
  <c r="B234" i="2"/>
  <c r="M274" i="2"/>
  <c r="AJ270" i="3"/>
  <c r="AJ279" i="3"/>
  <c r="AE302" i="3"/>
  <c r="AH302" i="3" s="1"/>
  <c r="C306" i="2"/>
  <c r="AJ357" i="3"/>
  <c r="M361" i="2"/>
  <c r="AD450" i="3"/>
  <c r="B454" i="2"/>
  <c r="AE452" i="3"/>
  <c r="C456" i="2"/>
  <c r="AH492" i="3"/>
  <c r="AD164" i="3"/>
  <c r="M457" i="2"/>
  <c r="AJ430" i="3"/>
  <c r="M434" i="2"/>
  <c r="C111" i="2"/>
  <c r="B152" i="2"/>
  <c r="AJ2" i="3"/>
  <c r="M517" i="2"/>
  <c r="B172" i="2"/>
  <c r="AE419" i="3"/>
  <c r="C423" i="2"/>
  <c r="B72" i="2"/>
  <c r="C233" i="2"/>
  <c r="C357" i="2"/>
  <c r="M32" i="2"/>
  <c r="M66" i="2"/>
  <c r="M105" i="2"/>
  <c r="C113" i="2"/>
  <c r="C178" i="2"/>
  <c r="M377" i="2"/>
  <c r="M480" i="2"/>
  <c r="AE147" i="3"/>
  <c r="AH147" i="3" s="1"/>
  <c r="AJ197" i="3"/>
  <c r="B231" i="2"/>
  <c r="AD251" i="3"/>
  <c r="B255" i="2"/>
  <c r="M260" i="2"/>
  <c r="AJ256" i="3"/>
  <c r="AD313" i="3"/>
  <c r="AH313" i="3" s="1"/>
  <c r="B317" i="2"/>
  <c r="B397" i="2"/>
  <c r="AJ439" i="3"/>
  <c r="M443" i="2"/>
  <c r="B80" i="2"/>
  <c r="AH64" i="3"/>
  <c r="B173" i="2"/>
  <c r="B177" i="2"/>
  <c r="M230" i="2"/>
  <c r="B274" i="2"/>
  <c r="B285" i="2"/>
  <c r="AH269" i="3"/>
  <c r="B320" i="2"/>
  <c r="AH92" i="3"/>
  <c r="AH103" i="3"/>
  <c r="AH108" i="3"/>
  <c r="AD135" i="3"/>
  <c r="AD146" i="3"/>
  <c r="AH146" i="3" s="1"/>
  <c r="AD150" i="3"/>
  <c r="B217" i="2"/>
  <c r="B225" i="2"/>
  <c r="C255" i="2"/>
  <c r="B382" i="2"/>
  <c r="B401" i="2"/>
  <c r="B406" i="2"/>
  <c r="B446" i="2"/>
  <c r="AH462" i="3"/>
  <c r="AA512" i="3"/>
  <c r="B154" i="2"/>
  <c r="B159" i="2"/>
  <c r="C192" i="2"/>
  <c r="AH187" i="3"/>
  <c r="AH195" i="3"/>
  <c r="AH206" i="3"/>
  <c r="M295" i="2"/>
  <c r="AH278" i="3"/>
  <c r="AD355" i="3"/>
  <c r="B398" i="2"/>
  <c r="C464" i="2"/>
  <c r="AH451" i="3"/>
  <c r="B51" i="2"/>
  <c r="B219" i="2"/>
  <c r="AH303" i="3"/>
  <c r="AH342" i="3"/>
  <c r="AD141" i="3"/>
  <c r="AH141" i="3" s="1"/>
  <c r="B168" i="2"/>
  <c r="AE143" i="3"/>
  <c r="AH143" i="3" s="1"/>
  <c r="C170" i="2"/>
  <c r="AD310" i="3"/>
  <c r="AH310" i="3" s="1"/>
  <c r="B337" i="2"/>
  <c r="AJ498" i="3"/>
  <c r="M525" i="2"/>
  <c r="AD39" i="3"/>
  <c r="AH39" i="3" s="1"/>
  <c r="AE201" i="3"/>
  <c r="C228" i="2"/>
  <c r="AD219" i="3"/>
  <c r="B246" i="2"/>
  <c r="AE280" i="3"/>
  <c r="AH280" i="3" s="1"/>
  <c r="C307" i="2"/>
  <c r="AJ495" i="3"/>
  <c r="M522" i="2"/>
  <c r="AJ204" i="3"/>
  <c r="M231" i="2"/>
  <c r="AJ207" i="3"/>
  <c r="M234" i="2"/>
  <c r="AD222" i="3"/>
  <c r="AH222" i="3" s="1"/>
  <c r="AE227" i="3"/>
  <c r="AH227" i="3" s="1"/>
  <c r="C254" i="2"/>
  <c r="AJ14" i="3"/>
  <c r="M16" i="2"/>
  <c r="AE89" i="3"/>
  <c r="AH89" i="3" s="1"/>
  <c r="C30" i="2"/>
  <c r="AD262" i="3"/>
  <c r="AH262" i="3" s="1"/>
  <c r="B289" i="2"/>
  <c r="AD98" i="3"/>
  <c r="AH98" i="3" s="1"/>
  <c r="AD118" i="3"/>
  <c r="AH118" i="3" s="1"/>
  <c r="AD201" i="3"/>
  <c r="AD204" i="3"/>
  <c r="AD207" i="3"/>
  <c r="AH207" i="3" s="1"/>
  <c r="AJ248" i="3"/>
  <c r="M275" i="2"/>
  <c r="AJ259" i="3"/>
  <c r="M286" i="2"/>
  <c r="AD271" i="3"/>
  <c r="AH271" i="3" s="1"/>
  <c r="M127" i="2"/>
  <c r="B189" i="2"/>
  <c r="AJ18" i="3"/>
  <c r="M59" i="2"/>
  <c r="AD95" i="3"/>
  <c r="B36" i="2"/>
  <c r="AE387" i="3"/>
  <c r="C414" i="2"/>
  <c r="AE414" i="3"/>
  <c r="C441" i="2"/>
  <c r="B34" i="2"/>
  <c r="AJ78" i="3"/>
  <c r="AJ93" i="3"/>
  <c r="AD181" i="3"/>
  <c r="AH181" i="3" s="1"/>
  <c r="B208" i="2"/>
  <c r="AE392" i="3"/>
  <c r="C419" i="2"/>
  <c r="AE411" i="3"/>
  <c r="AH411" i="3" s="1"/>
  <c r="C438" i="2"/>
  <c r="AJ462" i="3"/>
  <c r="M489" i="2"/>
  <c r="AJ74" i="3"/>
  <c r="M115" i="2"/>
  <c r="AE191" i="3"/>
  <c r="C218" i="2"/>
  <c r="AD379" i="3"/>
  <c r="AH379" i="3" s="1"/>
  <c r="M419" i="2"/>
  <c r="AJ392" i="3"/>
  <c r="B222" i="2"/>
  <c r="C397" i="2"/>
  <c r="B489" i="2"/>
  <c r="AJ191" i="3"/>
  <c r="M218" i="2"/>
  <c r="C491" i="2"/>
  <c r="AE464" i="3"/>
  <c r="AE467" i="3"/>
  <c r="C494" i="2"/>
  <c r="AJ470" i="3"/>
  <c r="M497" i="2"/>
  <c r="AJ486" i="3"/>
  <c r="M513" i="2"/>
  <c r="AD491" i="3"/>
  <c r="B89" i="2"/>
  <c r="C222" i="2"/>
  <c r="M228" i="2"/>
  <c r="B304" i="2"/>
  <c r="M313" i="2"/>
  <c r="M325" i="2"/>
  <c r="M432" i="2"/>
  <c r="M505" i="2"/>
  <c r="AA522" i="3"/>
  <c r="B138" i="2" s="1"/>
  <c r="M522" i="3"/>
  <c r="AD40" i="3"/>
  <c r="AJ52" i="3"/>
  <c r="M93" i="2"/>
  <c r="AE76" i="3"/>
  <c r="C117" i="2"/>
  <c r="AJ82" i="3"/>
  <c r="M23" i="2"/>
  <c r="AE150" i="3"/>
  <c r="C177" i="2"/>
  <c r="AE158" i="3"/>
  <c r="AH158" i="3" s="1"/>
  <c r="C185" i="2"/>
  <c r="AJ335" i="3"/>
  <c r="M362" i="2"/>
  <c r="AE378" i="3"/>
  <c r="AH378" i="3" s="1"/>
  <c r="C405" i="2"/>
  <c r="AD381" i="3"/>
  <c r="B408" i="2"/>
  <c r="AD389" i="3"/>
  <c r="AH389" i="3" s="1"/>
  <c r="B416" i="2"/>
  <c r="M470" i="2"/>
  <c r="AJ443" i="3"/>
  <c r="AJ459" i="3"/>
  <c r="M486" i="2"/>
  <c r="AJ464" i="3"/>
  <c r="M491" i="2"/>
  <c r="AD42" i="3"/>
  <c r="B83" i="2"/>
  <c r="AE45" i="3"/>
  <c r="C86" i="2"/>
  <c r="M246" i="2"/>
  <c r="AJ219" i="3"/>
  <c r="AE236" i="3"/>
  <c r="AH236" i="3" s="1"/>
  <c r="C263" i="2"/>
  <c r="AE246" i="3"/>
  <c r="AH246" i="3" s="1"/>
  <c r="C273" i="2"/>
  <c r="AD284" i="3"/>
  <c r="B311" i="2"/>
  <c r="AD321" i="3"/>
  <c r="AH321" i="3" s="1"/>
  <c r="B348" i="2"/>
  <c r="AE355" i="3"/>
  <c r="C382" i="2"/>
  <c r="AE104" i="3"/>
  <c r="AH104" i="3" s="1"/>
  <c r="C45" i="2"/>
  <c r="AE210" i="3"/>
  <c r="C237" i="2"/>
  <c r="AD348" i="3"/>
  <c r="B375" i="2"/>
  <c r="AD68" i="3"/>
  <c r="B109" i="2"/>
  <c r="C42" i="2"/>
  <c r="AE101" i="3"/>
  <c r="AE126" i="3"/>
  <c r="C153" i="2"/>
  <c r="AJ129" i="3"/>
  <c r="M156" i="2"/>
  <c r="AD231" i="3"/>
  <c r="AH231" i="3" s="1"/>
  <c r="B258" i="2"/>
  <c r="AD334" i="3"/>
  <c r="B361" i="2"/>
  <c r="M385" i="2"/>
  <c r="B192" i="2"/>
  <c r="AD165" i="3"/>
  <c r="M219" i="2"/>
  <c r="AJ192" i="3"/>
  <c r="M242" i="2"/>
  <c r="AJ215" i="3"/>
  <c r="AE289" i="3"/>
  <c r="C316" i="2"/>
  <c r="AD495" i="3"/>
  <c r="M319" i="2"/>
  <c r="AJ159" i="3"/>
  <c r="M186" i="2"/>
  <c r="AJ245" i="3"/>
  <c r="M272" i="2"/>
  <c r="AD385" i="3"/>
  <c r="AH385" i="3" s="1"/>
  <c r="B412" i="2"/>
  <c r="AD409" i="3"/>
  <c r="AH409" i="3" s="1"/>
  <c r="B436" i="2"/>
  <c r="AD465" i="3"/>
  <c r="AH465" i="3" s="1"/>
  <c r="B492" i="2"/>
  <c r="AD468" i="3"/>
  <c r="AH468" i="3" s="1"/>
  <c r="B495" i="2"/>
  <c r="AE481" i="3"/>
  <c r="B24" i="2"/>
  <c r="AD77" i="3"/>
  <c r="AH77" i="3" s="1"/>
  <c r="B118" i="2"/>
  <c r="AD80" i="3"/>
  <c r="B21" i="2"/>
  <c r="AJ368" i="3"/>
  <c r="M395" i="2"/>
  <c r="AD371" i="3"/>
  <c r="AH371" i="3" s="1"/>
  <c r="AJ387" i="3"/>
  <c r="M414" i="2"/>
  <c r="AD398" i="3"/>
  <c r="B425" i="2"/>
  <c r="AJ414" i="3"/>
  <c r="M441" i="2"/>
  <c r="AJ473" i="3"/>
  <c r="M500" i="2"/>
  <c r="AE478" i="3"/>
  <c r="AH478" i="3" s="1"/>
  <c r="AE491" i="3"/>
  <c r="AD114" i="3"/>
  <c r="AH114" i="3" s="1"/>
  <c r="B55" i="2"/>
  <c r="AD387" i="3"/>
  <c r="B414" i="2"/>
  <c r="AE470" i="3"/>
  <c r="AH470" i="3" s="1"/>
  <c r="C497" i="2"/>
  <c r="M159" i="2"/>
  <c r="M304" i="2"/>
  <c r="AJ46" i="3"/>
  <c r="M87" i="2"/>
  <c r="AD85" i="3"/>
  <c r="AH85" i="3" s="1"/>
  <c r="B26" i="2"/>
  <c r="M397" i="2"/>
  <c r="AJ370" i="3"/>
  <c r="AD376" i="3"/>
  <c r="AH376" i="3" s="1"/>
  <c r="B403" i="2"/>
  <c r="AJ381" i="3"/>
  <c r="M408" i="2"/>
  <c r="AE394" i="3"/>
  <c r="AH394" i="3" s="1"/>
  <c r="C421" i="2"/>
  <c r="C38" i="2"/>
  <c r="C304" i="2"/>
  <c r="M518" i="2"/>
  <c r="AJ15" i="3"/>
  <c r="M17" i="2"/>
  <c r="AD46" i="3"/>
  <c r="AJ150" i="3"/>
  <c r="M177" i="2"/>
  <c r="AE155" i="3"/>
  <c r="AH155" i="3" s="1"/>
  <c r="C182" i="2"/>
  <c r="AJ173" i="3"/>
  <c r="AE177" i="3"/>
  <c r="AH177" i="3" s="1"/>
  <c r="C204" i="2"/>
  <c r="AJ313" i="3"/>
  <c r="M340" i="2"/>
  <c r="AJ327" i="3"/>
  <c r="M354" i="2"/>
  <c r="AE361" i="3"/>
  <c r="C388" i="2"/>
  <c r="AJ364" i="3"/>
  <c r="M391" i="2"/>
  <c r="AE367" i="3"/>
  <c r="AH367" i="3" s="1"/>
  <c r="C394" i="2"/>
  <c r="AD370" i="3"/>
  <c r="AH370" i="3" s="1"/>
  <c r="AJ378" i="3"/>
  <c r="M405" i="2"/>
  <c r="AD440" i="3"/>
  <c r="AH440" i="3" s="1"/>
  <c r="B467" i="2"/>
  <c r="AJ456" i="3"/>
  <c r="M483" i="2"/>
  <c r="B486" i="2"/>
  <c r="AD459" i="3"/>
  <c r="AH459" i="3" s="1"/>
  <c r="AD296" i="3"/>
  <c r="B323" i="2"/>
  <c r="AE30" i="3"/>
  <c r="AH30" i="3" s="1"/>
  <c r="C71" i="2"/>
  <c r="M86" i="2"/>
  <c r="AJ45" i="3"/>
  <c r="AD127" i="3"/>
  <c r="AJ171" i="3"/>
  <c r="M198" i="2"/>
  <c r="AD196" i="3"/>
  <c r="AH196" i="3" s="1"/>
  <c r="B223" i="2"/>
  <c r="AD199" i="3"/>
  <c r="AH199" i="3" s="1"/>
  <c r="B226" i="2"/>
  <c r="AD213" i="3"/>
  <c r="B240" i="2"/>
  <c r="AD293" i="3"/>
  <c r="AH293" i="3" s="1"/>
  <c r="AE350" i="3"/>
  <c r="AH350" i="3" s="1"/>
  <c r="C377" i="2"/>
  <c r="AJ30" i="3"/>
  <c r="M71" i="2"/>
  <c r="AE140" i="3"/>
  <c r="AH140" i="3" s="1"/>
  <c r="C167" i="2"/>
  <c r="AE298" i="3"/>
  <c r="AH298" i="3" s="1"/>
  <c r="C325" i="2"/>
  <c r="M519" i="2"/>
  <c r="AJ492" i="3"/>
  <c r="C150" i="2"/>
  <c r="C234" i="2"/>
  <c r="M284" i="2"/>
  <c r="AD62" i="3"/>
  <c r="AH62" i="3" s="1"/>
  <c r="B103" i="2"/>
  <c r="AD115" i="3"/>
  <c r="AH115" i="3" s="1"/>
  <c r="AD210" i="3"/>
  <c r="B237" i="2"/>
  <c r="AE251" i="3"/>
  <c r="C278" i="2"/>
  <c r="AE292" i="3"/>
  <c r="C319" i="2"/>
  <c r="AE295" i="3"/>
  <c r="AH295" i="3" s="1"/>
  <c r="C322" i="2"/>
  <c r="AJ89" i="3"/>
  <c r="M30" i="2"/>
  <c r="AJ251" i="3"/>
  <c r="M278" i="2"/>
  <c r="AJ289" i="3"/>
  <c r="M316" i="2"/>
  <c r="AD487" i="3"/>
  <c r="AH487" i="3" s="1"/>
  <c r="AE495" i="3"/>
  <c r="M21" i="2"/>
  <c r="AJ80" i="3"/>
  <c r="B203" i="2"/>
  <c r="AD176" i="3"/>
  <c r="AH176" i="3" s="1"/>
  <c r="AD192" i="3"/>
  <c r="AH192" i="3" s="1"/>
  <c r="AJ198" i="3"/>
  <c r="M225" i="2"/>
  <c r="AE494" i="3"/>
  <c r="AJ97" i="3"/>
  <c r="M38" i="2"/>
  <c r="AD184" i="3"/>
  <c r="AH184" i="3" s="1"/>
  <c r="B211" i="2"/>
  <c r="AD374" i="3"/>
  <c r="AH374" i="3" s="1"/>
  <c r="AJ419" i="3"/>
  <c r="M446" i="2"/>
  <c r="M222" i="2"/>
  <c r="M322" i="2"/>
  <c r="AJ117" i="3"/>
  <c r="M144" i="2"/>
  <c r="AD368" i="3"/>
  <c r="AH368" i="3" s="1"/>
  <c r="B395" i="2"/>
  <c r="AE381" i="3"/>
  <c r="C408" i="2"/>
  <c r="AE405" i="3"/>
  <c r="AH405" i="3" s="1"/>
  <c r="C432" i="2"/>
  <c r="AE408" i="3"/>
  <c r="AH408" i="3" s="1"/>
  <c r="C435" i="2"/>
  <c r="M45" i="2"/>
  <c r="C156" i="2"/>
  <c r="B422" i="2"/>
  <c r="B29" i="2"/>
  <c r="AD88" i="3"/>
  <c r="C207" i="2"/>
  <c r="AE180" i="3"/>
  <c r="AH180" i="3" s="1"/>
  <c r="M281" i="2"/>
  <c r="M80" i="2"/>
  <c r="AJ39" i="3"/>
  <c r="AJ107" i="3"/>
  <c r="M48" i="2"/>
  <c r="AJ141" i="3"/>
  <c r="M168" i="2"/>
  <c r="AJ155" i="3"/>
  <c r="M182" i="2"/>
  <c r="AE185" i="3"/>
  <c r="AH185" i="3" s="1"/>
  <c r="C212" i="2"/>
  <c r="AJ188" i="3"/>
  <c r="M215" i="2"/>
  <c r="AJ293" i="3"/>
  <c r="M320" i="2"/>
  <c r="AJ296" i="3"/>
  <c r="M323" i="2"/>
  <c r="AD299" i="3"/>
  <c r="B326" i="2"/>
  <c r="M380" i="2"/>
  <c r="AJ353" i="3"/>
  <c r="AE358" i="3"/>
  <c r="C385" i="2"/>
  <c r="AJ361" i="3"/>
  <c r="M388" i="2"/>
  <c r="AD364" i="3"/>
  <c r="B391" i="2"/>
  <c r="M338" i="2"/>
  <c r="C344" i="2"/>
  <c r="AJ57" i="3"/>
  <c r="M98" i="2"/>
  <c r="AH60" i="3"/>
  <c r="AE68" i="3"/>
  <c r="C109" i="2"/>
  <c r="B117" i="2"/>
  <c r="AD76" i="3"/>
  <c r="AD106" i="3"/>
  <c r="AH106" i="3" s="1"/>
  <c r="B47" i="2"/>
  <c r="M52" i="2"/>
  <c r="AJ111" i="3"/>
  <c r="AJ120" i="3"/>
  <c r="M147" i="2"/>
  <c r="AJ126" i="3"/>
  <c r="M153" i="2"/>
  <c r="AD166" i="3"/>
  <c r="AH166" i="3" s="1"/>
  <c r="B193" i="2"/>
  <c r="AD248" i="3"/>
  <c r="B275" i="2"/>
  <c r="AD267" i="3"/>
  <c r="AH267" i="3" s="1"/>
  <c r="B294" i="2"/>
  <c r="AE273" i="3"/>
  <c r="C300" i="2"/>
  <c r="C402" i="2"/>
  <c r="AE375" i="3"/>
  <c r="AH375" i="3" s="1"/>
  <c r="C418" i="2"/>
  <c r="AE391" i="3"/>
  <c r="AJ418" i="3"/>
  <c r="M445" i="2"/>
  <c r="AE445" i="3"/>
  <c r="C472" i="2"/>
  <c r="AE450" i="3"/>
  <c r="C477" i="2"/>
  <c r="AD456" i="3"/>
  <c r="B483" i="2"/>
  <c r="C488" i="2"/>
  <c r="AE461" i="3"/>
  <c r="AD464" i="3"/>
  <c r="B491" i="2"/>
  <c r="AJ467" i="3"/>
  <c r="M494" i="2"/>
  <c r="AJ475" i="3"/>
  <c r="M502" i="2"/>
  <c r="AD486" i="3"/>
  <c r="AH486" i="3" s="1"/>
  <c r="AE488" i="3"/>
  <c r="AJ494" i="3"/>
  <c r="M521" i="2"/>
  <c r="AD497" i="3"/>
  <c r="AE499" i="3"/>
  <c r="AH499" i="3" s="1"/>
  <c r="M19" i="2"/>
  <c r="C100" i="2"/>
  <c r="C244" i="2"/>
  <c r="C274" i="2"/>
  <c r="B338" i="2"/>
  <c r="AD57" i="3"/>
  <c r="B98" i="2"/>
  <c r="AJ62" i="3"/>
  <c r="M103" i="2"/>
  <c r="AH111" i="3"/>
  <c r="AD120" i="3"/>
  <c r="AH120" i="3" s="1"/>
  <c r="B147" i="2"/>
  <c r="AD134" i="3"/>
  <c r="AH134" i="3" s="1"/>
  <c r="B161" i="2"/>
  <c r="AJ165" i="3"/>
  <c r="M192" i="2"/>
  <c r="AE171" i="3"/>
  <c r="AH171" i="3" s="1"/>
  <c r="C198" i="2"/>
  <c r="AD191" i="3"/>
  <c r="AD235" i="3"/>
  <c r="B262" i="2"/>
  <c r="AE242" i="3"/>
  <c r="C269" i="2"/>
  <c r="AJ264" i="3"/>
  <c r="M291" i="2"/>
  <c r="AD358" i="3"/>
  <c r="AJ445" i="3"/>
  <c r="M472" i="2"/>
  <c r="AD467" i="3"/>
  <c r="B494" i="2"/>
  <c r="AE480" i="3"/>
  <c r="M515" i="2"/>
  <c r="AJ488" i="3"/>
  <c r="AD494" i="3"/>
  <c r="AD308" i="3"/>
  <c r="AH308" i="3" s="1"/>
  <c r="B335" i="2"/>
  <c r="AE347" i="3"/>
  <c r="C374" i="2"/>
  <c r="AJ404" i="3"/>
  <c r="M431" i="2"/>
  <c r="AE458" i="3"/>
  <c r="AH458" i="3" s="1"/>
  <c r="C485" i="2"/>
  <c r="AD461" i="3"/>
  <c r="B488" i="2"/>
  <c r="AH157" i="3"/>
  <c r="AJ185" i="3"/>
  <c r="M212" i="2"/>
  <c r="AE190" i="3"/>
  <c r="C217" i="2"/>
  <c r="AJ205" i="3"/>
  <c r="M232" i="2"/>
  <c r="AE244" i="3"/>
  <c r="AH244" i="3" s="1"/>
  <c r="C271" i="2"/>
  <c r="M366" i="2"/>
  <c r="AJ339" i="3"/>
  <c r="C103" i="2"/>
  <c r="C136" i="2"/>
  <c r="C266" i="2"/>
  <c r="M374" i="2"/>
  <c r="AD53" i="3"/>
  <c r="AH53" i="3" s="1"/>
  <c r="B94" i="2"/>
  <c r="AE56" i="3"/>
  <c r="AH56" i="3" s="1"/>
  <c r="C97" i="2"/>
  <c r="B111" i="2"/>
  <c r="AD70" i="3"/>
  <c r="AE116" i="3"/>
  <c r="AH116" i="3" s="1"/>
  <c r="C143" i="2"/>
  <c r="AD122" i="3"/>
  <c r="AE164" i="3"/>
  <c r="C191" i="2"/>
  <c r="AE165" i="3"/>
  <c r="AH202" i="3"/>
  <c r="AE213" i="3"/>
  <c r="C240" i="2"/>
  <c r="AJ250" i="3"/>
  <c r="M277" i="2"/>
  <c r="AE299" i="3"/>
  <c r="C326" i="2"/>
  <c r="AE319" i="3"/>
  <c r="AH319" i="3" s="1"/>
  <c r="C346" i="2"/>
  <c r="AJ406" i="3"/>
  <c r="M433" i="2"/>
  <c r="C468" i="2"/>
  <c r="AE441" i="3"/>
  <c r="AJ223" i="3"/>
  <c r="M250" i="2"/>
  <c r="AJ229" i="3"/>
  <c r="M256" i="2"/>
  <c r="AJ242" i="3"/>
  <c r="M269" i="2"/>
  <c r="AJ261" i="3"/>
  <c r="M288" i="2"/>
  <c r="AD445" i="3"/>
  <c r="B472" i="2"/>
  <c r="C371" i="2"/>
  <c r="AE110" i="3"/>
  <c r="AH110" i="3" s="1"/>
  <c r="C51" i="2"/>
  <c r="AD117" i="3"/>
  <c r="AH117" i="3" s="1"/>
  <c r="B144" i="2"/>
  <c r="AD229" i="3"/>
  <c r="B256" i="2"/>
  <c r="AD242" i="3"/>
  <c r="B269" i="2"/>
  <c r="AD314" i="3"/>
  <c r="AH314" i="3" s="1"/>
  <c r="AE325" i="3"/>
  <c r="AH325" i="3" s="1"/>
  <c r="C352" i="2"/>
  <c r="C164" i="2"/>
  <c r="C195" i="2"/>
  <c r="M229" i="2"/>
  <c r="M259" i="2"/>
  <c r="AA521" i="3"/>
  <c r="B524" i="2" s="1"/>
  <c r="AH20" i="3"/>
  <c r="AJ23" i="3"/>
  <c r="M64" i="2"/>
  <c r="AE46" i="3"/>
  <c r="C87" i="2"/>
  <c r="AE61" i="3"/>
  <c r="C102" i="2"/>
  <c r="AD96" i="3"/>
  <c r="AH96" i="3" s="1"/>
  <c r="B37" i="2"/>
  <c r="AJ199" i="3"/>
  <c r="M226" i="2"/>
  <c r="AH208" i="3"/>
  <c r="AE219" i="3"/>
  <c r="C246" i="2"/>
  <c r="AE284" i="3"/>
  <c r="C311" i="2"/>
  <c r="AE290" i="3"/>
  <c r="AH290" i="3" s="1"/>
  <c r="C317" i="2"/>
  <c r="AJ307" i="3"/>
  <c r="M334" i="2"/>
  <c r="AJ341" i="3"/>
  <c r="M368" i="2"/>
  <c r="AD377" i="3"/>
  <c r="AH377" i="3" s="1"/>
  <c r="B404" i="2"/>
  <c r="AE398" i="3"/>
  <c r="C425" i="2"/>
  <c r="C465" i="2"/>
  <c r="AE438" i="3"/>
  <c r="AE63" i="3"/>
  <c r="C104" i="2"/>
  <c r="AH173" i="3"/>
  <c r="AJ252" i="3"/>
  <c r="M279" i="2"/>
  <c r="AE427" i="3"/>
  <c r="AH427" i="3" s="1"/>
  <c r="C454" i="2"/>
  <c r="C184" i="2"/>
  <c r="B374" i="2"/>
  <c r="M485" i="2"/>
  <c r="M513" i="3"/>
  <c r="AA513" i="3"/>
  <c r="AJ38" i="3"/>
  <c r="M79" i="2"/>
  <c r="AJ113" i="3"/>
  <c r="M54" i="2"/>
  <c r="AH133" i="3"/>
  <c r="AE154" i="3"/>
  <c r="AH154" i="3" s="1"/>
  <c r="C181" i="2"/>
  <c r="AD198" i="3"/>
  <c r="AH198" i="3" s="1"/>
  <c r="AD258" i="3"/>
  <c r="AH258" i="3" s="1"/>
  <c r="AE263" i="3"/>
  <c r="AH263" i="3" s="1"/>
  <c r="C290" i="2"/>
  <c r="AH357" i="3"/>
  <c r="AJ402" i="3"/>
  <c r="M429" i="2"/>
  <c r="AD419" i="3"/>
  <c r="AE421" i="3"/>
  <c r="C448" i="2"/>
  <c r="AE493" i="3"/>
  <c r="AE81" i="3"/>
  <c r="C22" i="2"/>
  <c r="AE100" i="3"/>
  <c r="AH100" i="3" s="1"/>
  <c r="C41" i="2"/>
  <c r="AE338" i="3"/>
  <c r="C365" i="2"/>
  <c r="AD414" i="3"/>
  <c r="B441" i="2"/>
  <c r="AJ477" i="3"/>
  <c r="M504" i="2"/>
  <c r="C70" i="2"/>
  <c r="M502" i="3"/>
  <c r="C526" i="2" s="1"/>
  <c r="AD38" i="3"/>
  <c r="AH38" i="3" s="1"/>
  <c r="B79" i="2"/>
  <c r="AD50" i="3"/>
  <c r="AH50" i="3" s="1"/>
  <c r="B91" i="2"/>
  <c r="AD63" i="3"/>
  <c r="B104" i="2"/>
  <c r="AJ121" i="3"/>
  <c r="M148" i="2"/>
  <c r="AE127" i="3"/>
  <c r="C154" i="2"/>
  <c r="AH182" i="3"/>
  <c r="AD190" i="3"/>
  <c r="AD230" i="3"/>
  <c r="AH230" i="3" s="1"/>
  <c r="B257" i="2"/>
  <c r="AE235" i="3"/>
  <c r="C262" i="2"/>
  <c r="AE260" i="3"/>
  <c r="C287" i="2"/>
  <c r="AE272" i="3"/>
  <c r="AH272" i="3" s="1"/>
  <c r="C299" i="2"/>
  <c r="B306" i="2"/>
  <c r="AD279" i="3"/>
  <c r="AH279" i="3" s="1"/>
  <c r="AE320" i="3"/>
  <c r="AH320" i="3" s="1"/>
  <c r="C347" i="2"/>
  <c r="AD402" i="3"/>
  <c r="B429" i="2"/>
  <c r="AE407" i="3"/>
  <c r="C434" i="2"/>
  <c r="AD416" i="3"/>
  <c r="AH416" i="3" s="1"/>
  <c r="B443" i="2"/>
  <c r="AJ421" i="3"/>
  <c r="M448" i="2"/>
  <c r="B482" i="2"/>
  <c r="AD455" i="3"/>
  <c r="AD107" i="3"/>
  <c r="AH107" i="3" s="1"/>
  <c r="B48" i="2"/>
  <c r="AE139" i="3"/>
  <c r="C166" i="2"/>
  <c r="AE203" i="3"/>
  <c r="AH203" i="3" s="1"/>
  <c r="C230" i="2"/>
  <c r="AE380" i="3"/>
  <c r="AH380" i="3" s="1"/>
  <c r="C407" i="2"/>
  <c r="C79" i="2"/>
  <c r="B368" i="2"/>
  <c r="AJ516" i="3"/>
  <c r="M141" i="2"/>
  <c r="M13" i="3"/>
  <c r="AH67" i="3"/>
  <c r="AH72" i="3"/>
  <c r="AJ96" i="3"/>
  <c r="M37" i="2"/>
  <c r="AH124" i="3"/>
  <c r="AE159" i="3"/>
  <c r="C186" i="2"/>
  <c r="AH163" i="3"/>
  <c r="AJ166" i="3"/>
  <c r="M193" i="2"/>
  <c r="AH178" i="3"/>
  <c r="AJ181" i="3"/>
  <c r="M208" i="2"/>
  <c r="AH214" i="3"/>
  <c r="AE248" i="3"/>
  <c r="C275" i="2"/>
  <c r="AE254" i="3"/>
  <c r="AH254" i="3" s="1"/>
  <c r="C281" i="2"/>
  <c r="AD297" i="3"/>
  <c r="AH297" i="3" s="1"/>
  <c r="B324" i="2"/>
  <c r="AD300" i="3"/>
  <c r="AH300" i="3" s="1"/>
  <c r="AE305" i="3"/>
  <c r="AH305" i="3" s="1"/>
  <c r="C332" i="2"/>
  <c r="AJ314" i="3"/>
  <c r="M341" i="2"/>
  <c r="AE390" i="3"/>
  <c r="C417" i="2"/>
  <c r="AH435" i="3"/>
  <c r="AE360" i="3"/>
  <c r="AH360" i="3" s="1"/>
  <c r="C387" i="2"/>
  <c r="AD392" i="3"/>
  <c r="B419" i="2"/>
  <c r="AJ398" i="3"/>
  <c r="M425" i="2"/>
  <c r="AD488" i="3"/>
  <c r="AJ214" i="3"/>
  <c r="M241" i="2"/>
  <c r="AJ388" i="3"/>
  <c r="M415" i="2"/>
  <c r="AH79" i="3"/>
  <c r="AH99" i="3"/>
  <c r="AH137" i="3"/>
  <c r="AH211" i="3"/>
  <c r="AJ224" i="3"/>
  <c r="M251" i="2"/>
  <c r="AJ351" i="3"/>
  <c r="M378" i="2"/>
  <c r="AJ428" i="3"/>
  <c r="M455" i="2"/>
  <c r="AJ471" i="3"/>
  <c r="M498" i="2"/>
  <c r="AE268" i="3"/>
  <c r="AH268" i="3" s="1"/>
  <c r="C295" i="2"/>
  <c r="B340" i="2"/>
  <c r="C364" i="2"/>
  <c r="M418" i="2"/>
  <c r="C455" i="2"/>
  <c r="C498" i="2"/>
  <c r="B198" i="2"/>
  <c r="C224" i="2"/>
  <c r="C461" i="2"/>
  <c r="AD109" i="3"/>
  <c r="AH161" i="3"/>
  <c r="AE241" i="3"/>
  <c r="AH241" i="3" s="1"/>
  <c r="C268" i="2"/>
  <c r="AD247" i="3"/>
  <c r="AJ306" i="3"/>
  <c r="M333" i="2"/>
  <c r="AJ321" i="3"/>
  <c r="M348" i="2"/>
  <c r="AE345" i="3"/>
  <c r="AH345" i="3" s="1"/>
  <c r="C372" i="2"/>
  <c r="AD365" i="3"/>
  <c r="AH365" i="3" s="1"/>
  <c r="B392" i="2"/>
  <c r="AJ417" i="3"/>
  <c r="M444" i="2"/>
  <c r="AJ422" i="3"/>
  <c r="M449" i="2"/>
  <c r="AD428" i="3"/>
  <c r="AH428" i="3" s="1"/>
  <c r="B455" i="2"/>
  <c r="AH437" i="3"/>
  <c r="AJ446" i="3"/>
  <c r="M473" i="2"/>
  <c r="AJ465" i="3"/>
  <c r="M492" i="2"/>
  <c r="AJ487" i="3"/>
  <c r="M514" i="2"/>
  <c r="AH406" i="3"/>
  <c r="AH25" i="3"/>
  <c r="AH87" i="3"/>
  <c r="AH317" i="3"/>
  <c r="AH362" i="3"/>
  <c r="AD475" i="3"/>
  <c r="AH475" i="3" s="1"/>
  <c r="M478" i="2"/>
  <c r="AH84" i="3"/>
  <c r="AH274" i="3"/>
  <c r="AH179" i="3"/>
  <c r="AH250" i="3"/>
  <c r="AH353" i="3"/>
  <c r="AH460" i="3"/>
  <c r="AA523" i="3"/>
  <c r="AH217" i="3"/>
  <c r="AH270" i="3"/>
  <c r="AH326" i="3"/>
  <c r="AH356" i="3"/>
  <c r="AH410" i="3"/>
  <c r="AH420" i="3"/>
  <c r="AH489" i="3"/>
  <c r="AH259" i="3"/>
  <c r="AH287" i="3"/>
  <c r="AH346" i="3"/>
  <c r="AJ153" i="3"/>
  <c r="M180" i="2"/>
  <c r="AD449" i="3"/>
  <c r="AH449" i="3" s="1"/>
  <c r="B476" i="2"/>
  <c r="B465" i="2"/>
  <c r="AD438" i="3"/>
  <c r="AA4" i="3"/>
  <c r="M4" i="3"/>
  <c r="B65" i="2"/>
  <c r="AD24" i="3"/>
  <c r="AH24" i="3" s="1"/>
  <c r="M36" i="2"/>
  <c r="AE40" i="3"/>
  <c r="C81" i="2"/>
  <c r="M155" i="2"/>
  <c r="AD13" i="3"/>
  <c r="AE36" i="3"/>
  <c r="C77" i="2"/>
  <c r="AJ134" i="3"/>
  <c r="M161" i="2"/>
  <c r="AA516" i="3"/>
  <c r="M516" i="3"/>
  <c r="AE109" i="3"/>
  <c r="C50" i="2"/>
  <c r="AE48" i="3"/>
  <c r="AH48" i="3" s="1"/>
  <c r="C89" i="2"/>
  <c r="AJ36" i="3"/>
  <c r="M77" i="2"/>
  <c r="AE69" i="3"/>
  <c r="AH69" i="3" s="1"/>
  <c r="C110" i="2"/>
  <c r="AE131" i="3"/>
  <c r="AH131" i="3" s="1"/>
  <c r="C158" i="2"/>
  <c r="AE243" i="3"/>
  <c r="AH243" i="3" s="1"/>
  <c r="C270" i="2"/>
  <c r="AE256" i="3"/>
  <c r="AH256" i="3" s="1"/>
  <c r="C283" i="2"/>
  <c r="AJ24" i="3"/>
  <c r="M65" i="2"/>
  <c r="AE91" i="3"/>
  <c r="C32" i="2"/>
  <c r="AD65" i="3"/>
  <c r="B106" i="2"/>
  <c r="AD237" i="3"/>
  <c r="AH237" i="3" s="1"/>
  <c r="AJ160" i="3"/>
  <c r="M187" i="2"/>
  <c r="AJ53" i="3"/>
  <c r="M94" i="2"/>
  <c r="AJ441" i="3"/>
  <c r="M468" i="2"/>
  <c r="AE455" i="3"/>
  <c r="C482" i="2"/>
  <c r="AD500" i="3"/>
  <c r="B19" i="2"/>
  <c r="AA5" i="3"/>
  <c r="M5" i="3"/>
  <c r="AJ212" i="3"/>
  <c r="M239" i="2"/>
  <c r="AJ226" i="3"/>
  <c r="M253" i="2"/>
  <c r="C17" i="2"/>
  <c r="AD502" i="3"/>
  <c r="AE28" i="3"/>
  <c r="C69" i="2"/>
  <c r="AD175" i="3"/>
  <c r="AH175" i="3" s="1"/>
  <c r="B202" i="2"/>
  <c r="AA507" i="3"/>
  <c r="M507" i="3"/>
  <c r="AA508" i="3"/>
  <c r="M508" i="3"/>
  <c r="AA518" i="3"/>
  <c r="M518" i="3"/>
  <c r="C521" i="2" s="1"/>
  <c r="AA510" i="3"/>
  <c r="M510" i="3"/>
  <c r="AA519" i="3"/>
  <c r="M519" i="3"/>
  <c r="AA12" i="3"/>
  <c r="M12" i="3"/>
  <c r="AJ72" i="3"/>
  <c r="M113" i="2"/>
  <c r="AD209" i="3"/>
  <c r="AH209" i="3" s="1"/>
  <c r="B236" i="2"/>
  <c r="AD226" i="3"/>
  <c r="AH226" i="3" s="1"/>
  <c r="B253" i="2"/>
  <c r="AD441" i="3"/>
  <c r="B468" i="2"/>
  <c r="C20" i="2"/>
  <c r="C24" i="2"/>
  <c r="C76" i="2"/>
  <c r="C80" i="2"/>
  <c r="M14" i="3"/>
  <c r="AD36" i="3"/>
  <c r="AD153" i="3"/>
  <c r="AD253" i="3"/>
  <c r="AH253" i="3" s="1"/>
  <c r="B280" i="2"/>
  <c r="AJ333" i="3"/>
  <c r="M360" i="2"/>
  <c r="AD338" i="3"/>
  <c r="B365" i="2"/>
  <c r="AD481" i="3"/>
  <c r="AD233" i="3"/>
  <c r="AH233" i="3" s="1"/>
  <c r="B260" i="2"/>
  <c r="B101" i="2"/>
  <c r="AH52" i="3"/>
  <c r="AH97" i="3"/>
  <c r="AD145" i="3"/>
  <c r="AH145" i="3" s="1"/>
  <c r="AD344" i="3"/>
  <c r="AH344" i="3" s="1"/>
  <c r="B371" i="2"/>
  <c r="AJ377" i="3"/>
  <c r="M404" i="2"/>
  <c r="AH424" i="3"/>
  <c r="AD490" i="3"/>
  <c r="AH490" i="3" s="1"/>
  <c r="H5" i="1"/>
  <c r="AD18" i="3"/>
  <c r="AH18" i="3" s="1"/>
  <c r="AD74" i="3"/>
  <c r="AH74" i="3" s="1"/>
  <c r="AH119" i="3"/>
  <c r="AD152" i="3"/>
  <c r="AH152" i="3" s="1"/>
  <c r="B179" i="2"/>
  <c r="AH194" i="3"/>
  <c r="AD294" i="3"/>
  <c r="AH294" i="3" s="1"/>
  <c r="AD322" i="3"/>
  <c r="AH322" i="3" s="1"/>
  <c r="B349" i="2"/>
  <c r="AH340" i="3"/>
  <c r="AD333" i="3"/>
  <c r="B360" i="2"/>
  <c r="AD421" i="3"/>
  <c r="B448" i="2"/>
  <c r="AA7" i="3"/>
  <c r="M7" i="3"/>
  <c r="AA11" i="3"/>
  <c r="M11" i="3"/>
  <c r="AD329" i="3"/>
  <c r="AH329" i="3" s="1"/>
  <c r="B356" i="2"/>
  <c r="M50" i="2"/>
  <c r="AA514" i="3"/>
  <c r="M514" i="3"/>
  <c r="AH93" i="3"/>
  <c r="AH105" i="3"/>
  <c r="AE204" i="3"/>
  <c r="AD286" i="3"/>
  <c r="AH286" i="3" s="1"/>
  <c r="B313" i="2"/>
  <c r="AJ190" i="3"/>
  <c r="M217" i="2"/>
  <c r="AJ437" i="3"/>
  <c r="M464" i="2"/>
  <c r="AA503" i="3"/>
  <c r="M503" i="3"/>
  <c r="B5" i="1"/>
  <c r="AA3" i="3"/>
  <c r="M3" i="3"/>
  <c r="AA10" i="3"/>
  <c r="M10" i="3"/>
  <c r="B110" i="2"/>
  <c r="C34" i="2"/>
  <c r="C46" i="2"/>
  <c r="C172" i="2"/>
  <c r="C252" i="2"/>
  <c r="M411" i="2"/>
  <c r="M451" i="2"/>
  <c r="AJ17" i="3"/>
  <c r="G5" i="1"/>
  <c r="AD144" i="3"/>
  <c r="B171" i="2"/>
  <c r="AD200" i="3"/>
  <c r="AH200" i="3" s="1"/>
  <c r="B227" i="2"/>
  <c r="AD261" i="3"/>
  <c r="AH261" i="3" s="1"/>
  <c r="AD282" i="3"/>
  <c r="AD369" i="3"/>
  <c r="B396" i="2"/>
  <c r="AJ122" i="3"/>
  <c r="M149" i="2"/>
  <c r="C93" i="2"/>
  <c r="AA505" i="3"/>
  <c r="M505" i="3"/>
  <c r="AA509" i="3"/>
  <c r="M509" i="3"/>
  <c r="M27" i="2"/>
  <c r="M47" i="2"/>
  <c r="B158" i="2"/>
  <c r="M407" i="2"/>
  <c r="AA504" i="3"/>
  <c r="M504" i="3"/>
  <c r="AA517" i="3"/>
  <c r="M517" i="3"/>
  <c r="AA506" i="3"/>
  <c r="M506" i="3"/>
  <c r="AA6" i="3"/>
  <c r="M6" i="3"/>
  <c r="AA8" i="3"/>
  <c r="M8" i="3"/>
  <c r="AA9" i="3"/>
  <c r="M9" i="3"/>
  <c r="AA501" i="3"/>
  <c r="M501" i="3"/>
  <c r="AA511" i="3"/>
  <c r="M511" i="3"/>
  <c r="AA520" i="3"/>
  <c r="M520" i="3"/>
  <c r="AJ118" i="3"/>
  <c r="M145" i="2"/>
  <c r="B148" i="2"/>
  <c r="AD121" i="3"/>
  <c r="AH121" i="3" s="1"/>
  <c r="AD129" i="3"/>
  <c r="AH129" i="3" s="1"/>
  <c r="B156" i="2"/>
  <c r="AJ142" i="3"/>
  <c r="AH189" i="3"/>
  <c r="B345" i="2"/>
  <c r="AD318" i="3"/>
  <c r="AH318" i="3" s="1"/>
  <c r="AJ497" i="3"/>
  <c r="M524" i="2"/>
  <c r="C225" i="2"/>
  <c r="AA515" i="3"/>
  <c r="M515" i="3"/>
  <c r="AA2" i="3"/>
  <c r="M2" i="3"/>
  <c r="M235" i="2"/>
  <c r="C410" i="2"/>
  <c r="M511" i="2"/>
  <c r="B27" i="2"/>
  <c r="M263" i="2"/>
  <c r="M356" i="2"/>
  <c r="M371" i="2"/>
  <c r="C411" i="2"/>
  <c r="C451" i="2"/>
  <c r="AD132" i="3"/>
  <c r="AH59" i="3"/>
  <c r="AH149" i="3"/>
  <c r="AH160" i="3"/>
  <c r="AH186" i="3"/>
  <c r="AH82" i="3"/>
  <c r="AH359" i="3"/>
  <c r="B500" i="2"/>
  <c r="M500" i="3"/>
  <c r="AH225" i="3"/>
  <c r="AH218" i="3"/>
  <c r="AH403" i="3"/>
  <c r="AH442" i="3"/>
  <c r="AH228" i="3"/>
  <c r="AH265" i="3"/>
  <c r="AH174" i="3"/>
  <c r="AH276" i="3"/>
  <c r="AH429" i="3"/>
  <c r="AH221" i="3"/>
  <c r="AH324" i="3"/>
  <c r="AH343" i="3"/>
  <c r="AH323" i="3"/>
  <c r="AH477" i="3"/>
  <c r="AH252" i="3"/>
  <c r="AH312" i="3"/>
  <c r="AH328" i="3"/>
  <c r="AH415" i="3"/>
  <c r="AH332" i="3"/>
  <c r="AH373" i="3"/>
  <c r="AH432" i="3"/>
  <c r="AH484" i="3"/>
  <c r="AH316" i="3"/>
  <c r="AH397" i="3"/>
  <c r="AH352" i="3"/>
  <c r="AH417" i="3"/>
  <c r="AH448" i="3"/>
  <c r="AH457" i="3"/>
  <c r="AH496" i="3"/>
  <c r="AH396" i="3"/>
  <c r="AH400" i="3"/>
  <c r="AH404" i="3"/>
  <c r="B64" i="2" l="1"/>
  <c r="B58" i="2"/>
  <c r="B15" i="2"/>
  <c r="AH351" i="3"/>
  <c r="A354" i="2" s="1"/>
  <c r="AH28" i="3"/>
  <c r="AH34" i="3"/>
  <c r="B135" i="2"/>
  <c r="B17" i="2"/>
  <c r="B510" i="2"/>
  <c r="AH383" i="3"/>
  <c r="A386" i="2" s="1"/>
  <c r="C510" i="2"/>
  <c r="AH421" i="3"/>
  <c r="AH70" i="3"/>
  <c r="AH480" i="3"/>
  <c r="A483" i="2" s="1"/>
  <c r="A430" i="2"/>
  <c r="C507" i="2"/>
  <c r="AH153" i="3"/>
  <c r="C520" i="2"/>
  <c r="C513" i="2"/>
  <c r="A46" i="2"/>
  <c r="AH386" i="3"/>
  <c r="A389" i="2" s="1"/>
  <c r="A253" i="2"/>
  <c r="B513" i="2"/>
  <c r="C522" i="2"/>
  <c r="C509" i="2"/>
  <c r="A346" i="2"/>
  <c r="AH381" i="3"/>
  <c r="A384" i="2" s="1"/>
  <c r="AH419" i="3"/>
  <c r="A422" i="2" s="1"/>
  <c r="AH284" i="3"/>
  <c r="A287" i="2" s="1"/>
  <c r="A379" i="2"/>
  <c r="AH497" i="3"/>
  <c r="A500" i="2" s="1"/>
  <c r="A103" i="2"/>
  <c r="B511" i="2"/>
  <c r="B508" i="2"/>
  <c r="C511" i="2"/>
  <c r="AH402" i="3"/>
  <c r="B522" i="2"/>
  <c r="C512" i="2"/>
  <c r="B512" i="2"/>
  <c r="AH488" i="3"/>
  <c r="A48" i="2"/>
  <c r="A340" i="2"/>
  <c r="AH66" i="3"/>
  <c r="AH461" i="3"/>
  <c r="A464" i="2" s="1"/>
  <c r="C508" i="2"/>
  <c r="C503" i="2"/>
  <c r="AH361" i="3"/>
  <c r="A242" i="2"/>
  <c r="B514" i="2"/>
  <c r="AH311" i="3"/>
  <c r="A314" i="2" s="1"/>
  <c r="AH333" i="3"/>
  <c r="A336" i="2" s="1"/>
  <c r="A437" i="2"/>
  <c r="AH339" i="3"/>
  <c r="A460" i="2"/>
  <c r="AH132" i="3"/>
  <c r="A146" i="2" s="1"/>
  <c r="AH159" i="3"/>
  <c r="A162" i="2" s="1"/>
  <c r="AH135" i="3"/>
  <c r="A52" i="2" s="1"/>
  <c r="A95" i="2"/>
  <c r="AH102" i="3"/>
  <c r="A30" i="2" s="1"/>
  <c r="A318" i="2"/>
  <c r="AH224" i="3"/>
  <c r="AH144" i="3"/>
  <c r="A171" i="2" s="1"/>
  <c r="A205" i="2"/>
  <c r="AH45" i="3"/>
  <c r="A62" i="2" s="1"/>
  <c r="A454" i="2"/>
  <c r="A320" i="2"/>
  <c r="AH483" i="3"/>
  <c r="A486" i="2" s="1"/>
  <c r="AH369" i="3"/>
  <c r="A383" i="2" s="1"/>
  <c r="A399" i="2"/>
  <c r="AH162" i="3"/>
  <c r="A165" i="2" s="1"/>
  <c r="AH466" i="3"/>
  <c r="A469" i="2" s="1"/>
  <c r="AH309" i="3"/>
  <c r="A312" i="2" s="1"/>
  <c r="AH73" i="3"/>
  <c r="A90" i="2" s="1"/>
  <c r="A170" i="2"/>
  <c r="AH273" i="3"/>
  <c r="A276" i="2" s="1"/>
  <c r="A347" i="2"/>
  <c r="AH80" i="3"/>
  <c r="A97" i="2" s="1"/>
  <c r="AH366" i="3"/>
  <c r="A380" i="2" s="1"/>
  <c r="A400" i="2"/>
  <c r="AH91" i="3"/>
  <c r="AH201" i="3"/>
  <c r="C524" i="2"/>
  <c r="B515" i="2"/>
  <c r="AH260" i="3"/>
  <c r="A263" i="2" s="1"/>
  <c r="A184" i="2"/>
  <c r="AH251" i="3"/>
  <c r="A254" i="2" s="1"/>
  <c r="AH450" i="3"/>
  <c r="A477" i="2" s="1"/>
  <c r="AH101" i="3"/>
  <c r="A118" i="2" s="1"/>
  <c r="A440" i="2"/>
  <c r="AH304" i="3"/>
  <c r="A307" i="2" s="1"/>
  <c r="A163" i="2"/>
  <c r="AH456" i="3"/>
  <c r="A459" i="2" s="1"/>
  <c r="AH493" i="3"/>
  <c r="A496" i="2" s="1"/>
  <c r="AH341" i="3"/>
  <c r="A344" i="2" s="1"/>
  <c r="AH170" i="3"/>
  <c r="AH212" i="3"/>
  <c r="A215" i="2" s="1"/>
  <c r="A280" i="2"/>
  <c r="A33" i="2"/>
  <c r="A502" i="2"/>
  <c r="A446" i="2"/>
  <c r="A21" i="2"/>
  <c r="AH46" i="3"/>
  <c r="AH191" i="3"/>
  <c r="A194" i="2" s="1"/>
  <c r="A431" i="2"/>
  <c r="A397" i="2"/>
  <c r="AH42" i="3"/>
  <c r="A59" i="2" s="1"/>
  <c r="A438" i="2"/>
  <c r="A338" i="2"/>
  <c r="AH436" i="3"/>
  <c r="A463" i="2" s="1"/>
  <c r="A75" i="2"/>
  <c r="A258" i="2"/>
  <c r="AH471" i="3"/>
  <c r="A488" i="2" s="1"/>
  <c r="A345" i="2"/>
  <c r="A331" i="2"/>
  <c r="A248" i="2"/>
  <c r="A34" i="2"/>
  <c r="A415" i="2"/>
  <c r="AH355" i="3"/>
  <c r="A358" i="2" s="1"/>
  <c r="A76" i="2"/>
  <c r="A32" i="2"/>
  <c r="AH76" i="3"/>
  <c r="A117" i="2" s="1"/>
  <c r="AH95" i="3"/>
  <c r="A23" i="2" s="1"/>
  <c r="AH348" i="3"/>
  <c r="A362" i="2" s="1"/>
  <c r="A107" i="2"/>
  <c r="A270" i="2"/>
  <c r="AH57" i="3"/>
  <c r="A88" i="2" s="1"/>
  <c r="AH63" i="3"/>
  <c r="A80" i="2" s="1"/>
  <c r="A432" i="2"/>
  <c r="AH32" i="3"/>
  <c r="A60" i="2" s="1"/>
  <c r="A466" i="2"/>
  <c r="AH354" i="3"/>
  <c r="A368" i="2" s="1"/>
  <c r="AH126" i="3"/>
  <c r="A143" i="2" s="1"/>
  <c r="A17" i="2"/>
  <c r="AH390" i="3"/>
  <c r="A407" i="2" s="1"/>
  <c r="A241" i="2"/>
  <c r="A113" i="2"/>
  <c r="B523" i="2"/>
  <c r="AH494" i="3"/>
  <c r="A211" i="2"/>
  <c r="AH495" i="3"/>
  <c r="A498" i="2" s="1"/>
  <c r="AH296" i="3"/>
  <c r="A323" i="2" s="1"/>
  <c r="AH444" i="3"/>
  <c r="A447" i="2" s="1"/>
  <c r="A65" i="2"/>
  <c r="A291" i="2"/>
  <c r="AH81" i="3"/>
  <c r="A20" i="2"/>
  <c r="A67" i="2"/>
  <c r="A290" i="2"/>
  <c r="AH61" i="3"/>
  <c r="A102" i="2" s="1"/>
  <c r="B521" i="2"/>
  <c r="AH242" i="3"/>
  <c r="A245" i="2" s="1"/>
  <c r="AH391" i="3"/>
  <c r="A408" i="2" s="1"/>
  <c r="AH358" i="3"/>
  <c r="A385" i="2" s="1"/>
  <c r="A226" i="2"/>
  <c r="AH398" i="3"/>
  <c r="A412" i="2" s="1"/>
  <c r="AH334" i="3"/>
  <c r="A475" i="2"/>
  <c r="A480" i="2"/>
  <c r="A269" i="2"/>
  <c r="A210" i="2"/>
  <c r="A490" i="2"/>
  <c r="AH190" i="3"/>
  <c r="B504" i="2"/>
  <c r="A202" i="2"/>
  <c r="AH387" i="3"/>
  <c r="A390" i="2" s="1"/>
  <c r="A273" i="2"/>
  <c r="AH292" i="3"/>
  <c r="A295" i="2" s="1"/>
  <c r="A68" i="2"/>
  <c r="B517" i="2"/>
  <c r="A396" i="2"/>
  <c r="B526" i="2"/>
  <c r="AH392" i="3"/>
  <c r="A409" i="2" s="1"/>
  <c r="A61" i="2"/>
  <c r="AH229" i="3"/>
  <c r="A232" i="2" s="1"/>
  <c r="A495" i="2"/>
  <c r="A406" i="2"/>
  <c r="AH164" i="3"/>
  <c r="A178" i="2" s="1"/>
  <c r="B520" i="2"/>
  <c r="A114" i="2"/>
  <c r="AH122" i="3"/>
  <c r="A39" i="2" s="1"/>
  <c r="A36" i="2"/>
  <c r="A360" i="2"/>
  <c r="AH88" i="3"/>
  <c r="A105" i="2" s="1"/>
  <c r="A329" i="2"/>
  <c r="B505" i="2"/>
  <c r="A181" i="2"/>
  <c r="B518" i="2"/>
  <c r="A457" i="2"/>
  <c r="A404" i="2"/>
  <c r="A235" i="2"/>
  <c r="A271" i="2"/>
  <c r="A198" i="2"/>
  <c r="B506" i="2"/>
  <c r="B503" i="2"/>
  <c r="A288" i="2"/>
  <c r="C516" i="2"/>
  <c r="A487" i="2"/>
  <c r="A281" i="2"/>
  <c r="A151" i="2"/>
  <c r="AH491" i="3"/>
  <c r="AH289" i="3"/>
  <c r="A292" i="2" s="1"/>
  <c r="A298" i="2"/>
  <c r="AH452" i="3"/>
  <c r="A479" i="2" s="1"/>
  <c r="B509" i="2"/>
  <c r="B507" i="2"/>
  <c r="A327" i="2"/>
  <c r="C504" i="2"/>
  <c r="C517" i="2"/>
  <c r="A301" i="2"/>
  <c r="C506" i="2"/>
  <c r="A339" i="2"/>
  <c r="A315" i="2"/>
  <c r="B516" i="2"/>
  <c r="A89" i="2"/>
  <c r="A450" i="2"/>
  <c r="AH414" i="3"/>
  <c r="A428" i="2" s="1"/>
  <c r="A200" i="2"/>
  <c r="A203" i="2"/>
  <c r="B525" i="2"/>
  <c r="C518" i="2"/>
  <c r="A174" i="2"/>
  <c r="AH139" i="3"/>
  <c r="A166" i="2" s="1"/>
  <c r="A220" i="2"/>
  <c r="A328" i="2"/>
  <c r="A283" i="2"/>
  <c r="A421" i="2"/>
  <c r="AH109" i="3"/>
  <c r="A26" i="2" s="1"/>
  <c r="A84" i="2"/>
  <c r="AH407" i="3"/>
  <c r="A434" i="2" s="1"/>
  <c r="A201" i="2"/>
  <c r="C519" i="2"/>
  <c r="A456" i="2"/>
  <c r="B519" i="2"/>
  <c r="C525" i="2"/>
  <c r="AH438" i="3"/>
  <c r="A452" i="2" s="1"/>
  <c r="A212" i="2"/>
  <c r="A100" i="2"/>
  <c r="AH481" i="3"/>
  <c r="A484" i="2" s="1"/>
  <c r="AH65" i="3"/>
  <c r="A82" i="2" s="1"/>
  <c r="A279" i="2"/>
  <c r="C514" i="2"/>
  <c r="C515" i="2"/>
  <c r="AH40" i="3"/>
  <c r="A57" i="2" s="1"/>
  <c r="A282" i="2"/>
  <c r="A47" i="2"/>
  <c r="AH364" i="3"/>
  <c r="A391" i="2" s="1"/>
  <c r="A435" i="2"/>
  <c r="A377" i="2"/>
  <c r="C505" i="2"/>
  <c r="AH247" i="3"/>
  <c r="A274" i="2" s="1"/>
  <c r="A50" i="2"/>
  <c r="A27" i="2"/>
  <c r="A22" i="2"/>
  <c r="A411" i="2"/>
  <c r="A38" i="2"/>
  <c r="A230" i="2"/>
  <c r="A51" i="2"/>
  <c r="A436" i="2"/>
  <c r="A191" i="2"/>
  <c r="A492" i="2"/>
  <c r="A81" i="2"/>
  <c r="A58" i="2"/>
  <c r="A180" i="2"/>
  <c r="A322" i="2"/>
  <c r="A382" i="2"/>
  <c r="A366" i="2"/>
  <c r="A387" i="2"/>
  <c r="A449" i="2"/>
  <c r="A426" i="2"/>
  <c r="A319" i="2"/>
  <c r="A296" i="2"/>
  <c r="AH150" i="3"/>
  <c r="A177" i="2" s="1"/>
  <c r="A333" i="2"/>
  <c r="A310" i="2"/>
  <c r="A316" i="2"/>
  <c r="A493" i="2"/>
  <c r="A443" i="2"/>
  <c r="A278" i="2"/>
  <c r="A267" i="2"/>
  <c r="A115" i="2"/>
  <c r="A272" i="2"/>
  <c r="A308" i="2"/>
  <c r="A24" i="2"/>
  <c r="A152" i="2"/>
  <c r="A259" i="2"/>
  <c r="A416" i="2"/>
  <c r="A427" i="2"/>
  <c r="A425" i="2"/>
  <c r="A157" i="2"/>
  <c r="A236" i="2"/>
  <c r="A471" i="2"/>
  <c r="A42" i="2"/>
  <c r="A31" i="2"/>
  <c r="A418" i="2"/>
  <c r="A473" i="2"/>
  <c r="AD512" i="3"/>
  <c r="AH512" i="3" s="1"/>
  <c r="A135" i="2" s="1"/>
  <c r="A260" i="2"/>
  <c r="A429" i="2"/>
  <c r="A402" i="2"/>
  <c r="A376" i="2"/>
  <c r="A148" i="2"/>
  <c r="A158" i="2"/>
  <c r="A257" i="2"/>
  <c r="A300" i="2"/>
  <c r="A465" i="2"/>
  <c r="A277" i="2"/>
  <c r="A229" i="2"/>
  <c r="A29" i="2"/>
  <c r="A403" i="2"/>
  <c r="AH156" i="3"/>
  <c r="A183" i="2" s="1"/>
  <c r="A356" i="2"/>
  <c r="A321" i="2"/>
  <c r="A106" i="2"/>
  <c r="A110" i="2"/>
  <c r="A244" i="2"/>
  <c r="A72" i="2"/>
  <c r="A433" i="2"/>
  <c r="A352" i="2"/>
  <c r="A501" i="2"/>
  <c r="A419" i="2"/>
  <c r="A324" i="2"/>
  <c r="A190" i="2"/>
  <c r="AH455" i="3"/>
  <c r="A482" i="2" s="1"/>
  <c r="AE513" i="3"/>
  <c r="C523" i="2"/>
  <c r="A317" i="2"/>
  <c r="A94" i="2"/>
  <c r="AH347" i="3"/>
  <c r="A374" i="2" s="1"/>
  <c r="A223" i="2"/>
  <c r="A414" i="2"/>
  <c r="A234" i="2"/>
  <c r="AH219" i="3"/>
  <c r="A222" i="2" s="1"/>
  <c r="A305" i="2"/>
  <c r="A225" i="2"/>
  <c r="A442" i="2"/>
  <c r="A35" i="2"/>
  <c r="A197" i="2"/>
  <c r="AH338" i="3"/>
  <c r="A355" i="2" s="1"/>
  <c r="A206" i="2"/>
  <c r="A268" i="2"/>
  <c r="A209" i="2"/>
  <c r="AH445" i="3"/>
  <c r="A472" i="2" s="1"/>
  <c r="AH204" i="3"/>
  <c r="A231" i="2" s="1"/>
  <c r="A289" i="2"/>
  <c r="A116" i="2"/>
  <c r="A28" i="2"/>
  <c r="A111" i="2"/>
  <c r="A150" i="2"/>
  <c r="A423" i="2"/>
  <c r="A332" i="2"/>
  <c r="A25" i="2"/>
  <c r="AH464" i="3"/>
  <c r="A101" i="2"/>
  <c r="A247" i="2"/>
  <c r="A303" i="2"/>
  <c r="A373" i="2"/>
  <c r="A79" i="2"/>
  <c r="A37" i="2"/>
  <c r="A334" i="2"/>
  <c r="A325" i="2"/>
  <c r="A343" i="2"/>
  <c r="A284" i="2"/>
  <c r="A420" i="2"/>
  <c r="A499" i="2"/>
  <c r="A195" i="2"/>
  <c r="A371" i="2"/>
  <c r="A69" i="2"/>
  <c r="A476" i="2"/>
  <c r="A155" i="2"/>
  <c r="A311" i="2"/>
  <c r="A335" i="2"/>
  <c r="A55" i="2"/>
  <c r="A185" i="2"/>
  <c r="A228" i="2"/>
  <c r="A233" i="2"/>
  <c r="AH172" i="3"/>
  <c r="A199" i="2" s="1"/>
  <c r="A359" i="2"/>
  <c r="A381" i="2"/>
  <c r="A413" i="2"/>
  <c r="A255" i="2"/>
  <c r="A353" i="2"/>
  <c r="A330" i="2"/>
  <c r="A66" i="2"/>
  <c r="A40" i="2"/>
  <c r="A489" i="2"/>
  <c r="A363" i="2"/>
  <c r="A451" i="2"/>
  <c r="A297" i="2"/>
  <c r="A96" i="2"/>
  <c r="AH467" i="3"/>
  <c r="A470" i="2" s="1"/>
  <c r="A388" i="2"/>
  <c r="AH282" i="3"/>
  <c r="A309" i="2" s="1"/>
  <c r="A349" i="2"/>
  <c r="A293" i="2"/>
  <c r="A41" i="2"/>
  <c r="A169" i="2"/>
  <c r="A370" i="2"/>
  <c r="A187" i="2"/>
  <c r="A172" i="2"/>
  <c r="AH441" i="3"/>
  <c r="A468" i="2" s="1"/>
  <c r="A286" i="2"/>
  <c r="A392" i="2"/>
  <c r="A188" i="2"/>
  <c r="A462" i="2"/>
  <c r="A266" i="2"/>
  <c r="A243" i="2"/>
  <c r="A161" i="2"/>
  <c r="A294" i="2"/>
  <c r="A219" i="2"/>
  <c r="A196" i="2"/>
  <c r="A398" i="2"/>
  <c r="A145" i="2"/>
  <c r="A304" i="2"/>
  <c r="A461" i="2"/>
  <c r="AD522" i="3"/>
  <c r="AH36" i="3"/>
  <c r="A77" i="2" s="1"/>
  <c r="AH248" i="3"/>
  <c r="A251" i="2" s="1"/>
  <c r="AD523" i="3"/>
  <c r="AH523" i="3" s="1"/>
  <c r="A140" i="2" s="1"/>
  <c r="B140" i="2"/>
  <c r="AH235" i="3"/>
  <c r="A262" i="2" s="1"/>
  <c r="AH210" i="3"/>
  <c r="A237" i="2" s="1"/>
  <c r="AH68" i="3"/>
  <c r="AH165" i="3"/>
  <c r="A192" i="2" s="1"/>
  <c r="C137" i="2"/>
  <c r="AH299" i="3"/>
  <c r="A326" i="2" s="1"/>
  <c r="AD521" i="3"/>
  <c r="AH521" i="3" s="1"/>
  <c r="A136" i="2" s="1"/>
  <c r="B136" i="2"/>
  <c r="AE502" i="3"/>
  <c r="AH502" i="3" s="1"/>
  <c r="C18" i="2"/>
  <c r="AD513" i="3"/>
  <c r="B137" i="2"/>
  <c r="AH127" i="3"/>
  <c r="A154" i="2" s="1"/>
  <c r="AH213" i="3"/>
  <c r="A240" i="2" s="1"/>
  <c r="AE13" i="3"/>
  <c r="AH13" i="3" s="1"/>
  <c r="C15" i="2"/>
  <c r="C138" i="2"/>
  <c r="AE522" i="3"/>
  <c r="AE504" i="3"/>
  <c r="C121" i="2"/>
  <c r="AD519" i="3"/>
  <c r="B132" i="2"/>
  <c r="AD8" i="3"/>
  <c r="B9" i="2"/>
  <c r="AE510" i="3"/>
  <c r="C130" i="2"/>
  <c r="AE6" i="3"/>
  <c r="C7" i="2"/>
  <c r="AE509" i="3"/>
  <c r="C128" i="2"/>
  <c r="AE11" i="3"/>
  <c r="C13" i="2"/>
  <c r="AD510" i="3"/>
  <c r="B130" i="2"/>
  <c r="AD517" i="3"/>
  <c r="B142" i="2"/>
  <c r="AE516" i="3"/>
  <c r="C141" i="2"/>
  <c r="AD501" i="3"/>
  <c r="B12" i="2"/>
  <c r="AE514" i="3"/>
  <c r="C139" i="2"/>
  <c r="AE5" i="3"/>
  <c r="C6" i="2"/>
  <c r="H13" i="1"/>
  <c r="AD503" i="3"/>
  <c r="H12" i="1"/>
  <c r="H11" i="1"/>
  <c r="B120" i="2"/>
  <c r="H14" i="1"/>
  <c r="H10" i="1"/>
  <c r="AE4" i="3"/>
  <c r="C5" i="2"/>
  <c r="AE519" i="3"/>
  <c r="C132" i="2"/>
  <c r="AD6" i="3"/>
  <c r="B7" i="2"/>
  <c r="AD509" i="3"/>
  <c r="B128" i="2"/>
  <c r="AD11" i="3"/>
  <c r="B13" i="2"/>
  <c r="AE518" i="3"/>
  <c r="C129" i="2"/>
  <c r="AD515" i="3"/>
  <c r="B122" i="2"/>
  <c r="AE12" i="3"/>
  <c r="C14" i="2"/>
  <c r="AD9" i="3"/>
  <c r="B10" i="2"/>
  <c r="AE8" i="3"/>
  <c r="C9" i="2"/>
  <c r="AE520" i="3"/>
  <c r="C134" i="2"/>
  <c r="AE505" i="3"/>
  <c r="C123" i="2"/>
  <c r="AE10" i="3"/>
  <c r="C11" i="2"/>
  <c r="AE7" i="3"/>
  <c r="C8" i="2"/>
  <c r="AD518" i="3"/>
  <c r="B129" i="2"/>
  <c r="AD3" i="3"/>
  <c r="B125" i="2"/>
  <c r="AE14" i="3"/>
  <c r="AH14" i="3" s="1"/>
  <c r="A16" i="2" s="1"/>
  <c r="C16" i="2"/>
  <c r="AE515" i="3"/>
  <c r="C122" i="2"/>
  <c r="AE501" i="3"/>
  <c r="C12" i="2"/>
  <c r="AE503" i="3"/>
  <c r="C120" i="2"/>
  <c r="AE9" i="3"/>
  <c r="C10" i="2"/>
  <c r="AD514" i="3"/>
  <c r="B139" i="2"/>
  <c r="AD12" i="3"/>
  <c r="B14" i="2"/>
  <c r="AD4" i="3"/>
  <c r="B5" i="2"/>
  <c r="AE506" i="3"/>
  <c r="C124" i="2"/>
  <c r="AD520" i="3"/>
  <c r="B134" i="2"/>
  <c r="AD506" i="3"/>
  <c r="B124" i="2"/>
  <c r="AD505" i="3"/>
  <c r="B123" i="2"/>
  <c r="AD10" i="3"/>
  <c r="B11" i="2"/>
  <c r="AD7" i="3"/>
  <c r="B8" i="2"/>
  <c r="AE508" i="3"/>
  <c r="C127" i="2"/>
  <c r="AD2" i="3"/>
  <c r="B131" i="2"/>
  <c r="AD511" i="3"/>
  <c r="B133" i="2"/>
  <c r="AE507" i="3"/>
  <c r="C126" i="2"/>
  <c r="AD507" i="3"/>
  <c r="B126" i="2"/>
  <c r="AD516" i="3"/>
  <c r="B141" i="2"/>
  <c r="AD504" i="3"/>
  <c r="B121" i="2"/>
  <c r="AD5" i="3"/>
  <c r="B6" i="2"/>
  <c r="AE500" i="3"/>
  <c r="AH500" i="3" s="1"/>
  <c r="C19" i="2"/>
  <c r="AE2" i="3"/>
  <c r="C131" i="2"/>
  <c r="AE511" i="3"/>
  <c r="C133" i="2"/>
  <c r="AE517" i="3"/>
  <c r="C142" i="2"/>
  <c r="AE3" i="3"/>
  <c r="C125" i="2"/>
  <c r="AD508" i="3"/>
  <c r="B127" i="2"/>
  <c r="A87" i="2" l="1"/>
  <c r="AH516" i="3"/>
  <c r="A18" i="2"/>
  <c r="A238" i="2"/>
  <c r="A112" i="2"/>
  <c r="A78" i="2"/>
  <c r="A63" i="2"/>
  <c r="A74" i="2"/>
  <c r="A351" i="2"/>
  <c r="A455" i="2"/>
  <c r="A49" i="2"/>
  <c r="A441" i="2"/>
  <c r="A393" i="2"/>
  <c r="A207" i="2"/>
  <c r="A369" i="2"/>
  <c r="A83" i="2"/>
  <c r="A395" i="2"/>
  <c r="A98" i="2"/>
  <c r="A341" i="2"/>
  <c r="A401" i="2"/>
  <c r="A147" i="2"/>
  <c r="A357" i="2"/>
  <c r="A453" i="2"/>
  <c r="A491" i="2"/>
  <c r="A93" i="2"/>
  <c r="A439" i="2"/>
  <c r="A350" i="2"/>
  <c r="A193" i="2"/>
  <c r="A444" i="2"/>
  <c r="A474" i="2"/>
  <c r="A394" i="2"/>
  <c r="A497" i="2"/>
  <c r="A43" i="2"/>
  <c r="AH507" i="3"/>
  <c r="A417" i="2"/>
  <c r="A337" i="2"/>
  <c r="A108" i="2"/>
  <c r="A478" i="2"/>
  <c r="A104" i="2"/>
  <c r="A348" i="2"/>
  <c r="A91" i="2"/>
  <c r="A227" i="2"/>
  <c r="A70" i="2"/>
  <c r="A186" i="2"/>
  <c r="A485" i="2"/>
  <c r="A249" i="2"/>
  <c r="A119" i="2"/>
  <c r="A179" i="2"/>
  <c r="A64" i="2"/>
  <c r="A218" i="2"/>
  <c r="A149" i="2"/>
  <c r="A256" i="2"/>
  <c r="A204" i="2"/>
  <c r="A109" i="2"/>
  <c r="A372" i="2"/>
  <c r="A313" i="2"/>
  <c r="A405" i="2"/>
  <c r="A306" i="2"/>
  <c r="A164" i="2"/>
  <c r="A224" i="2"/>
  <c r="A378" i="2"/>
  <c r="A361" i="2"/>
  <c r="A261" i="2"/>
  <c r="A54" i="2"/>
  <c r="AH8" i="3"/>
  <c r="A299" i="2"/>
  <c r="A364" i="2"/>
  <c r="A156" i="2"/>
  <c r="A182" i="2"/>
  <c r="A221" i="2"/>
  <c r="A92" i="2"/>
  <c r="A252" i="2"/>
  <c r="A173" i="2"/>
  <c r="A167" i="2"/>
  <c r="A375" i="2"/>
  <c r="A275" i="2"/>
  <c r="A265" i="2"/>
  <c r="A15" i="2"/>
  <c r="A189" i="2"/>
  <c r="A53" i="2"/>
  <c r="A481" i="2"/>
  <c r="A264" i="2"/>
  <c r="A424" i="2"/>
  <c r="A99" i="2"/>
  <c r="A73" i="2"/>
  <c r="A71" i="2"/>
  <c r="A144" i="2"/>
  <c r="A246" i="2"/>
  <c r="A448" i="2"/>
  <c r="AH7" i="3"/>
  <c r="AH513" i="3"/>
  <c r="A137" i="2" s="1"/>
  <c r="A56" i="2"/>
  <c r="A153" i="2"/>
  <c r="A285" i="2"/>
  <c r="A85" i="2"/>
  <c r="AH12" i="3"/>
  <c r="A14" i="2" s="1"/>
  <c r="AH519" i="3"/>
  <c r="A132" i="2" s="1"/>
  <c r="A302" i="2"/>
  <c r="A367" i="2"/>
  <c r="A216" i="2"/>
  <c r="A410" i="2"/>
  <c r="A494" i="2"/>
  <c r="A458" i="2"/>
  <c r="AH11" i="3"/>
  <c r="A13" i="2" s="1"/>
  <c r="A159" i="2"/>
  <c r="A175" i="2"/>
  <c r="A467" i="2"/>
  <c r="A213" i="2"/>
  <c r="A44" i="2"/>
  <c r="A250" i="2"/>
  <c r="A168" i="2"/>
  <c r="A214" i="2"/>
  <c r="A176" i="2"/>
  <c r="A160" i="2"/>
  <c r="A217" i="2"/>
  <c r="A445" i="2"/>
  <c r="A365" i="2"/>
  <c r="A342" i="2"/>
  <c r="A19" i="2"/>
  <c r="A208" i="2"/>
  <c r="AH504" i="3"/>
  <c r="A507" i="2" s="1"/>
  <c r="AH515" i="3"/>
  <c r="A503" i="2" s="1"/>
  <c r="A86" i="2"/>
  <c r="A239" i="2"/>
  <c r="A45" i="2"/>
  <c r="AH503" i="3"/>
  <c r="AH5" i="3"/>
  <c r="AH522" i="3"/>
  <c r="AH501" i="3"/>
  <c r="A12" i="2" s="1"/>
  <c r="AH505" i="3"/>
  <c r="AH509" i="3"/>
  <c r="A512" i="2" s="1"/>
  <c r="AH510" i="3"/>
  <c r="AH4" i="3"/>
  <c r="AH10" i="3"/>
  <c r="AH517" i="3"/>
  <c r="AH511" i="3"/>
  <c r="AH6" i="3"/>
  <c r="A7" i="2" s="1"/>
  <c r="AH514" i="3"/>
  <c r="A526" i="2" s="1"/>
  <c r="AH506" i="3"/>
  <c r="AH518" i="3"/>
  <c r="AH9" i="3"/>
  <c r="A10" i="2" s="1"/>
  <c r="AH3" i="3"/>
  <c r="AH508" i="3"/>
  <c r="AH2" i="3"/>
  <c r="AH520" i="3"/>
  <c r="A523" i="2" s="1"/>
  <c r="A141" i="2" l="1"/>
  <c r="A518" i="2"/>
  <c r="A126" i="2"/>
  <c r="A11" i="2"/>
  <c r="A8" i="2"/>
  <c r="A522" i="2"/>
  <c r="A521" i="2"/>
  <c r="A9" i="2"/>
  <c r="A124" i="2"/>
  <c r="A510" i="2"/>
  <c r="A120" i="2"/>
  <c r="A504" i="2"/>
  <c r="A133" i="2"/>
  <c r="A519" i="2"/>
  <c r="A125" i="2"/>
  <c r="A511" i="2"/>
  <c r="A123" i="2"/>
  <c r="A509" i="2"/>
  <c r="A138" i="2"/>
  <c r="A524" i="2"/>
  <c r="A142" i="2"/>
  <c r="A508" i="2"/>
  <c r="A127" i="2"/>
  <c r="A513" i="2"/>
  <c r="A128" i="2"/>
  <c r="A514" i="2"/>
  <c r="A129" i="2"/>
  <c r="A515" i="2"/>
  <c r="A6" i="2"/>
  <c r="A139" i="2"/>
  <c r="A525" i="2"/>
  <c r="A134" i="2"/>
  <c r="A520" i="2"/>
  <c r="A5" i="2"/>
  <c r="A122" i="2"/>
  <c r="A506" i="2"/>
  <c r="A131" i="2"/>
  <c r="A517" i="2"/>
  <c r="A130" i="2"/>
  <c r="A516" i="2"/>
  <c r="A121" i="2"/>
  <c r="A505" i="2"/>
</calcChain>
</file>

<file path=xl/sharedStrings.xml><?xml version="1.0" encoding="utf-8"?>
<sst xmlns="http://schemas.openxmlformats.org/spreadsheetml/2006/main" count="14950" uniqueCount="1955">
  <si>
    <t>Work Queue</t>
  </si>
  <si>
    <t>Sort by Sort Score ascending. Source Rank keeps Google Maps and directory contacts below direct CRM/list contacts.</t>
  </si>
  <si>
    <t>Sort Score</t>
  </si>
  <si>
    <t>Next Action</t>
  </si>
  <si>
    <t>Priority</t>
  </si>
  <si>
    <t>Source Rank</t>
  </si>
  <si>
    <t>Source Type</t>
  </si>
  <si>
    <t>Client Name</t>
  </si>
  <si>
    <t>Tea Garden</t>
  </si>
  <si>
    <t>WhatsApp Number</t>
  </si>
  <si>
    <t>Delivery</t>
  </si>
  <si>
    <t>Reply</t>
  </si>
  <si>
    <t>Clicked</t>
  </si>
  <si>
    <t>Demo</t>
  </si>
  <si>
    <t>Follow-up Due</t>
  </si>
  <si>
    <t>Verification</t>
  </si>
  <si>
    <t>Notes</t>
  </si>
  <si>
    <t>WhatsApp Campaign Dashboard</t>
  </si>
  <si>
    <t>Face + Weight Rs. 499 campaign tracker for GardenSuite. Update statuses in the WhatsApp Tracker tab.</t>
  </si>
  <si>
    <t>Total leads</t>
  </si>
  <si>
    <t>Send list</t>
  </si>
  <si>
    <t>Sent</t>
  </si>
  <si>
    <t>Interested</t>
  </si>
  <si>
    <t>Demo booked</t>
  </si>
  <si>
    <t>Follow-up due</t>
  </si>
  <si>
    <t>Bad or check no.</t>
  </si>
  <si>
    <t>Send Funnel</t>
  </si>
  <si>
    <t>Reply Breakdown</t>
  </si>
  <si>
    <t>Action Queue</t>
  </si>
  <si>
    <t>Status</t>
  </si>
  <si>
    <t>Count</t>
  </si>
  <si>
    <t>Not sent</t>
  </si>
  <si>
    <t>No reply</t>
  </si>
  <si>
    <t>Send WhatsApp</t>
  </si>
  <si>
    <t>Replied</t>
  </si>
  <si>
    <t>Send follow-up</t>
  </si>
  <si>
    <t>Delivered</t>
  </si>
  <si>
    <t>Prepare demo</t>
  </si>
  <si>
    <t>Read</t>
  </si>
  <si>
    <t>Review</t>
  </si>
  <si>
    <t>Failed</t>
  </si>
  <si>
    <t>Not interested</t>
  </si>
  <si>
    <t>Do not send</t>
  </si>
  <si>
    <t>Recommended WhatsApp message</t>
  </si>
  <si>
    <t>Face attendance + leaf weight for tea gardens.
Starts from Rs. 499/month.*
https://gardensuite.in/w/face-weight-499</t>
  </si>
  <si>
    <t>Color key</t>
  </si>
  <si>
    <t>Good / positive</t>
  </si>
  <si>
    <t>Pending / action needed</t>
  </si>
  <si>
    <t>Problem / stop</t>
  </si>
  <si>
    <t>In progress / response</t>
  </si>
  <si>
    <t>Lead ID</t>
  </si>
  <si>
    <t>Workers</t>
  </si>
  <si>
    <t>Original CRM Status</t>
  </si>
  <si>
    <t>Original Next Follow-up</t>
  </si>
  <si>
    <t>Created</t>
  </si>
  <si>
    <t>Original Remarks</t>
  </si>
  <si>
    <t>Extra Note</t>
  </si>
  <si>
    <t>Phone OK</t>
  </si>
  <si>
    <t>Send Decision</t>
  </si>
  <si>
    <t>Campaign</t>
  </si>
  <si>
    <t>Message Variant</t>
  </si>
  <si>
    <t>Image/Preview</t>
  </si>
  <si>
    <t>Share Link</t>
  </si>
  <si>
    <t>First Sent Date</t>
  </si>
  <si>
    <t>Sent By</t>
  </si>
  <si>
    <t>Delivery Status</t>
  </si>
  <si>
    <t>Reply Status</t>
  </si>
  <si>
    <t>Clicked Link</t>
  </si>
  <si>
    <t>Demo Call Status</t>
  </si>
  <si>
    <t>Follow-up Sent Date</t>
  </si>
  <si>
    <t>Final Outcome</t>
  </si>
  <si>
    <t>Owner</t>
  </si>
  <si>
    <t>Campaign Notes</t>
  </si>
  <si>
    <t>Work Rank</t>
  </si>
  <si>
    <t>Priority Rank</t>
  </si>
  <si>
    <t>Delivery Rank</t>
  </si>
  <si>
    <t>Reply Rank</t>
  </si>
  <si>
    <t>Last Touch</t>
  </si>
  <si>
    <t>Follow-up State</t>
  </si>
  <si>
    <t>Data Source</t>
  </si>
  <si>
    <t>WA Check Link</t>
  </si>
  <si>
    <t>WA Check Status</t>
  </si>
  <si>
    <t>WA Checked At</t>
  </si>
  <si>
    <t>WA Check Notes</t>
  </si>
  <si>
    <t>GSW005</t>
  </si>
  <si>
    <t>Mahesh shah</t>
  </si>
  <si>
    <t>Bagrodia  Plantation</t>
  </si>
  <si>
    <t>8011017498</t>
  </si>
  <si>
    <t>Negotiation</t>
  </si>
  <si>
    <t xml:space="preserve"> call pending</t>
  </si>
  <si>
    <t>Face + Weight Rs. 499 WhatsApp</t>
  </si>
  <si>
    <t>Price hook</t>
  </si>
  <si>
    <t>Price v4</t>
  </si>
  <si>
    <t>https://gardensuite.in/w/face-weight-499</t>
  </si>
  <si>
    <t>Unknown</t>
  </si>
  <si>
    <t>Not offered</t>
  </si>
  <si>
    <t>Open</t>
  </si>
  <si>
    <t>Original CRM</t>
  </si>
  <si>
    <t>Original CRM/manual campaign tracker</t>
  </si>
  <si>
    <t>Existing CRM lead</t>
  </si>
  <si>
    <t>https://wa.me/918011017498</t>
  </si>
  <si>
    <t>Login required</t>
  </si>
  <si>
    <t>WhatsApp Web login required, scan QR and rerun</t>
  </si>
  <si>
    <t>GSW034</t>
  </si>
  <si>
    <t xml:space="preserve">Topojit Bagchi </t>
  </si>
  <si>
    <t>Phukenbari T. E</t>
  </si>
  <si>
    <t>7002398813</t>
  </si>
  <si>
    <t>NOT WHATSAPP NO</t>
  </si>
  <si>
    <t>https://wa.me/917002398813</t>
  </si>
  <si>
    <t>GSW035</t>
  </si>
  <si>
    <t xml:space="preserve">Shanta Prasad Chakrabraty </t>
  </si>
  <si>
    <t>Tarinipur Tea Estate</t>
  </si>
  <si>
    <t>9435033506</t>
  </si>
  <si>
    <t>pending</t>
  </si>
  <si>
    <t>https://wa.me/919435033506</t>
  </si>
  <si>
    <t>GSW036</t>
  </si>
  <si>
    <t>Nalin Khemani</t>
  </si>
  <si>
    <t>jitlibari tea estate</t>
  </si>
  <si>
    <t>9435030679</t>
  </si>
  <si>
    <t>https://wa.me/919435030679</t>
  </si>
  <si>
    <t>GSW004</t>
  </si>
  <si>
    <t>Rajesh Goenka</t>
  </si>
  <si>
    <t>jai hanuman tea co pvt .ltd</t>
  </si>
  <si>
    <t>9435033780</t>
  </si>
  <si>
    <t>not interested</t>
  </si>
  <si>
    <t>call tomorrow 4 pm</t>
  </si>
  <si>
    <t>https://wa.me/919435033780</t>
  </si>
  <si>
    <t>Unchecked</t>
  </si>
  <si>
    <t>GSW010</t>
  </si>
  <si>
    <t xml:space="preserve">Gourab Khemani </t>
  </si>
  <si>
    <t>Assam Tea &amp; Seeds Plantation</t>
  </si>
  <si>
    <t>9435034005</t>
  </si>
  <si>
    <t>https://wa.me/919435034005</t>
  </si>
  <si>
    <t>GSW001</t>
  </si>
  <si>
    <t>Alimur T.E</t>
  </si>
  <si>
    <t>9085525377</t>
  </si>
  <si>
    <t>call pending</t>
  </si>
  <si>
    <t>https://wa.me/919085525377</t>
  </si>
  <si>
    <t>GSW002</t>
  </si>
  <si>
    <t>Durgapur T.E</t>
  </si>
  <si>
    <t>8638867855</t>
  </si>
  <si>
    <t>https://wa.me/918638867855</t>
  </si>
  <si>
    <t>GSW003</t>
  </si>
  <si>
    <t>Chawdang T.E</t>
  </si>
  <si>
    <t>7002029001</t>
  </si>
  <si>
    <t>https://wa.me/917002029001</t>
  </si>
  <si>
    <t>GSW006</t>
  </si>
  <si>
    <t>Sarojini Tea Company P.V.T L.MD</t>
  </si>
  <si>
    <t>p baruah</t>
  </si>
  <si>
    <t>7002483957</t>
  </si>
  <si>
    <t>https://wa.me/917002483957</t>
  </si>
  <si>
    <t>GSW007</t>
  </si>
  <si>
    <t>Kheremia T.E</t>
  </si>
  <si>
    <t>9435035801</t>
  </si>
  <si>
    <t>no response</t>
  </si>
  <si>
    <t>send details on whatsapp</t>
  </si>
  <si>
    <t>https://wa.me/919435035801</t>
  </si>
  <si>
    <t>GSW008</t>
  </si>
  <si>
    <t xml:space="preserve">Kothalguri T.E </t>
  </si>
  <si>
    <t>8876321148</t>
  </si>
  <si>
    <t>https://wa.me/918876321148</t>
  </si>
  <si>
    <t>GSW009</t>
  </si>
  <si>
    <t>Balimara T.E</t>
  </si>
  <si>
    <t>9435738646</t>
  </si>
  <si>
    <t>https://wa.me/919435738646</t>
  </si>
  <si>
    <t>GSW011</t>
  </si>
  <si>
    <t>pankaj</t>
  </si>
  <si>
    <t>Bharatia T.E</t>
  </si>
  <si>
    <t>9831594993</t>
  </si>
  <si>
    <t>https://wa.me/919831594993</t>
  </si>
  <si>
    <t>GSW012</t>
  </si>
  <si>
    <t xml:space="preserve">Dekhari T.E </t>
  </si>
  <si>
    <t>9101006460</t>
  </si>
  <si>
    <t>INVALID NUMBER</t>
  </si>
  <si>
    <t>https://wa.me/919101006460</t>
  </si>
  <si>
    <t>GSW013</t>
  </si>
  <si>
    <t>Dekhari T.E (mahmora division ) unit 2</t>
  </si>
  <si>
    <t>9435132157</t>
  </si>
  <si>
    <t>https://wa.me/919435132157</t>
  </si>
  <si>
    <t>GSW014</t>
  </si>
  <si>
    <t>Dekhari T.E (ShanShun Tea &amp; Ind. Pvt. Ltd</t>
  </si>
  <si>
    <t>9435473237</t>
  </si>
  <si>
    <t>https://wa.me/919435473237</t>
  </si>
  <si>
    <t>GSW015</t>
  </si>
  <si>
    <t>Dekhari T.E ( unit 1 )</t>
  </si>
  <si>
    <t>6001684868</t>
  </si>
  <si>
    <t>https://wa.me/916001684868</t>
  </si>
  <si>
    <t>GSW016</t>
  </si>
  <si>
    <t>Dekhari T.E ( naharani division ) unit 3 (megha T.E )</t>
  </si>
  <si>
    <t>GSW017</t>
  </si>
  <si>
    <t xml:space="preserve">Duliabari T.E </t>
  </si>
  <si>
    <t>8638784227</t>
  </si>
  <si>
    <t>https://wa.me/918638784227</t>
  </si>
  <si>
    <t>GSW018</t>
  </si>
  <si>
    <t xml:space="preserve">Ghoronia T.E </t>
  </si>
  <si>
    <t>GSW019</t>
  </si>
  <si>
    <t>Hatijan T.E</t>
  </si>
  <si>
    <t>9365634055</t>
  </si>
  <si>
    <t>https://wa.me/919365634055</t>
  </si>
  <si>
    <t>GSW020</t>
  </si>
  <si>
    <t>Jutiabam T.E</t>
  </si>
  <si>
    <t>6002218979</t>
  </si>
  <si>
    <t>https://wa.me/916002218979</t>
  </si>
  <si>
    <t>GSW021</t>
  </si>
  <si>
    <t xml:space="preserve">Ahmedy </t>
  </si>
  <si>
    <t xml:space="preserve">Diroibam T.E </t>
  </si>
  <si>
    <t>8402061666</t>
  </si>
  <si>
    <t>https://wa.me/918402061666</t>
  </si>
  <si>
    <t>GSW022</t>
  </si>
  <si>
    <t>Kabir T.E</t>
  </si>
  <si>
    <t>8638926153</t>
  </si>
  <si>
    <t>https://wa.me/918638926153</t>
  </si>
  <si>
    <t>GSW023</t>
  </si>
  <si>
    <t>Longboi T.E</t>
  </si>
  <si>
    <t>9395637154</t>
  </si>
  <si>
    <t>https://wa.me/919395637154</t>
  </si>
  <si>
    <t>GSW024</t>
  </si>
  <si>
    <t>Bijlibari T.E</t>
  </si>
  <si>
    <t>8133949296</t>
  </si>
  <si>
    <t>https://wa.me/918133949296</t>
  </si>
  <si>
    <t>GSW025</t>
  </si>
  <si>
    <t>Madhuting T.E</t>
  </si>
  <si>
    <t>GSW026</t>
  </si>
  <si>
    <t xml:space="preserve">Mayajan T.E </t>
  </si>
  <si>
    <t>8876426227</t>
  </si>
  <si>
    <t>https://wa.me/918876426227</t>
  </si>
  <si>
    <t>GSW027</t>
  </si>
  <si>
    <t xml:space="preserve">Manoj Kunja T.E </t>
  </si>
  <si>
    <t>GSW028</t>
  </si>
  <si>
    <t>Mohan kumar Goenka</t>
  </si>
  <si>
    <t>athkhola</t>
  </si>
  <si>
    <t>GSW029</t>
  </si>
  <si>
    <t xml:space="preserve">Mohabirbari T.E  UNIT 2 </t>
  </si>
  <si>
    <t>6000522700</t>
  </si>
  <si>
    <t>call not connected</t>
  </si>
  <si>
    <t>https://wa.me/916000522700</t>
  </si>
  <si>
    <t>GSW030</t>
  </si>
  <si>
    <t>Mohabirbari T.E  unit 1</t>
  </si>
  <si>
    <t>GSW031</t>
  </si>
  <si>
    <t>Mothola T.E</t>
  </si>
  <si>
    <t>9435476099</t>
  </si>
  <si>
    <t>https://wa.me/919435476099</t>
  </si>
  <si>
    <t>GSW032</t>
  </si>
  <si>
    <t>Parbotipur T.E</t>
  </si>
  <si>
    <t>9706793269</t>
  </si>
  <si>
    <t>https://wa.me/919706793269</t>
  </si>
  <si>
    <t>GSW033</t>
  </si>
  <si>
    <t>Anandbari tea estate</t>
  </si>
  <si>
    <t>GSW037</t>
  </si>
  <si>
    <t xml:space="preserve">Duliabam T.E </t>
  </si>
  <si>
    <t>7002037389</t>
  </si>
  <si>
    <t>https://wa.me/917002037389</t>
  </si>
  <si>
    <t>GSW038</t>
  </si>
  <si>
    <t xml:space="preserve">Ghograjan T.E </t>
  </si>
  <si>
    <t>7002833087</t>
  </si>
  <si>
    <t>https://wa.me/917002833087</t>
  </si>
  <si>
    <t>GSW039</t>
  </si>
  <si>
    <t>Amulguri T.E.</t>
  </si>
  <si>
    <t>8011322474</t>
  </si>
  <si>
    <t>Imported - High</t>
  </si>
  <si>
    <t>Direct estate number list; Generated garden export. District: Dibrugarh State: Assam; Original personal number. Phone type: Other. In original list: Yes</t>
  </si>
  <si>
    <t>Source: Tea Estates number required.xlsx::Sheet1; dibrugarh.xlsx::Gardens; test_export.xlsx::Gardens; tea_estate_contacts_v2.xlsx::All Contacts; tea_estate_contacts.xlsx::Estate Contacts; Email: halmari@amarawatitea.com; msharma@amarawatitea.com; soham@amarawatitea.com</t>
  </si>
  <si>
    <t>Send</t>
  </si>
  <si>
    <t>Imported from extract_garden. Confidence: High. Direct estate number list; Generated garden export. District: Dibrugarh State: Assam; Original personal number. Phone type: Other. In original list: Yes</t>
  </si>
  <si>
    <t>Google Maps</t>
  </si>
  <si>
    <t>Google Maps enrichment</t>
  </si>
  <si>
    <t>Lower priority: Maps result cannot be verified without manual check</t>
  </si>
  <si>
    <t>https://wa.me/918011322474</t>
  </si>
  <si>
    <t>GSW040</t>
  </si>
  <si>
    <t>Ananada Bari T.E.</t>
  </si>
  <si>
    <t>6000437772</t>
  </si>
  <si>
    <t>Direct estate number list; Generated garden export. District: Dibrugarh State: Assam; Original personal number. Phone type: Landline (Dibrugarh). In original list: Yes</t>
  </si>
  <si>
    <t>Source: Tea Estates number required.xlsx::Sheet1; dibrugarh.xlsx::Gardens; test_export.xlsx::Gardens; tea_estate_contacts_v2.xlsx::All Contacts; tea_estate_contacts.xlsx::Estate Contacts</t>
  </si>
  <si>
    <t>Imported from extract_garden. Confidence: High. Direct estate number list; Generated garden export. District: Dibrugarh State: Assam; Original personal number. Phone type: Landline (Dibrugarh). In original list: Yes</t>
  </si>
  <si>
    <t>https://wa.me/916000437772</t>
  </si>
  <si>
    <t>GSW041</t>
  </si>
  <si>
    <t>Aparna T.E.</t>
  </si>
  <si>
    <t>9435035462</t>
  </si>
  <si>
    <t>https://wa.me/919435035462</t>
  </si>
  <si>
    <t>GSW042</t>
  </si>
  <si>
    <t>Asitpur T.E.</t>
  </si>
  <si>
    <t>9954446448</t>
  </si>
  <si>
    <t>https://wa.me/919954446448</t>
  </si>
  <si>
    <t>GSW043</t>
  </si>
  <si>
    <t>Bipinbag T.E.</t>
  </si>
  <si>
    <t>6901259873</t>
  </si>
  <si>
    <t>https://wa.me/916901259873</t>
  </si>
  <si>
    <t>GSW044</t>
  </si>
  <si>
    <t>Dekhari T.E. (Mahmora Division Unit II)</t>
  </si>
  <si>
    <t>9435132151</t>
  </si>
  <si>
    <t>Direct estate number list; Generated garden export. District: Dibrugarh State: Assam; Original personal number. Phone type: . In original list: Yes</t>
  </si>
  <si>
    <t>Imported from extract_garden. Confidence: High. Direct estate number list; Generated garden export. District: Dibrugarh State: Assam; Original personal number. Phone type: . In original list: Yes</t>
  </si>
  <si>
    <t>https://wa.me/919435132151</t>
  </si>
  <si>
    <t>GSW045</t>
  </si>
  <si>
    <t>Dinjan T.E.</t>
  </si>
  <si>
    <t>9954440448</t>
  </si>
  <si>
    <t>https://wa.me/919954440448</t>
  </si>
  <si>
    <t>GSW046</t>
  </si>
  <si>
    <t>Dulia T.E.</t>
  </si>
  <si>
    <t>9435030754</t>
  </si>
  <si>
    <t>Direct estate number list; Generated garden export. District: Dibrugarh State: Assam; Original personal number. Phone type: . In original list: Yes; Original personal number. Phone type: Landline (Dibrugarh). In original list: Yes</t>
  </si>
  <si>
    <t>Imported from extract_garden. Confidence: High. Direct estate number list; Generated garden export. District: Dibrugarh State: Assam; Original personal number. Phone type: . In original list: Yes; Original personal number. Phone type: Landline (Dibrugarh). In original list: Yes</t>
  </si>
  <si>
    <t>https://wa.me/919435030754</t>
  </si>
  <si>
    <t>GSW047</t>
  </si>
  <si>
    <t>Duliabari T.E. (B)</t>
  </si>
  <si>
    <t>9854028014</t>
  </si>
  <si>
    <t>https://wa.me/919854028014</t>
  </si>
  <si>
    <t>GSW048</t>
  </si>
  <si>
    <t>Ghoronia T.E.</t>
  </si>
  <si>
    <t>8638281523</t>
  </si>
  <si>
    <t>https://wa.me/918638281523</t>
  </si>
  <si>
    <t>GSW049</t>
  </si>
  <si>
    <t>Harishpur T.E.</t>
  </si>
  <si>
    <t>8486071764</t>
  </si>
  <si>
    <t>https://wa.me/918486071764</t>
  </si>
  <si>
    <t>GSW050</t>
  </si>
  <si>
    <t>Ida T.E.</t>
  </si>
  <si>
    <t>9365878796</t>
  </si>
  <si>
    <t>https://wa.me/919365878796</t>
  </si>
  <si>
    <t>GSW051</t>
  </si>
  <si>
    <t>Jalan Nagar T.E. (S)</t>
  </si>
  <si>
    <t>9435031397</t>
  </si>
  <si>
    <t>https://wa.me/919435031397</t>
  </si>
  <si>
    <t>GSW052</t>
  </si>
  <si>
    <t>Kaliapani T.E.</t>
  </si>
  <si>
    <t>7002201299</t>
  </si>
  <si>
    <t>https://wa.me/917002201299</t>
  </si>
  <si>
    <t>GSW053</t>
  </si>
  <si>
    <t>L. K. Tea Company Pvt. Ltd.</t>
  </si>
  <si>
    <t>9101799542</t>
  </si>
  <si>
    <t>https://wa.me/919101799542</t>
  </si>
  <si>
    <t>GSW054</t>
  </si>
  <si>
    <t>Madhuban T.E.</t>
  </si>
  <si>
    <t>9707897688</t>
  </si>
  <si>
    <t>https://wa.me/919707897688</t>
  </si>
  <si>
    <t>GSW055</t>
  </si>
  <si>
    <t>Moud Tea &amp; Seed Co. Ltd.</t>
  </si>
  <si>
    <t>9613282165</t>
  </si>
  <si>
    <t>https://wa.me/919613282165</t>
  </si>
  <si>
    <t>GSW056</t>
  </si>
  <si>
    <t>Phukanbari T.E.</t>
  </si>
  <si>
    <t>9706719317</t>
  </si>
  <si>
    <t>https://wa.me/919706719317</t>
  </si>
  <si>
    <t>GSW057</t>
  </si>
  <si>
    <t>Piparatoli T.E.</t>
  </si>
  <si>
    <t>9435393443</t>
  </si>
  <si>
    <t>https://wa.me/919435393443</t>
  </si>
  <si>
    <t>GSW058</t>
  </si>
  <si>
    <t>Prabhat T.E.</t>
  </si>
  <si>
    <t>9954430589</t>
  </si>
  <si>
    <t>https://wa.me/919954430589</t>
  </si>
  <si>
    <t>GSW059</t>
  </si>
  <si>
    <t>Rukong T.E.</t>
  </si>
  <si>
    <t>7002829252</t>
  </si>
  <si>
    <t>https://wa.me/917002829252</t>
  </si>
  <si>
    <t>GSW060</t>
  </si>
  <si>
    <t>Sadasiva T.E.</t>
  </si>
  <si>
    <t>9435031577</t>
  </si>
  <si>
    <t>Direct estate number list; Generated garden export. District: Dibrugarh State: Assam; Original personal number. Phone type: Landline (Dibrugarh). In original list: Yes; Parsed from Assam Tea Directory row, verify before sending</t>
  </si>
  <si>
    <t>Source: Tea Estates number required.xlsx::Sheet1; dibrugarh.xlsx::Gardens; test_export.xlsx::Gardens; tea_estate_contacts_v2.xlsx::All Contacts; tea_estate_contacts.xlsx::Estate Contacts; Tea-Directory-Assam.xls::Worksheet</t>
  </si>
  <si>
    <t>Imported from extract_garden. Confidence: High. Direct estate number list; Generated garden export. District: Dibrugarh State: Assam; Original personal number. Phone type: Landline (Dibrugarh). In original list: Yes; Parsed from Assam Tea Directory row, verify before sending</t>
  </si>
  <si>
    <t>https://wa.me/919435031577</t>
  </si>
  <si>
    <t>GSW061</t>
  </si>
  <si>
    <t>Santi T.E.</t>
  </si>
  <si>
    <t>9101469254</t>
  </si>
  <si>
    <t>https://wa.me/919101469254</t>
  </si>
  <si>
    <t>GSW062</t>
  </si>
  <si>
    <t>Satishpur T.E.</t>
  </si>
  <si>
    <t>7003122250</t>
  </si>
  <si>
    <t>https://wa.me/917003122250</t>
  </si>
  <si>
    <t>GSW063</t>
  </si>
  <si>
    <t>Satkarter T.E.</t>
  </si>
  <si>
    <t>9435033023</t>
  </si>
  <si>
    <t>https://wa.me/919435033023</t>
  </si>
  <si>
    <t>GSW064</t>
  </si>
  <si>
    <t>Satyanarayana T.E.</t>
  </si>
  <si>
    <t>8011018074</t>
  </si>
  <si>
    <t>https://wa.me/918011018074</t>
  </si>
  <si>
    <t>GSW065</t>
  </si>
  <si>
    <t>Suraj T.E.</t>
  </si>
  <si>
    <t>9401129574</t>
  </si>
  <si>
    <t>https://wa.me/919401129574</t>
  </si>
  <si>
    <t>GSW066</t>
  </si>
  <si>
    <t>Triveni T.E.</t>
  </si>
  <si>
    <t>9435532002</t>
  </si>
  <si>
    <t>https://wa.me/919435532002</t>
  </si>
  <si>
    <t>GSW067</t>
  </si>
  <si>
    <t>Udalguri T.E.</t>
  </si>
  <si>
    <t>9954447408</t>
  </si>
  <si>
    <t>https://wa.me/919954447408</t>
  </si>
  <si>
    <t>GSW068</t>
  </si>
  <si>
    <t>Homestay by the Tea Garden, Dibrugarh</t>
  </si>
  <si>
    <t>Ahmedy T.E.</t>
  </si>
  <si>
    <t>9899997370</t>
  </si>
  <si>
    <t>Imported - Medium</t>
  </si>
  <si>
    <t>Google Maps phone. Phone type: Other. In original list: No; Google Maps phone. Phone type: Other. In original list: Yes</t>
  </si>
  <si>
    <t>Source: tea_estate_contacts_v2.xlsx::All Contacts; tea_estate_contacts.xlsx::Estate Contacts</t>
  </si>
  <si>
    <t>Imported from extract_garden. Confidence: Medium. Google Maps phone. Phone type: Other. In original list: No; Google Maps phone. Phone type: Other. In original list: Yes</t>
  </si>
  <si>
    <t>https://wa.me/919899997370</t>
  </si>
  <si>
    <t>GSW069</t>
  </si>
  <si>
    <t>ALIMUR SWEETS</t>
  </si>
  <si>
    <t>Alimur T.E.</t>
  </si>
  <si>
    <t>8011162497</t>
  </si>
  <si>
    <t>Google Maps phone. Phone type: Other. In original list: Yes</t>
  </si>
  <si>
    <t>Imported from extract_garden. Confidence: Medium. Google Maps phone. Phone type: Other. In original list: Yes</t>
  </si>
  <si>
    <t>https://wa.me/918011162497</t>
  </si>
  <si>
    <t>GSW070</t>
  </si>
  <si>
    <t>APARNA STORE</t>
  </si>
  <si>
    <t>9395836442</t>
  </si>
  <si>
    <t>https://wa.me/919395836442</t>
  </si>
  <si>
    <t>GSW071</t>
  </si>
  <si>
    <t>Mancotta Tea Estate Garden</t>
  </si>
  <si>
    <t>9395331162</t>
  </si>
  <si>
    <t>Google Maps phone. Phone type: Other. In original list: Yes; Google Maps phone. Phone type: Other. In original list: No</t>
  </si>
  <si>
    <t>Imported from extract_garden. Confidence: Medium. Google Maps phone. Phone type: Other. In original list: Yes; Google Maps phone. Phone type: Other. In original list: No</t>
  </si>
  <si>
    <t>https://wa.me/919395331162</t>
  </si>
  <si>
    <t>GSW072</t>
  </si>
  <si>
    <t>Assam Tea Machineries</t>
  </si>
  <si>
    <t>Assam Tea &amp; Tea Seeds Plantation</t>
  </si>
  <si>
    <t>9435032131</t>
  </si>
  <si>
    <t>https://wa.me/919435032131</t>
  </si>
  <si>
    <t>GSW073</t>
  </si>
  <si>
    <t>Balijan noth Tea Factory</t>
  </si>
  <si>
    <t>Balijan (North) T.E</t>
  </si>
  <si>
    <t>9780992400</t>
  </si>
  <si>
    <t>Google Maps phone. Phone type: Other. In original list: No</t>
  </si>
  <si>
    <t>Imported from extract_garden. Confidence: Medium. Google Maps phone. Phone type: Other. In original list: No</t>
  </si>
  <si>
    <t>https://wa.me/919780992400</t>
  </si>
  <si>
    <t>GSW074</t>
  </si>
  <si>
    <t>Bochapathar Tea Estate</t>
  </si>
  <si>
    <t>Bochapathar T.E.</t>
  </si>
  <si>
    <t>9435131803</t>
  </si>
  <si>
    <t>https://wa.me/919435131803</t>
  </si>
  <si>
    <t>GSW075</t>
  </si>
  <si>
    <t>BRINDABAN Real-estate Consultancy</t>
  </si>
  <si>
    <t>Brindaban T.E.</t>
  </si>
  <si>
    <t>8133947096</t>
  </si>
  <si>
    <t>https://wa.me/918133947096</t>
  </si>
  <si>
    <t>GSW076</t>
  </si>
  <si>
    <t>Bajrang Timbers</t>
  </si>
  <si>
    <t>Bajrang T.E.</t>
  </si>
  <si>
    <t>7086048927</t>
  </si>
  <si>
    <t>https://wa.me/917086048927</t>
  </si>
  <si>
    <t>GSW077</t>
  </si>
  <si>
    <t>M/s. Dhelia &amp; Son's- Ultratech Cement</t>
  </si>
  <si>
    <t>Dhelia T.E.</t>
  </si>
  <si>
    <t>9854679574</t>
  </si>
  <si>
    <t>https://wa.me/919854679574</t>
  </si>
  <si>
    <t>GSW078</t>
  </si>
  <si>
    <t>HARISHPUR TEA ESTATE</t>
  </si>
  <si>
    <t>8011017408</t>
  </si>
  <si>
    <t>https://wa.me/918011017408</t>
  </si>
  <si>
    <t>GSW079</t>
  </si>
  <si>
    <t>Karangani Tea Factory</t>
  </si>
  <si>
    <t>Karangani T.E.</t>
  </si>
  <si>
    <t>9435031926</t>
  </si>
  <si>
    <t>https://wa.me/919435031926</t>
  </si>
  <si>
    <t>GSW080</t>
  </si>
  <si>
    <t>Madhuban Dibrugarh Home Stay /মধুবন হোম ষ্টে</t>
  </si>
  <si>
    <t>7002475029</t>
  </si>
  <si>
    <t>https://wa.me/917002475029</t>
  </si>
  <si>
    <t>GSW081</t>
  </si>
  <si>
    <t>Maijan Factory</t>
  </si>
  <si>
    <t>Maijan T.E.</t>
  </si>
  <si>
    <t>8099787964</t>
  </si>
  <si>
    <t>https://wa.me/918099787964</t>
  </si>
  <si>
    <t>GSW082</t>
  </si>
  <si>
    <t>Mukul Cable</t>
  </si>
  <si>
    <t>Mukul T.E.</t>
  </si>
  <si>
    <t>9859349447</t>
  </si>
  <si>
    <t>https://wa.me/919859349447</t>
  </si>
  <si>
    <t>GSW083</t>
  </si>
  <si>
    <t>Harishpur Tea Estate, Namrup</t>
  </si>
  <si>
    <t>Namrup T.E.</t>
  </si>
  <si>
    <t>6003018224</t>
  </si>
  <si>
    <t>https://wa.me/916003018224</t>
  </si>
  <si>
    <t>GSW084</t>
  </si>
  <si>
    <t>Narayanpur Tea Estate</t>
  </si>
  <si>
    <t>Narayan T.E.</t>
  </si>
  <si>
    <t>8003020021</t>
  </si>
  <si>
    <t>https://wa.me/918003020021</t>
  </si>
  <si>
    <t>GSW085</t>
  </si>
  <si>
    <t>Phoenix</t>
  </si>
  <si>
    <t>Phoenix Tea &amp; Agril. Firm</t>
  </si>
  <si>
    <t>9101772783</t>
  </si>
  <si>
    <t>https://wa.me/919101772783</t>
  </si>
  <si>
    <t>GSW086</t>
  </si>
  <si>
    <t>Prabhat Associates</t>
  </si>
  <si>
    <t>8473089763</t>
  </si>
  <si>
    <t>https://wa.me/918473089763</t>
  </si>
  <si>
    <t>GSW087</t>
  </si>
  <si>
    <t>PRADIP STORE</t>
  </si>
  <si>
    <t>Pradip T.E.</t>
  </si>
  <si>
    <t>6003871124</t>
  </si>
  <si>
    <t>https://wa.me/916003871124</t>
  </si>
  <si>
    <t>GSW088</t>
  </si>
  <si>
    <t>Prakash Restaurant</t>
  </si>
  <si>
    <t>Prakash T.E.</t>
  </si>
  <si>
    <t>9435476777</t>
  </si>
  <si>
    <t>https://wa.me/919435476777</t>
  </si>
  <si>
    <t>GSW089</t>
  </si>
  <si>
    <t>Rungliting Tea Factory</t>
  </si>
  <si>
    <t>Rungliting T.E.</t>
  </si>
  <si>
    <t>8822934910</t>
  </si>
  <si>
    <t>https://wa.me/918822934910</t>
  </si>
  <si>
    <t>GSW090</t>
  </si>
  <si>
    <t>Sainagar Tea Estate</t>
  </si>
  <si>
    <t>Sainagar T.E.</t>
  </si>
  <si>
    <t>9706823415</t>
  </si>
  <si>
    <t>https://wa.me/919706823415</t>
  </si>
  <si>
    <t>GSW091</t>
  </si>
  <si>
    <t>SURAJ FAST FOOD</t>
  </si>
  <si>
    <t>8135975507</t>
  </si>
  <si>
    <t>https://wa.me/918135975507</t>
  </si>
  <si>
    <t>GSW092</t>
  </si>
  <si>
    <t>Tingkhong Tea Estate</t>
  </si>
  <si>
    <t>Tingkhong T.E.</t>
  </si>
  <si>
    <t>8453061345</t>
  </si>
  <si>
    <t>https://wa.me/918453061345</t>
  </si>
  <si>
    <t>GSW093</t>
  </si>
  <si>
    <t>TRIVENI MEDICOS</t>
  </si>
  <si>
    <t>9954269166</t>
  </si>
  <si>
    <t>https://wa.me/919954269166</t>
  </si>
  <si>
    <t>GSW094</t>
  </si>
  <si>
    <t>DUSKIN Homestay with tea garden view, Dibrugarh</t>
  </si>
  <si>
    <t>[DISCOVERED] DUSKIN Homestay with tea garden view, Dibrugarh</t>
  </si>
  <si>
    <t>8876449550</t>
  </si>
  <si>
    <t>Google Maps phone. Phone type: Other. In original list: Discovered</t>
  </si>
  <si>
    <t>Source: tea_estate_contacts_v2.xlsx::All Contacts</t>
  </si>
  <si>
    <t>Imported from extract_garden. Confidence: Medium. Google Maps phone. Phone type: Other. In original list: Discovered</t>
  </si>
  <si>
    <t>https://wa.me/918876449550</t>
  </si>
  <si>
    <t>GSW095</t>
  </si>
  <si>
    <t>Good Rich Tea Co. Pvt Ltd</t>
  </si>
  <si>
    <t>[DISCOVERED] Good Rich Tea Co. Pvt Ltd</t>
  </si>
  <si>
    <t>9435033382</t>
  </si>
  <si>
    <t>https://wa.me/919435033382</t>
  </si>
  <si>
    <t>GSW096</t>
  </si>
  <si>
    <t>HORUJAN TEA COMPANY</t>
  </si>
  <si>
    <t>[DISCOVERED] HORUJAN TEA COMPANY</t>
  </si>
  <si>
    <t>9435037318</t>
  </si>
  <si>
    <t>https://wa.me/919435037318</t>
  </si>
  <si>
    <t>GSW097</t>
  </si>
  <si>
    <t>Heritage Tea Centre</t>
  </si>
  <si>
    <t>[DISCOVERED] Heritage Tea Centre</t>
  </si>
  <si>
    <t>8011972301</t>
  </si>
  <si>
    <t>https://wa.me/918011972301</t>
  </si>
  <si>
    <t>GSW098</t>
  </si>
  <si>
    <t>Hotel Tea County</t>
  </si>
  <si>
    <t>[DISCOVERED] Hotel Tea County</t>
  </si>
  <si>
    <t>7086061222</t>
  </si>
  <si>
    <t>Source: tea_estate_contacts_v2.xlsx::All Contacts; Email: name@example.com</t>
  </si>
  <si>
    <t>https://wa.me/917086061222</t>
  </si>
  <si>
    <t>GSW099</t>
  </si>
  <si>
    <t>Manohari The Tea Retreat</t>
  </si>
  <si>
    <t>[DISCOVERED] Manohari The Tea Retreat</t>
  </si>
  <si>
    <t>9706052244</t>
  </si>
  <si>
    <t>https://wa.me/919706052244</t>
  </si>
  <si>
    <t>GSW100</t>
  </si>
  <si>
    <t>Namroop Tea Factory</t>
  </si>
  <si>
    <t>[DISCOVERED] Namroop Tea Factory</t>
  </si>
  <si>
    <t>9365475668</t>
  </si>
  <si>
    <t>https://wa.me/919365475668</t>
  </si>
  <si>
    <t>GSW101</t>
  </si>
  <si>
    <t>S. K. Tea Company</t>
  </si>
  <si>
    <t>[DISCOVERED] S. K. Tea Company</t>
  </si>
  <si>
    <t>9706669220</t>
  </si>
  <si>
    <t>https://wa.me/919706669220</t>
  </si>
  <si>
    <t>GSW102</t>
  </si>
  <si>
    <t>BAJRANGPUR</t>
  </si>
  <si>
    <t>9435466431</t>
  </si>
  <si>
    <t>Parsed from text block in email/telephone workbook; Parsed from Assam Tea Directory row, verify before sending</t>
  </si>
  <si>
    <t>Source: email assam.dooars teaestate.xlsx::Small Assam Gardens Emails; Tea-Directory-Assam.xls::Worksheet</t>
  </si>
  <si>
    <t>Imported from extract_garden. Confidence: Medium. Parsed from text block in email/telephone workbook; Parsed from Assam Tea Directory row, verify before sending</t>
  </si>
  <si>
    <t>Email workbook</t>
  </si>
  <si>
    <t>Email/telephone workbook</t>
  </si>
  <si>
    <t>Medium confidence, parsed from text block</t>
  </si>
  <si>
    <t>https://wa.me/919435466431</t>
  </si>
  <si>
    <t>GSW103</t>
  </si>
  <si>
    <t>BOLOMA</t>
  </si>
  <si>
    <t>9864259703</t>
  </si>
  <si>
    <t>Source: email assam.dooars teaestate.xlsx::Small Assam Gardens Emails; Tea-Directory-Assam.xls::Worksheet; Email: bokaholajorhat@gmail.com; bokaholajorhat@gmail.com</t>
  </si>
  <si>
    <t>https://wa.me/919864259703</t>
  </si>
  <si>
    <t>GSW104</t>
  </si>
  <si>
    <t>GOLAGHAT</t>
  </si>
  <si>
    <t>9207042162</t>
  </si>
  <si>
    <t>Source: email assam.dooars teaestate.xlsx::Small Assam Gardens Emails; Tea-Directory-Assam.xls::Worksheet; Email: jallangolaghat@gmail.com; jallangolaghat@gmail.com</t>
  </si>
  <si>
    <t>https://wa.me/919207042162</t>
  </si>
  <si>
    <t>GSW105</t>
  </si>
  <si>
    <t>KAMARBAND</t>
  </si>
  <si>
    <t>9954473013</t>
  </si>
  <si>
    <t>https://wa.me/919954473013</t>
  </si>
  <si>
    <t>GSW106</t>
  </si>
  <si>
    <t>KANJIBARI</t>
  </si>
  <si>
    <t>9435131842</t>
  </si>
  <si>
    <t>https://wa.me/919435131842</t>
  </si>
  <si>
    <t>GSW107</t>
  </si>
  <si>
    <t>LAKHIPORE</t>
  </si>
  <si>
    <t>9435147841</t>
  </si>
  <si>
    <t>https://wa.me/919435147841</t>
  </si>
  <si>
    <t>GSW108</t>
  </si>
  <si>
    <t>MAIJONGA</t>
  </si>
  <si>
    <t>9864310254</t>
  </si>
  <si>
    <t>Source: email assam.dooars teaestate.xlsx::Small Assam Gardens Emails; Tea-Directory-Assam.xls::Worksheet; Email: nowalrn123@rediffmail.com</t>
  </si>
  <si>
    <t>https://wa.me/919864310254</t>
  </si>
  <si>
    <t>GSW109</t>
  </si>
  <si>
    <t>MANIKNAGAR</t>
  </si>
  <si>
    <t>9435885390</t>
  </si>
  <si>
    <t>https://wa.me/919435885390</t>
  </si>
  <si>
    <t>GSW110</t>
  </si>
  <si>
    <t>9435076569</t>
  </si>
  <si>
    <t>https://wa.me/919435076569</t>
  </si>
  <si>
    <t>GSW111</t>
  </si>
  <si>
    <t>NILGIRI</t>
  </si>
  <si>
    <t>9435023914</t>
  </si>
  <si>
    <t>https://wa.me/919435023914</t>
  </si>
  <si>
    <t>GSW112</t>
  </si>
  <si>
    <t>RAJARAMPORE</t>
  </si>
  <si>
    <t>9760002071</t>
  </si>
  <si>
    <t>https://wa.me/919760002071</t>
  </si>
  <si>
    <t>GSW113</t>
  </si>
  <si>
    <t>RANGCHALLI</t>
  </si>
  <si>
    <t>9435536240</t>
  </si>
  <si>
    <t>Source: email assam.dooars teaestate.xlsx::Small Assam Gardens Emails; Tea-Directory-Assam.xls::Worksheet; Email: prokanta@gmail.com; bokaholajorhat@gmail.com</t>
  </si>
  <si>
    <t>https://wa.me/919435536240</t>
  </si>
  <si>
    <t>GSW114</t>
  </si>
  <si>
    <t>9435149115</t>
  </si>
  <si>
    <t>https://wa.me/919435149115</t>
  </si>
  <si>
    <t>GSW115</t>
  </si>
  <si>
    <t>SATKARTAR</t>
  </si>
  <si>
    <t>9402676939</t>
  </si>
  <si>
    <t>https://wa.me/919402676939</t>
  </si>
  <si>
    <t>GSW116</t>
  </si>
  <si>
    <t>9435736180</t>
  </si>
  <si>
    <t>https://wa.me/919435736180</t>
  </si>
  <si>
    <t>GSW117</t>
  </si>
  <si>
    <t>SOONITPUR</t>
  </si>
  <si>
    <t>9435092701</t>
  </si>
  <si>
    <t>Source: email assam.dooars teaestate.xlsx::Small Assam Gardens Emails; Tea-Directory-Assam.xls::Worksheet; Email: hazarika_amitabh@rediffmail.co</t>
  </si>
  <si>
    <t>https://wa.me/919435092701</t>
  </si>
  <si>
    <t>GSW118</t>
  </si>
  <si>
    <t>SREEKONA</t>
  </si>
  <si>
    <t>9954968627</t>
  </si>
  <si>
    <t>https://wa.me/919954968627</t>
  </si>
  <si>
    <t>GSW119</t>
  </si>
  <si>
    <t>9435071111</t>
  </si>
  <si>
    <t>https://wa.me/919435071111</t>
  </si>
  <si>
    <t>GSW120</t>
  </si>
  <si>
    <t>TILOTTAMA</t>
  </si>
  <si>
    <t>9435153309</t>
  </si>
  <si>
    <t>https://wa.me/919435153309</t>
  </si>
  <si>
    <t>GSW121</t>
  </si>
  <si>
    <t>TIRUAL</t>
  </si>
  <si>
    <t>9435108511</t>
  </si>
  <si>
    <t>Source: email assam.dooars teaestate.xlsx::Small Assam Gardens Emails; Tea-Directory-Assam.xls::Worksheet; Email: arrohontravels@sify.com; arrohontravels@sify.com</t>
  </si>
  <si>
    <t>https://wa.me/919435108511</t>
  </si>
  <si>
    <t>GSW122</t>
  </si>
  <si>
    <t>BAMUNIBARI</t>
  </si>
  <si>
    <t>9401625864</t>
  </si>
  <si>
    <t>https://wa.me/919401625864</t>
  </si>
  <si>
    <t>GSW123</t>
  </si>
  <si>
    <t>9706708840</t>
  </si>
  <si>
    <t>https://wa.me/919706708840</t>
  </si>
  <si>
    <t>GSW124</t>
  </si>
  <si>
    <t>DEVENDRA</t>
  </si>
  <si>
    <t>9435035579</t>
  </si>
  <si>
    <t>Source: email assam.dooars teaestate.xlsx::Small Assam Gardens Emails; Tea-Directory-Assam.xls::Worksheet; Email: sumitagarwaltsa@yahoo.co.in</t>
  </si>
  <si>
    <t>https://wa.me/919435035579</t>
  </si>
  <si>
    <t>GSW125</t>
  </si>
  <si>
    <t>HIMALAYA</t>
  </si>
  <si>
    <t>9435731854</t>
  </si>
  <si>
    <t>https://wa.me/919435731854</t>
  </si>
  <si>
    <t>GSW126</t>
  </si>
  <si>
    <t>NEETINNAGAR</t>
  </si>
  <si>
    <t>9435053486</t>
  </si>
  <si>
    <t>Source: email assam.dooars teaestate.xlsx::Small Assam Gardens Emails; Tea-Directory-Assam.xls::Worksheet; Email: neetinnagar@gmail.com</t>
  </si>
  <si>
    <t>https://wa.me/919435053486</t>
  </si>
  <si>
    <t>GSW127</t>
  </si>
  <si>
    <t>PRABHAT</t>
  </si>
  <si>
    <t>9435567873</t>
  </si>
  <si>
    <t>Source: email assam.dooars teaestate.xlsx::Small Assam Gardens Emails; Tea-Directory-Assam.xls::Worksheet; Email: prabhatte@gmail.com; prabhatte@gmail.com</t>
  </si>
  <si>
    <t>https://wa.me/919435567873</t>
  </si>
  <si>
    <t>GSW128</t>
  </si>
  <si>
    <t>9831090900</t>
  </si>
  <si>
    <t>https://wa.me/919831090900</t>
  </si>
  <si>
    <t>GSW129</t>
  </si>
  <si>
    <t>SOTAI</t>
  </si>
  <si>
    <t>9864049079</t>
  </si>
  <si>
    <t>Source: email assam.dooars teaestate.xlsx::Small Assam Gardens Emails; Tea-Directory-Assam.xls::Worksheet; Email: sotaiteaco@rediffmail.com; sotaiteaco@rediffmail.com</t>
  </si>
  <si>
    <t>https://wa.me/919864049079</t>
  </si>
  <si>
    <t>GSW130</t>
  </si>
  <si>
    <t>DALOWJAN</t>
  </si>
  <si>
    <t>9435515703</t>
  </si>
  <si>
    <t>Source: email assam.dooars teaestate.xlsx::Small Assam Gardens Emails; Tea-Directory-Assam.xls::Worksheet; Email: deboshyam_barua@yahoo.com; deboshyam_barua@yahoo.com</t>
  </si>
  <si>
    <t>https://wa.me/919435515703</t>
  </si>
  <si>
    <t>GSW131</t>
  </si>
  <si>
    <t>GREEN VIEW</t>
  </si>
  <si>
    <t>9678053864</t>
  </si>
  <si>
    <t>Source: email assam.dooars teaestate.xlsx::Small Assam Gardens Emails; Tea-Directory-Assam.xls::Worksheet; Email: lakhtokia@gmail.com</t>
  </si>
  <si>
    <t>https://wa.me/919678053864</t>
  </si>
  <si>
    <t>GSW132</t>
  </si>
  <si>
    <t>9678053082</t>
  </si>
  <si>
    <t>https://wa.me/919678053082</t>
  </si>
  <si>
    <t>GSW133</t>
  </si>
  <si>
    <t>HARISHPUR</t>
  </si>
  <si>
    <t>9435030713</t>
  </si>
  <si>
    <t>Source: email assam.dooars teaestate.xlsx::Small Assam Gardens Emails; Tea-Directory-Assam.xls::Worksheet; Email: harishpur_tea@rediffmail.com; harishpur_tea@rediffmail.com</t>
  </si>
  <si>
    <t>https://wa.me/919435030713</t>
  </si>
  <si>
    <t>GSW134</t>
  </si>
  <si>
    <t>MOTHOLA</t>
  </si>
  <si>
    <t>9435032117</t>
  </si>
  <si>
    <t>https://wa.me/919435032117</t>
  </si>
  <si>
    <t>GSW135</t>
  </si>
  <si>
    <t>RADHABARI</t>
  </si>
  <si>
    <t>9954471732</t>
  </si>
  <si>
    <t>https://wa.me/919954471732</t>
  </si>
  <si>
    <t>GSW136</t>
  </si>
  <si>
    <t>9435052701</t>
  </si>
  <si>
    <t>https://wa.me/919435052701</t>
  </si>
  <si>
    <t>GSW137</t>
  </si>
  <si>
    <t>SONARIE</t>
  </si>
  <si>
    <t>9954526126</t>
  </si>
  <si>
    <t>Source: email assam.dooars teaestate.xlsx::Small Assam Gardens Emails; Tea-Directory-Assam.xls::Worksheet; Email: sonari@satyam.net.in; sonari@satyam.net.in</t>
  </si>
  <si>
    <t>https://wa.me/919954526126</t>
  </si>
  <si>
    <t>GSW138</t>
  </si>
  <si>
    <t>9707015809</t>
  </si>
  <si>
    <t>https://wa.me/919707015809</t>
  </si>
  <si>
    <t>GSW139</t>
  </si>
  <si>
    <t>1</t>
  </si>
  <si>
    <t>9508382398</t>
  </si>
  <si>
    <t>Imported - Low</t>
  </si>
  <si>
    <t>Parsed from Assam Tea Directory row, verify before sending</t>
  </si>
  <si>
    <t>Source: Tea-Directory-Assam.xls::Worksheet</t>
  </si>
  <si>
    <t>Hold</t>
  </si>
  <si>
    <t>Imported from extract_garden. Confidence: Low. Parsed from Assam Tea Directory row, verify before sending</t>
  </si>
  <si>
    <t>Assam Tea Directory</t>
  </si>
  <si>
    <t>Parsed directory row</t>
  </si>
  <si>
    <t>Low confidence: verify before sending</t>
  </si>
  <si>
    <t>https://wa.me/919508382398</t>
  </si>
  <si>
    <t>GSW140</t>
  </si>
  <si>
    <t>9435053511</t>
  </si>
  <si>
    <t>https://wa.me/919435053511</t>
  </si>
  <si>
    <t>GSW141</t>
  </si>
  <si>
    <t>Sl. Name of the Estate, and Address Regd. No. Status of the Total area Area unde</t>
  </si>
  <si>
    <t>9957172140</t>
  </si>
  <si>
    <t>https://wa.me/919957172140</t>
  </si>
  <si>
    <t>GSW142</t>
  </si>
  <si>
    <t>(grant area) reported by 2010 as during 2010</t>
  </si>
  <si>
    <t>9859939161</t>
  </si>
  <si>
    <t>https://wa.me/919859939161</t>
  </si>
  <si>
    <t>GSW143</t>
  </si>
  <si>
    <t>2 ASHOOBAG* 2723 Partnership 11.64 11.56 35202 0 ITA SUBHASH KUMAR BHARTIA SUBHA</t>
  </si>
  <si>
    <t>9678001792</t>
  </si>
  <si>
    <t>https://wa.me/919678001792</t>
  </si>
  <si>
    <t>GSW144</t>
  </si>
  <si>
    <t>39</t>
  </si>
  <si>
    <t>9435376259</t>
  </si>
  <si>
    <t>https://wa.me/919435376259</t>
  </si>
  <si>
    <t>GSW145</t>
  </si>
  <si>
    <t>ASSAM. C SIVSAGAR, ASSAM. SIVSAGAR, ASSAM.</t>
  </si>
  <si>
    <t>9435134066</t>
  </si>
  <si>
    <t>https://wa.me/919435134066</t>
  </si>
  <si>
    <t>GSW146</t>
  </si>
  <si>
    <t>58</t>
  </si>
  <si>
    <t>9831815555</t>
  </si>
  <si>
    <t>https://wa.me/919831815555</t>
  </si>
  <si>
    <t>GSW147</t>
  </si>
  <si>
    <t>81</t>
  </si>
  <si>
    <t>9830040025</t>
  </si>
  <si>
    <t>https://wa.me/919830040025</t>
  </si>
  <si>
    <t>GSW148</t>
  </si>
  <si>
    <t>117</t>
  </si>
  <si>
    <t>9830038969</t>
  </si>
  <si>
    <t>https://wa.me/919830038969</t>
  </si>
  <si>
    <t>GSW149</t>
  </si>
  <si>
    <t>143</t>
  </si>
  <si>
    <t>9435035779</t>
  </si>
  <si>
    <t>https://wa.me/919435035779</t>
  </si>
  <si>
    <t>GSW150</t>
  </si>
  <si>
    <t>213</t>
  </si>
  <si>
    <t>9435030526</t>
  </si>
  <si>
    <t>https://wa.me/919435030526</t>
  </si>
  <si>
    <t>GSW151</t>
  </si>
  <si>
    <t>233</t>
  </si>
  <si>
    <t>9435017972</t>
  </si>
  <si>
    <t>https://wa.me/919435017972</t>
  </si>
  <si>
    <t>GSW152</t>
  </si>
  <si>
    <t>290</t>
  </si>
  <si>
    <t>9954477332</t>
  </si>
  <si>
    <t>https://wa.me/919954477332</t>
  </si>
  <si>
    <t>GSW153</t>
  </si>
  <si>
    <t>Imported contact</t>
  </si>
  <si>
    <t>9830040029</t>
  </si>
  <si>
    <t>https://wa.me/919830040029</t>
  </si>
  <si>
    <t>GSW154</t>
  </si>
  <si>
    <t>9435136563</t>
  </si>
  <si>
    <t>https://wa.me/919435136563</t>
  </si>
  <si>
    <t>GSW155</t>
  </si>
  <si>
    <t>9831011765</t>
  </si>
  <si>
    <t>https://wa.me/919831011765</t>
  </si>
  <si>
    <t>GSW156</t>
  </si>
  <si>
    <t>9435333314</t>
  </si>
  <si>
    <t>https://wa.me/919435333314</t>
  </si>
  <si>
    <t>GSW157</t>
  </si>
  <si>
    <t>9435158668</t>
  </si>
  <si>
    <t>https://wa.me/919435158668</t>
  </si>
  <si>
    <t>GSW158</t>
  </si>
  <si>
    <t>9954498848</t>
  </si>
  <si>
    <t>https://wa.me/919954498848</t>
  </si>
  <si>
    <t>GSW159</t>
  </si>
  <si>
    <t>9836343222</t>
  </si>
  <si>
    <t>https://wa.me/919836343222</t>
  </si>
  <si>
    <t>GSW160</t>
  </si>
  <si>
    <t>9435173033</t>
  </si>
  <si>
    <t>https://wa.me/919435173033</t>
  </si>
  <si>
    <t>GSW161</t>
  </si>
  <si>
    <t>9435184537</t>
  </si>
  <si>
    <t>https://wa.me/919435184537</t>
  </si>
  <si>
    <t>GSW162</t>
  </si>
  <si>
    <t>9830250055</t>
  </si>
  <si>
    <t>https://wa.me/919830250055</t>
  </si>
  <si>
    <t>GSW163</t>
  </si>
  <si>
    <t>9435465363</t>
  </si>
  <si>
    <t>https://wa.me/919435465363</t>
  </si>
  <si>
    <t>GSW164</t>
  </si>
  <si>
    <t>ASSAM</t>
  </si>
  <si>
    <t>9435095930</t>
  </si>
  <si>
    <t>https://wa.me/919435095930</t>
  </si>
  <si>
    <t>GSW165</t>
  </si>
  <si>
    <t>9435180144</t>
  </si>
  <si>
    <t>https://wa.me/919435180144</t>
  </si>
  <si>
    <t>GSW166</t>
  </si>
  <si>
    <t>9435079915</t>
  </si>
  <si>
    <t>https://wa.me/919435079915</t>
  </si>
  <si>
    <t>GSW167</t>
  </si>
  <si>
    <t>7399882662</t>
  </si>
  <si>
    <t>https://wa.me/917399882662</t>
  </si>
  <si>
    <t>GSW168</t>
  </si>
  <si>
    <t>9435010774</t>
  </si>
  <si>
    <t>https://wa.me/919435010774</t>
  </si>
  <si>
    <t>GSW169</t>
  </si>
  <si>
    <t>9435026844</t>
  </si>
  <si>
    <t>https://wa.me/919435026844</t>
  </si>
  <si>
    <t>GSW170</t>
  </si>
  <si>
    <t>9830019050</t>
  </si>
  <si>
    <t>https://wa.me/919830019050</t>
  </si>
  <si>
    <t>GSW171</t>
  </si>
  <si>
    <t>9954229915</t>
  </si>
  <si>
    <t>https://wa.me/919954229915</t>
  </si>
  <si>
    <t>GSW172</t>
  </si>
  <si>
    <t>9435158600</t>
  </si>
  <si>
    <t>https://wa.me/919435158600</t>
  </si>
  <si>
    <t>GSW173</t>
  </si>
  <si>
    <t>9954215784</t>
  </si>
  <si>
    <t>https://wa.me/919954215784</t>
  </si>
  <si>
    <t>GSW174</t>
  </si>
  <si>
    <t>9435525015</t>
  </si>
  <si>
    <t>https://wa.me/919435525015</t>
  </si>
  <si>
    <t>GSW175</t>
  </si>
  <si>
    <t>9435139980</t>
  </si>
  <si>
    <t>https://wa.me/919435139980</t>
  </si>
  <si>
    <t>GSW176</t>
  </si>
  <si>
    <t>9954499218</t>
  </si>
  <si>
    <t>https://wa.me/919954499218</t>
  </si>
  <si>
    <t>GSW177</t>
  </si>
  <si>
    <t>9435151646</t>
  </si>
  <si>
    <t>https://wa.me/919435151646</t>
  </si>
  <si>
    <t>GSW178</t>
  </si>
  <si>
    <t>9435032280</t>
  </si>
  <si>
    <t>https://wa.me/919435032280</t>
  </si>
  <si>
    <t>GSW179</t>
  </si>
  <si>
    <t>9435092011</t>
  </si>
  <si>
    <t>https://wa.me/919435092011</t>
  </si>
  <si>
    <t>GSW180</t>
  </si>
  <si>
    <t>9854307994</t>
  </si>
  <si>
    <t>https://wa.me/919854307994</t>
  </si>
  <si>
    <t>GSW181</t>
  </si>
  <si>
    <t>9435279922</t>
  </si>
  <si>
    <t>https://wa.me/919435279922</t>
  </si>
  <si>
    <t>GSW182</t>
  </si>
  <si>
    <t>9435178511</t>
  </si>
  <si>
    <t>https://wa.me/919435178511</t>
  </si>
  <si>
    <t>GSW183</t>
  </si>
  <si>
    <t>9678797326</t>
  </si>
  <si>
    <t>https://wa.me/919678797326</t>
  </si>
  <si>
    <t>GSW184</t>
  </si>
  <si>
    <t>OUPHULIACHARIALI, DIST: CO</t>
  </si>
  <si>
    <t>9831171005</t>
  </si>
  <si>
    <t>https://wa.me/919831171005</t>
  </si>
  <si>
    <t>GSW185</t>
  </si>
  <si>
    <t>9854178350</t>
  </si>
  <si>
    <t>https://wa.me/919854178350</t>
  </si>
  <si>
    <t>GSW186</t>
  </si>
  <si>
    <t>9435170877</t>
  </si>
  <si>
    <t>https://wa.me/919435170877</t>
  </si>
  <si>
    <t>GSW187</t>
  </si>
  <si>
    <t>9435134829</t>
  </si>
  <si>
    <t>https://wa.me/919435134829</t>
  </si>
  <si>
    <t>GSW188</t>
  </si>
  <si>
    <t>9435532528</t>
  </si>
  <si>
    <t>https://wa.me/919435532528</t>
  </si>
  <si>
    <t>GSW189</t>
  </si>
  <si>
    <t>8011668091</t>
  </si>
  <si>
    <t>https://wa.me/918011668091</t>
  </si>
  <si>
    <t>GSW190</t>
  </si>
  <si>
    <t>9435130842</t>
  </si>
  <si>
    <t>https://wa.me/919435130842</t>
  </si>
  <si>
    <t>GSW191</t>
  </si>
  <si>
    <t>9435335860</t>
  </si>
  <si>
    <t>https://wa.me/919435335860</t>
  </si>
  <si>
    <t>GSW192</t>
  </si>
  <si>
    <t>9613852219</t>
  </si>
  <si>
    <t>https://wa.me/919613852219</t>
  </si>
  <si>
    <t>GSW193</t>
  </si>
  <si>
    <t>9435158810</t>
  </si>
  <si>
    <t>https://wa.me/919435158810</t>
  </si>
  <si>
    <t>GSW194</t>
  </si>
  <si>
    <t>9433602746</t>
  </si>
  <si>
    <t>https://wa.me/919433602746</t>
  </si>
  <si>
    <t>GSW195</t>
  </si>
  <si>
    <t>9435053610</t>
  </si>
  <si>
    <t>https://wa.me/919435053610</t>
  </si>
  <si>
    <t>GSW196</t>
  </si>
  <si>
    <t>9435054366</t>
  </si>
  <si>
    <t>https://wa.me/919435054366</t>
  </si>
  <si>
    <t>GSW197</t>
  </si>
  <si>
    <t>9435422512</t>
  </si>
  <si>
    <t>https://wa.me/919435422512</t>
  </si>
  <si>
    <t>GSW198</t>
  </si>
  <si>
    <t>9613732229</t>
  </si>
  <si>
    <t>https://wa.me/919613732229</t>
  </si>
  <si>
    <t>GSW199</t>
  </si>
  <si>
    <t>9435700488</t>
  </si>
  <si>
    <t>https://wa.me/919435700488</t>
  </si>
  <si>
    <t>GSW200</t>
  </si>
  <si>
    <t>9435053849</t>
  </si>
  <si>
    <t>https://wa.me/919435053849</t>
  </si>
  <si>
    <t>GSW201</t>
  </si>
  <si>
    <t>9435051003</t>
  </si>
  <si>
    <t>https://wa.me/919435051003</t>
  </si>
  <si>
    <t>GSW202</t>
  </si>
  <si>
    <t>9435034697</t>
  </si>
  <si>
    <t>https://wa.me/919435034697</t>
  </si>
  <si>
    <t>GSW203</t>
  </si>
  <si>
    <t>9831011767</t>
  </si>
  <si>
    <t>https://wa.me/919831011767</t>
  </si>
  <si>
    <t>GSW204</t>
  </si>
  <si>
    <t>9954180359</t>
  </si>
  <si>
    <t>https://wa.me/919954180359</t>
  </si>
  <si>
    <t>GSW205</t>
  </si>
  <si>
    <t>9435738354</t>
  </si>
  <si>
    <t>https://wa.me/919435738354</t>
  </si>
  <si>
    <t>GSW206</t>
  </si>
  <si>
    <t>9435180336</t>
  </si>
  <si>
    <t>https://wa.me/919435180336</t>
  </si>
  <si>
    <t>GSW207</t>
  </si>
  <si>
    <t>9954651028</t>
  </si>
  <si>
    <t>https://wa.me/919954651028</t>
  </si>
  <si>
    <t>GSW208</t>
  </si>
  <si>
    <t>9435151380</t>
  </si>
  <si>
    <t>https://wa.me/919435151380</t>
  </si>
  <si>
    <t>GSW209</t>
  </si>
  <si>
    <t>9435054516</t>
  </si>
  <si>
    <t>https://wa.me/919435054516</t>
  </si>
  <si>
    <t>GSW210</t>
  </si>
  <si>
    <t>9954232977</t>
  </si>
  <si>
    <t>https://wa.me/919954232977</t>
  </si>
  <si>
    <t>GSW211</t>
  </si>
  <si>
    <t>9436003658</t>
  </si>
  <si>
    <t>https://wa.me/919436003658</t>
  </si>
  <si>
    <t>GSW212</t>
  </si>
  <si>
    <t>8011619836</t>
  </si>
  <si>
    <t>https://wa.me/918011619836</t>
  </si>
  <si>
    <t>GSW213</t>
  </si>
  <si>
    <t>9435139125</t>
  </si>
  <si>
    <t>https://wa.me/919435139125</t>
  </si>
  <si>
    <t>GSW214</t>
  </si>
  <si>
    <t>9957098166</t>
  </si>
  <si>
    <t>https://wa.me/919957098166</t>
  </si>
  <si>
    <t>GSW215</t>
  </si>
  <si>
    <t>9954017410</t>
  </si>
  <si>
    <t>https://wa.me/919954017410</t>
  </si>
  <si>
    <t>GSW216</t>
  </si>
  <si>
    <t>9435011719</t>
  </si>
  <si>
    <t>https://wa.me/919435011719</t>
  </si>
  <si>
    <t>GSW217</t>
  </si>
  <si>
    <t>9954193005</t>
  </si>
  <si>
    <t>https://wa.me/919954193005</t>
  </si>
  <si>
    <t>GSW218</t>
  </si>
  <si>
    <t>9435027121</t>
  </si>
  <si>
    <t>https://wa.me/919435027121</t>
  </si>
  <si>
    <t>GSW219</t>
  </si>
  <si>
    <t>9433006082</t>
  </si>
  <si>
    <t>https://wa.me/919433006082</t>
  </si>
  <si>
    <t>GSW220</t>
  </si>
  <si>
    <t>9435130662</t>
  </si>
  <si>
    <t>https://wa.me/919435130662</t>
  </si>
  <si>
    <t>GSW221</t>
  </si>
  <si>
    <t>9435132727</t>
  </si>
  <si>
    <t>https://wa.me/919435132727</t>
  </si>
  <si>
    <t>GSW222</t>
  </si>
  <si>
    <t>9678382614</t>
  </si>
  <si>
    <t>https://wa.me/919678382614</t>
  </si>
  <si>
    <t>GSW223</t>
  </si>
  <si>
    <t>8011209038</t>
  </si>
  <si>
    <t>https://wa.me/918011209038</t>
  </si>
  <si>
    <t>GSW224</t>
  </si>
  <si>
    <t>9435083817</t>
  </si>
  <si>
    <t>https://wa.me/919435083817</t>
  </si>
  <si>
    <t>GSW225</t>
  </si>
  <si>
    <t>7896367249</t>
  </si>
  <si>
    <t>https://wa.me/917896367249</t>
  </si>
  <si>
    <t>GSW226</t>
  </si>
  <si>
    <t>9954032425</t>
  </si>
  <si>
    <t>https://wa.me/919954032425</t>
  </si>
  <si>
    <t>GSW227</t>
  </si>
  <si>
    <t>9435061129</t>
  </si>
  <si>
    <t>https://wa.me/919435061129</t>
  </si>
  <si>
    <t>GSW228</t>
  </si>
  <si>
    <t>9435054400</t>
  </si>
  <si>
    <t>https://wa.me/919435054400</t>
  </si>
  <si>
    <t>GSW229</t>
  </si>
  <si>
    <t>9854089231</t>
  </si>
  <si>
    <t>https://wa.me/919854089231</t>
  </si>
  <si>
    <t>GSW230</t>
  </si>
  <si>
    <t>9859939182</t>
  </si>
  <si>
    <t>https://wa.me/919859939182</t>
  </si>
  <si>
    <t>GSW231</t>
  </si>
  <si>
    <t>9435182675</t>
  </si>
  <si>
    <t>https://wa.me/919435182675</t>
  </si>
  <si>
    <t>GSW232</t>
  </si>
  <si>
    <t>9435153595</t>
  </si>
  <si>
    <t>https://wa.me/919435153595</t>
  </si>
  <si>
    <t>GSW233</t>
  </si>
  <si>
    <t>9435052233</t>
  </si>
  <si>
    <t>https://wa.me/919435052233</t>
  </si>
  <si>
    <t>GSW234</t>
  </si>
  <si>
    <t>9435666877</t>
  </si>
  <si>
    <t>https://wa.me/919435666877</t>
  </si>
  <si>
    <t>GSW235</t>
  </si>
  <si>
    <t>9435150315</t>
  </si>
  <si>
    <t>https://wa.me/919435150315</t>
  </si>
  <si>
    <t>GSW236</t>
  </si>
  <si>
    <t>9954264263</t>
  </si>
  <si>
    <t>https://wa.me/919954264263</t>
  </si>
  <si>
    <t>GSW237</t>
  </si>
  <si>
    <t>9435050088</t>
  </si>
  <si>
    <t>https://wa.me/919435050088</t>
  </si>
  <si>
    <t>GSW238</t>
  </si>
  <si>
    <t>9436432228</t>
  </si>
  <si>
    <t>https://wa.me/919436432228</t>
  </si>
  <si>
    <t>GSW239</t>
  </si>
  <si>
    <t>9206195637</t>
  </si>
  <si>
    <t>https://wa.me/919206195637</t>
  </si>
  <si>
    <t>GSW240</t>
  </si>
  <si>
    <t>9435079449</t>
  </si>
  <si>
    <t>https://wa.me/919435079449</t>
  </si>
  <si>
    <t>GSW241</t>
  </si>
  <si>
    <t>9435172193</t>
  </si>
  <si>
    <t>https://wa.me/919435172193</t>
  </si>
  <si>
    <t>GSW242</t>
  </si>
  <si>
    <t>9435134212</t>
  </si>
  <si>
    <t>https://wa.me/919435134212</t>
  </si>
  <si>
    <t>GSW243</t>
  </si>
  <si>
    <t>9435036380</t>
  </si>
  <si>
    <t>https://wa.me/919435036380</t>
  </si>
  <si>
    <t>GSW244</t>
  </si>
  <si>
    <t>9435036770</t>
  </si>
  <si>
    <t>https://wa.me/919435036770</t>
  </si>
  <si>
    <t>GSW245</t>
  </si>
  <si>
    <t>9435031680</t>
  </si>
  <si>
    <t>https://wa.me/919435031680</t>
  </si>
  <si>
    <t>GSW246</t>
  </si>
  <si>
    <t>9931171719</t>
  </si>
  <si>
    <t>https://wa.me/919931171719</t>
  </si>
  <si>
    <t>GSW247</t>
  </si>
  <si>
    <t>9435200027</t>
  </si>
  <si>
    <t>https://wa.me/919435200027</t>
  </si>
  <si>
    <t>GSW248</t>
  </si>
  <si>
    <t>9435012250</t>
  </si>
  <si>
    <t>https://wa.me/919435012250</t>
  </si>
  <si>
    <t>GSW249</t>
  </si>
  <si>
    <t>9435154908</t>
  </si>
  <si>
    <t>https://wa.me/919435154908</t>
  </si>
  <si>
    <t>GSW250</t>
  </si>
  <si>
    <t>9831008777</t>
  </si>
  <si>
    <t>https://wa.me/919831008777</t>
  </si>
  <si>
    <t>GSW251</t>
  </si>
  <si>
    <t>9957172136</t>
  </si>
  <si>
    <t>https://wa.me/919957172136</t>
  </si>
  <si>
    <t>GSW252</t>
  </si>
  <si>
    <t>9854791247</t>
  </si>
  <si>
    <t>https://wa.me/919854791247</t>
  </si>
  <si>
    <t>GSW253</t>
  </si>
  <si>
    <t>9577931098</t>
  </si>
  <si>
    <t>https://wa.me/919577931098</t>
  </si>
  <si>
    <t>GSW254</t>
  </si>
  <si>
    <t>9435053873</t>
  </si>
  <si>
    <t>https://wa.me/919435053873</t>
  </si>
  <si>
    <t>GSW255</t>
  </si>
  <si>
    <t>9854122357</t>
  </si>
  <si>
    <t>https://wa.me/919854122357</t>
  </si>
  <si>
    <t>GSW256</t>
  </si>
  <si>
    <t>9435033527</t>
  </si>
  <si>
    <t>https://wa.me/919435033527</t>
  </si>
  <si>
    <t>GSW257</t>
  </si>
  <si>
    <t>9854369682</t>
  </si>
  <si>
    <t>https://wa.me/919854369682</t>
  </si>
  <si>
    <t>GSW258</t>
  </si>
  <si>
    <t>9706261542</t>
  </si>
  <si>
    <t>https://wa.me/919706261542</t>
  </si>
  <si>
    <t>GSW259</t>
  </si>
  <si>
    <t>9435377619</t>
  </si>
  <si>
    <t>https://wa.me/919435377619</t>
  </si>
  <si>
    <t>GSW260</t>
  </si>
  <si>
    <t>9435032278</t>
  </si>
  <si>
    <t>https://wa.me/919435032278</t>
  </si>
  <si>
    <t>GSW261</t>
  </si>
  <si>
    <t>9435474260</t>
  </si>
  <si>
    <t>https://wa.me/919435474260</t>
  </si>
  <si>
    <t>GSW262</t>
  </si>
  <si>
    <t>9435376241</t>
  </si>
  <si>
    <t>https://wa.me/919435376241</t>
  </si>
  <si>
    <t>GSW263</t>
  </si>
  <si>
    <t>9831439243</t>
  </si>
  <si>
    <t>https://wa.me/919831439243</t>
  </si>
  <si>
    <t>GSW264</t>
  </si>
  <si>
    <t>9435009285</t>
  </si>
  <si>
    <t>https://wa.me/919435009285</t>
  </si>
  <si>
    <t>GSW265</t>
  </si>
  <si>
    <t>ASSAM C</t>
  </si>
  <si>
    <t>9508110819</t>
  </si>
  <si>
    <t>https://wa.me/919508110819</t>
  </si>
  <si>
    <t>GSW266</t>
  </si>
  <si>
    <t>9435523486</t>
  </si>
  <si>
    <t>https://wa.me/919435523486</t>
  </si>
  <si>
    <t>GSW267</t>
  </si>
  <si>
    <t>9854012274</t>
  </si>
  <si>
    <t>https://wa.me/919854012274</t>
  </si>
  <si>
    <t>GSW268</t>
  </si>
  <si>
    <t>9859939167</t>
  </si>
  <si>
    <t>https://wa.me/919859939167</t>
  </si>
  <si>
    <t>GSW269</t>
  </si>
  <si>
    <t>9435067927</t>
  </si>
  <si>
    <t>https://wa.me/919435067927</t>
  </si>
  <si>
    <t>GSW270</t>
  </si>
  <si>
    <t>9954490432</t>
  </si>
  <si>
    <t>https://wa.me/919954490432</t>
  </si>
  <si>
    <t>GSW271</t>
  </si>
  <si>
    <t>9830266187</t>
  </si>
  <si>
    <t>https://wa.me/919830266187</t>
  </si>
  <si>
    <t>GSW272</t>
  </si>
  <si>
    <t>9435035272</t>
  </si>
  <si>
    <t>https://wa.me/919435035272</t>
  </si>
  <si>
    <t>GSW273</t>
  </si>
  <si>
    <t>9435136191</t>
  </si>
  <si>
    <t>https://wa.me/919435136191</t>
  </si>
  <si>
    <t>GSW274</t>
  </si>
  <si>
    <t>9954046364</t>
  </si>
  <si>
    <t>https://wa.me/919954046364</t>
  </si>
  <si>
    <t>GSW275</t>
  </si>
  <si>
    <t>9435184616</t>
  </si>
  <si>
    <t>https://wa.me/919435184616</t>
  </si>
  <si>
    <t>GSW276</t>
  </si>
  <si>
    <t>9435181566</t>
  </si>
  <si>
    <t>https://wa.me/919435181566</t>
  </si>
  <si>
    <t>GSW277</t>
  </si>
  <si>
    <t>9435180827</t>
  </si>
  <si>
    <t>https://wa.me/919435180827</t>
  </si>
  <si>
    <t>GSW278</t>
  </si>
  <si>
    <t>9954113528</t>
  </si>
  <si>
    <t>https://wa.me/919954113528</t>
  </si>
  <si>
    <t>GSW279</t>
  </si>
  <si>
    <t>9435070357</t>
  </si>
  <si>
    <t>https://wa.me/919435070357</t>
  </si>
  <si>
    <t>GSW280</t>
  </si>
  <si>
    <t>9864556130</t>
  </si>
  <si>
    <t>https://wa.me/919864556130</t>
  </si>
  <si>
    <t>GSW281</t>
  </si>
  <si>
    <t>9831825340</t>
  </si>
  <si>
    <t>https://wa.me/919831825340</t>
  </si>
  <si>
    <t>GSW282</t>
  </si>
  <si>
    <t>9854368720</t>
  </si>
  <si>
    <t>https://wa.me/919854368720</t>
  </si>
  <si>
    <t>GSW283</t>
  </si>
  <si>
    <t>9854019388</t>
  </si>
  <si>
    <t>https://wa.me/919854019388</t>
  </si>
  <si>
    <t>GSW284</t>
  </si>
  <si>
    <t>9678728218</t>
  </si>
  <si>
    <t>https://wa.me/919678728218</t>
  </si>
  <si>
    <t>GSW285</t>
  </si>
  <si>
    <t>9435415546</t>
  </si>
  <si>
    <t>https://wa.me/919435415546</t>
  </si>
  <si>
    <t>GSW286</t>
  </si>
  <si>
    <t>9435474454</t>
  </si>
  <si>
    <t>https://wa.me/919435474454</t>
  </si>
  <si>
    <t>GSW287</t>
  </si>
  <si>
    <t>9435172025</t>
  </si>
  <si>
    <t>https://wa.me/919435172025</t>
  </si>
  <si>
    <t>GSW288</t>
  </si>
  <si>
    <t>9435142306</t>
  </si>
  <si>
    <t>https://wa.me/919435142306</t>
  </si>
  <si>
    <t>GSW289</t>
  </si>
  <si>
    <t>9435052182</t>
  </si>
  <si>
    <t>https://wa.me/919435052182</t>
  </si>
  <si>
    <t>GSW290</t>
  </si>
  <si>
    <t>9401627032</t>
  </si>
  <si>
    <t>https://wa.me/919401627032</t>
  </si>
  <si>
    <t>GSW291</t>
  </si>
  <si>
    <t>9435580240</t>
  </si>
  <si>
    <t>https://wa.me/919435580240</t>
  </si>
  <si>
    <t>GSW292</t>
  </si>
  <si>
    <t>9435030626</t>
  </si>
  <si>
    <t>https://wa.me/919435030626</t>
  </si>
  <si>
    <t>GSW293</t>
  </si>
  <si>
    <t>9435039582</t>
  </si>
  <si>
    <t>https://wa.me/919435039582</t>
  </si>
  <si>
    <t>GSW294</t>
  </si>
  <si>
    <t>9435175918</t>
  </si>
  <si>
    <t>https://wa.me/919435175918</t>
  </si>
  <si>
    <t>GSW295</t>
  </si>
  <si>
    <t>9435150295</t>
  </si>
  <si>
    <t>https://wa.me/919435150295</t>
  </si>
  <si>
    <t>GSW296</t>
  </si>
  <si>
    <t>9435515561</t>
  </si>
  <si>
    <t>https://wa.me/919435515561</t>
  </si>
  <si>
    <t>GSW297</t>
  </si>
  <si>
    <t>9435133125</t>
  </si>
  <si>
    <t>https://wa.me/919435133125</t>
  </si>
  <si>
    <t>GSW298</t>
  </si>
  <si>
    <t>9854093412</t>
  </si>
  <si>
    <t>https://wa.me/919854093412</t>
  </si>
  <si>
    <t>GSW299</t>
  </si>
  <si>
    <t>9435508927</t>
  </si>
  <si>
    <t>https://wa.me/919435508927</t>
  </si>
  <si>
    <t>GSW300</t>
  </si>
  <si>
    <t>9435199931</t>
  </si>
  <si>
    <t>https://wa.me/919435199931</t>
  </si>
  <si>
    <t>GSW301</t>
  </si>
  <si>
    <t>9831924111</t>
  </si>
  <si>
    <t>https://wa.me/919831924111</t>
  </si>
  <si>
    <t>GSW302</t>
  </si>
  <si>
    <t>9613256964</t>
  </si>
  <si>
    <t>https://wa.me/919613256964</t>
  </si>
  <si>
    <t>GSW303</t>
  </si>
  <si>
    <t>9957004641</t>
  </si>
  <si>
    <t>https://wa.me/919957004641</t>
  </si>
  <si>
    <t>GSW304</t>
  </si>
  <si>
    <t>9435344605</t>
  </si>
  <si>
    <t>https://wa.me/919435344605</t>
  </si>
  <si>
    <t>GSW305</t>
  </si>
  <si>
    <t>9435030458</t>
  </si>
  <si>
    <t>https://wa.me/919435030458</t>
  </si>
  <si>
    <t>GSW306</t>
  </si>
  <si>
    <t>9854439587</t>
  </si>
  <si>
    <t>https://wa.me/919854439587</t>
  </si>
  <si>
    <t>GSW307</t>
  </si>
  <si>
    <t>9401186742</t>
  </si>
  <si>
    <t>https://wa.me/919401186742</t>
  </si>
  <si>
    <t>GSW308</t>
  </si>
  <si>
    <t>9435033825</t>
  </si>
  <si>
    <t>https://wa.me/919435033825</t>
  </si>
  <si>
    <t>GSW309</t>
  </si>
  <si>
    <t>9435433558</t>
  </si>
  <si>
    <t>https://wa.me/919435433558</t>
  </si>
  <si>
    <t>GSW310</t>
  </si>
  <si>
    <t>9678380680</t>
  </si>
  <si>
    <t>https://wa.me/919678380680</t>
  </si>
  <si>
    <t>GSW311</t>
  </si>
  <si>
    <t>9435040611</t>
  </si>
  <si>
    <t>https://wa.me/919435040611</t>
  </si>
  <si>
    <t>GSW312</t>
  </si>
  <si>
    <t>9435735898</t>
  </si>
  <si>
    <t>https://wa.me/919435735898</t>
  </si>
  <si>
    <t>GSW313</t>
  </si>
  <si>
    <t>9957421622</t>
  </si>
  <si>
    <t>https://wa.me/919957421622</t>
  </si>
  <si>
    <t>GSW314</t>
  </si>
  <si>
    <t>ASSAM.</t>
  </si>
  <si>
    <t>9868958425</t>
  </si>
  <si>
    <t>https://wa.me/919868958425</t>
  </si>
  <si>
    <t>GSW315</t>
  </si>
  <si>
    <t>9707076375</t>
  </si>
  <si>
    <t>https://wa.me/919707076375</t>
  </si>
  <si>
    <t>GSW316</t>
  </si>
  <si>
    <t>9435378374</t>
  </si>
  <si>
    <t>https://wa.me/919435378374</t>
  </si>
  <si>
    <t>GSW317</t>
  </si>
  <si>
    <t>9435059050</t>
  </si>
  <si>
    <t>https://wa.me/919435059050</t>
  </si>
  <si>
    <t>GSW318</t>
  </si>
  <si>
    <t>9435724409</t>
  </si>
  <si>
    <t>https://wa.me/919435724409</t>
  </si>
  <si>
    <t>GSW319</t>
  </si>
  <si>
    <t>9859919819</t>
  </si>
  <si>
    <t>https://wa.me/919859919819</t>
  </si>
  <si>
    <t>GSW320</t>
  </si>
  <si>
    <t>9435150930</t>
  </si>
  <si>
    <t>https://wa.me/919435150930</t>
  </si>
  <si>
    <t>GSW321</t>
  </si>
  <si>
    <t>9435245790</t>
  </si>
  <si>
    <t>https://wa.me/919435245790</t>
  </si>
  <si>
    <t>GSW322</t>
  </si>
  <si>
    <t>9435475049</t>
  </si>
  <si>
    <t>https://wa.me/919435475049</t>
  </si>
  <si>
    <t>GSW323</t>
  </si>
  <si>
    <t>9435506388</t>
  </si>
  <si>
    <t>https://wa.me/919435506388</t>
  </si>
  <si>
    <t>GSW324</t>
  </si>
  <si>
    <t>9435206577</t>
  </si>
  <si>
    <t>https://wa.me/919435206577</t>
  </si>
  <si>
    <t>GSW325</t>
  </si>
  <si>
    <t>9435184301</t>
  </si>
  <si>
    <t>https://wa.me/919435184301</t>
  </si>
  <si>
    <t>GSW326</t>
  </si>
  <si>
    <t>9435158782</t>
  </si>
  <si>
    <t>https://wa.me/919435158782</t>
  </si>
  <si>
    <t>GSW327</t>
  </si>
  <si>
    <t>9954125396</t>
  </si>
  <si>
    <t>https://wa.me/919954125396</t>
  </si>
  <si>
    <t>GSW328</t>
  </si>
  <si>
    <t>9859952215</t>
  </si>
  <si>
    <t>https://wa.me/919859952215</t>
  </si>
  <si>
    <t>GSW329</t>
  </si>
  <si>
    <t>9435527264</t>
  </si>
  <si>
    <t>https://wa.me/919435527264</t>
  </si>
  <si>
    <t>GSW330</t>
  </si>
  <si>
    <t>9435179670</t>
  </si>
  <si>
    <t>https://wa.me/919435179670</t>
  </si>
  <si>
    <t>GSW331</t>
  </si>
  <si>
    <t>9401176390</t>
  </si>
  <si>
    <t>https://wa.me/919401176390</t>
  </si>
  <si>
    <t>GSW332</t>
  </si>
  <si>
    <t>9435053600</t>
  </si>
  <si>
    <t>https://wa.me/919435053600</t>
  </si>
  <si>
    <t>GSW333</t>
  </si>
  <si>
    <t>9957206739</t>
  </si>
  <si>
    <t>https://wa.me/919957206739</t>
  </si>
  <si>
    <t>GSW334</t>
  </si>
  <si>
    <t>9903030160</t>
  </si>
  <si>
    <t>https://wa.me/919903030160</t>
  </si>
  <si>
    <t>GSW335</t>
  </si>
  <si>
    <t>9435175088</t>
  </si>
  <si>
    <t>https://wa.me/919435175088</t>
  </si>
  <si>
    <t>GSW336</t>
  </si>
  <si>
    <t>9831896643</t>
  </si>
  <si>
    <t>https://wa.me/919831896643</t>
  </si>
  <si>
    <t>GSW337</t>
  </si>
  <si>
    <t>9435091043</t>
  </si>
  <si>
    <t>https://wa.me/919435091043</t>
  </si>
  <si>
    <t>GSW338</t>
  </si>
  <si>
    <t>9401031473</t>
  </si>
  <si>
    <t>https://wa.me/919401031473</t>
  </si>
  <si>
    <t>GSW339</t>
  </si>
  <si>
    <t>9435009147</t>
  </si>
  <si>
    <t>https://wa.me/919435009147</t>
  </si>
  <si>
    <t>GSW340</t>
  </si>
  <si>
    <t>9957109064</t>
  </si>
  <si>
    <t>https://wa.me/919957109064</t>
  </si>
  <si>
    <t>GSW341</t>
  </si>
  <si>
    <t>9435338050</t>
  </si>
  <si>
    <t>https://wa.me/919435338050</t>
  </si>
  <si>
    <t>GSW342</t>
  </si>
  <si>
    <t>9954473941</t>
  </si>
  <si>
    <t>https://wa.me/919954473941</t>
  </si>
  <si>
    <t>GSW343</t>
  </si>
  <si>
    <t>9435293585</t>
  </si>
  <si>
    <t>https://wa.me/919435293585</t>
  </si>
  <si>
    <t>GSW344</t>
  </si>
  <si>
    <t>9831159173</t>
  </si>
  <si>
    <t>https://wa.me/919831159173</t>
  </si>
  <si>
    <t>GSW345</t>
  </si>
  <si>
    <t>8011821620</t>
  </si>
  <si>
    <t>https://wa.me/918011821620</t>
  </si>
  <si>
    <t>GSW346</t>
  </si>
  <si>
    <t>9613861414</t>
  </si>
  <si>
    <t>https://wa.me/919613861414</t>
  </si>
  <si>
    <t>GSW347</t>
  </si>
  <si>
    <t>9435171539</t>
  </si>
  <si>
    <t>https://wa.me/919435171539</t>
  </si>
  <si>
    <t>GSW348</t>
  </si>
  <si>
    <t>9830040980</t>
  </si>
  <si>
    <t>https://wa.me/919830040980</t>
  </si>
  <si>
    <t>GSW349</t>
  </si>
  <si>
    <t>9436603061</t>
  </si>
  <si>
    <t>https://wa.me/919436603061</t>
  </si>
  <si>
    <t>GSW350</t>
  </si>
  <si>
    <t>9436000027</t>
  </si>
  <si>
    <t>https://wa.me/919436000027</t>
  </si>
  <si>
    <t>GSW351</t>
  </si>
  <si>
    <t>9435053809</t>
  </si>
  <si>
    <t>https://wa.me/919435053809</t>
  </si>
  <si>
    <t>GSW352</t>
  </si>
  <si>
    <t>9435703174</t>
  </si>
  <si>
    <t>https://wa.me/919435703174</t>
  </si>
  <si>
    <t>GSW353</t>
  </si>
  <si>
    <t>8011400425</t>
  </si>
  <si>
    <t>https://wa.me/918011400425</t>
  </si>
  <si>
    <t>GSW354</t>
  </si>
  <si>
    <t>8822533881</t>
  </si>
  <si>
    <t>https://wa.me/918822533881</t>
  </si>
  <si>
    <t>GSW355</t>
  </si>
  <si>
    <t>9957008453</t>
  </si>
  <si>
    <t>https://wa.me/919957008453</t>
  </si>
  <si>
    <t>GSW356</t>
  </si>
  <si>
    <t>9831152391</t>
  </si>
  <si>
    <t>https://wa.me/919831152391</t>
  </si>
  <si>
    <t>GSW357</t>
  </si>
  <si>
    <t>9435184919</t>
  </si>
  <si>
    <t>https://wa.me/919435184919</t>
  </si>
  <si>
    <t>GSW358</t>
  </si>
  <si>
    <t>9435007278</t>
  </si>
  <si>
    <t>https://wa.me/919435007278</t>
  </si>
  <si>
    <t>GSW359</t>
  </si>
  <si>
    <t>9435597249</t>
  </si>
  <si>
    <t>https://wa.me/919435597249</t>
  </si>
  <si>
    <t>GSW360</t>
  </si>
  <si>
    <t>9435724545</t>
  </si>
  <si>
    <t>https://wa.me/919435724545</t>
  </si>
  <si>
    <t>GSW361</t>
  </si>
  <si>
    <t>9435745339</t>
  </si>
  <si>
    <t>https://wa.me/919435745339</t>
  </si>
  <si>
    <t>GSW362</t>
  </si>
  <si>
    <t>9435908142</t>
  </si>
  <si>
    <t>https://wa.me/919435908142</t>
  </si>
  <si>
    <t>GSW363</t>
  </si>
  <si>
    <t>8011670354</t>
  </si>
  <si>
    <t>https://wa.me/918011670354</t>
  </si>
  <si>
    <t>GSW364</t>
  </si>
  <si>
    <t>9435330119</t>
  </si>
  <si>
    <t>https://wa.me/919435330119</t>
  </si>
  <si>
    <t>GSW365</t>
  </si>
  <si>
    <t>9435132017</t>
  </si>
  <si>
    <t>https://wa.me/919435132017</t>
  </si>
  <si>
    <t>GSW366</t>
  </si>
  <si>
    <t>9435178808</t>
  </si>
  <si>
    <t>https://wa.me/919435178808</t>
  </si>
  <si>
    <t>GSW367</t>
  </si>
  <si>
    <t>9435526991</t>
  </si>
  <si>
    <t>https://wa.me/919435526991</t>
  </si>
  <si>
    <t>GSW368</t>
  </si>
  <si>
    <t>9401024803</t>
  </si>
  <si>
    <t>https://wa.me/919401024803</t>
  </si>
  <si>
    <t>GSW369</t>
  </si>
  <si>
    <t>9859950569</t>
  </si>
  <si>
    <t>https://wa.me/919859950569</t>
  </si>
  <si>
    <t>GSW370</t>
  </si>
  <si>
    <t>9954050017</t>
  </si>
  <si>
    <t>https://wa.me/919954050017</t>
  </si>
  <si>
    <t>GSW371</t>
  </si>
  <si>
    <t>9954544790</t>
  </si>
  <si>
    <t>https://wa.me/919954544790</t>
  </si>
  <si>
    <t>GSW372</t>
  </si>
  <si>
    <t>9864225952</t>
  </si>
  <si>
    <t>https://wa.me/919864225952</t>
  </si>
  <si>
    <t>GSW373</t>
  </si>
  <si>
    <t>9613850269</t>
  </si>
  <si>
    <t>https://wa.me/919613850269</t>
  </si>
  <si>
    <t>GSW374</t>
  </si>
  <si>
    <t>9957766947</t>
  </si>
  <si>
    <t>https://wa.me/919957766947</t>
  </si>
  <si>
    <t>GSW375</t>
  </si>
  <si>
    <t>9435292315</t>
  </si>
  <si>
    <t>https://wa.me/919435292315</t>
  </si>
  <si>
    <t>GSW376</t>
  </si>
  <si>
    <t>9957060774</t>
  </si>
  <si>
    <t>https://wa.me/919957060774</t>
  </si>
  <si>
    <t>GSW377</t>
  </si>
  <si>
    <t>9435293626</t>
  </si>
  <si>
    <t>https://wa.me/919435293626</t>
  </si>
  <si>
    <t>GSW378</t>
  </si>
  <si>
    <t>9435030732</t>
  </si>
  <si>
    <t>https://wa.me/919435030732</t>
  </si>
  <si>
    <t>GSW379</t>
  </si>
  <si>
    <t>9830012233</t>
  </si>
  <si>
    <t>https://wa.me/919830012233</t>
  </si>
  <si>
    <t>GSW380</t>
  </si>
  <si>
    <t>9435739507</t>
  </si>
  <si>
    <t>https://wa.me/919435739507</t>
  </si>
  <si>
    <t>GSW381</t>
  </si>
  <si>
    <t>9435139702</t>
  </si>
  <si>
    <t>https://wa.me/919435139702</t>
  </si>
  <si>
    <t>GSW382</t>
  </si>
  <si>
    <t>9435053554</t>
  </si>
  <si>
    <t>https://wa.me/919435053554</t>
  </si>
  <si>
    <t>GSW383</t>
  </si>
  <si>
    <t>9831483093</t>
  </si>
  <si>
    <t>https://wa.me/919831483093</t>
  </si>
  <si>
    <t>GSW384</t>
  </si>
  <si>
    <t>9859937195</t>
  </si>
  <si>
    <t>https://wa.me/919859937195</t>
  </si>
  <si>
    <t>GSW385</t>
  </si>
  <si>
    <t>9859100949</t>
  </si>
  <si>
    <t>https://wa.me/919859100949</t>
  </si>
  <si>
    <t>GSW386</t>
  </si>
  <si>
    <t>9435727096</t>
  </si>
  <si>
    <t>https://wa.me/919435727096</t>
  </si>
  <si>
    <t>GSW387</t>
  </si>
  <si>
    <t>9435461117</t>
  </si>
  <si>
    <t>https://wa.me/919435461117</t>
  </si>
  <si>
    <t>GSW388</t>
  </si>
  <si>
    <t>9435079099</t>
  </si>
  <si>
    <t>https://wa.me/919435079099</t>
  </si>
  <si>
    <t>GSW389</t>
  </si>
  <si>
    <t>9836393772</t>
  </si>
  <si>
    <t>https://wa.me/919836393772</t>
  </si>
  <si>
    <t>GSW390</t>
  </si>
  <si>
    <t>9435130013</t>
  </si>
  <si>
    <t>https://wa.me/919435130013</t>
  </si>
  <si>
    <t>GSW391</t>
  </si>
  <si>
    <t>LETEKUJAN POST,GOLAGHAT C</t>
  </si>
  <si>
    <t>9207046222</t>
  </si>
  <si>
    <t>https://wa.me/919207046222</t>
  </si>
  <si>
    <t>GSW392</t>
  </si>
  <si>
    <t>9435182159</t>
  </si>
  <si>
    <t>https://wa.me/919435182159</t>
  </si>
  <si>
    <t>GSW393</t>
  </si>
  <si>
    <t>9435804926</t>
  </si>
  <si>
    <t>https://wa.me/919435804926</t>
  </si>
  <si>
    <t>GSW394</t>
  </si>
  <si>
    <t>7896284510</t>
  </si>
  <si>
    <t>https://wa.me/917896284510</t>
  </si>
  <si>
    <t>GSW395</t>
  </si>
  <si>
    <t>9435562634</t>
  </si>
  <si>
    <t>https://wa.me/919435562634</t>
  </si>
  <si>
    <t>GSW396</t>
  </si>
  <si>
    <t>9435177225</t>
  </si>
  <si>
    <t>https://wa.me/919435177225</t>
  </si>
  <si>
    <t>GSW397</t>
  </si>
  <si>
    <t>9435179062</t>
  </si>
  <si>
    <t>https://wa.me/919435179062</t>
  </si>
  <si>
    <t>GSW398</t>
  </si>
  <si>
    <t>9435031779</t>
  </si>
  <si>
    <t>https://wa.me/919435031779</t>
  </si>
  <si>
    <t>GSW399</t>
  </si>
  <si>
    <t>9854823940</t>
  </si>
  <si>
    <t>https://wa.me/919854823940</t>
  </si>
  <si>
    <t>GSW400</t>
  </si>
  <si>
    <t>9435058445</t>
  </si>
  <si>
    <t>https://wa.me/919435058445</t>
  </si>
  <si>
    <t>GSW401</t>
  </si>
  <si>
    <t>9435450907</t>
  </si>
  <si>
    <t>https://wa.me/919435450907</t>
  </si>
  <si>
    <t>GSW402</t>
  </si>
  <si>
    <t>9435050547</t>
  </si>
  <si>
    <t>https://wa.me/919435050547</t>
  </si>
  <si>
    <t>GSW403</t>
  </si>
  <si>
    <t>9401326308</t>
  </si>
  <si>
    <t>https://wa.me/919401326308</t>
  </si>
  <si>
    <t>GSW404</t>
  </si>
  <si>
    <t>9864015568</t>
  </si>
  <si>
    <t>https://wa.me/919864015568</t>
  </si>
  <si>
    <t>GSW405</t>
  </si>
  <si>
    <t>9435908715</t>
  </si>
  <si>
    <t>https://wa.me/919435908715</t>
  </si>
  <si>
    <t>GSW406</t>
  </si>
  <si>
    <t>9613850465</t>
  </si>
  <si>
    <t>https://wa.me/919613850465</t>
  </si>
  <si>
    <t>GSW407</t>
  </si>
  <si>
    <t>7399911440</t>
  </si>
  <si>
    <t>https://wa.me/917399911440</t>
  </si>
  <si>
    <t>GSW408</t>
  </si>
  <si>
    <t>9508209630</t>
  </si>
  <si>
    <t>https://wa.me/919508209630</t>
  </si>
  <si>
    <t>GSW409</t>
  </si>
  <si>
    <t>9435034681</t>
  </si>
  <si>
    <t>https://wa.me/919435034681</t>
  </si>
  <si>
    <t>GSW410</t>
  </si>
  <si>
    <t>9830392355</t>
  </si>
  <si>
    <t>https://wa.me/919830392355</t>
  </si>
  <si>
    <t>GSW411</t>
  </si>
  <si>
    <t>9613768651</t>
  </si>
  <si>
    <t>https://wa.me/919613768651</t>
  </si>
  <si>
    <t>GSW412</t>
  </si>
  <si>
    <t>9435031403</t>
  </si>
  <si>
    <t>https://wa.me/919435031403</t>
  </si>
  <si>
    <t>GSW413</t>
  </si>
  <si>
    <t>9859350550</t>
  </si>
  <si>
    <t>https://wa.me/919859350550</t>
  </si>
  <si>
    <t>GSW414</t>
  </si>
  <si>
    <t>9435091349</t>
  </si>
  <si>
    <t>https://wa.me/919435091349</t>
  </si>
  <si>
    <t>GSW415</t>
  </si>
  <si>
    <t>9854812876</t>
  </si>
  <si>
    <t>https://wa.me/919854812876</t>
  </si>
  <si>
    <t>GSW416</t>
  </si>
  <si>
    <t>9831008542</t>
  </si>
  <si>
    <t>https://wa.me/919831008542</t>
  </si>
  <si>
    <t>GSW417</t>
  </si>
  <si>
    <t>9435035577</t>
  </si>
  <si>
    <t>https://wa.me/919435035577</t>
  </si>
  <si>
    <t>GSW418</t>
  </si>
  <si>
    <t>7399259837</t>
  </si>
  <si>
    <t>https://wa.me/917399259837</t>
  </si>
  <si>
    <t>GSW419</t>
  </si>
  <si>
    <t>9435227329</t>
  </si>
  <si>
    <t>https://wa.me/919435227329</t>
  </si>
  <si>
    <t>GSW420</t>
  </si>
  <si>
    <t>9435727329</t>
  </si>
  <si>
    <t>https://wa.me/919435727329</t>
  </si>
  <si>
    <t>GSW421</t>
  </si>
  <si>
    <t>9435053992</t>
  </si>
  <si>
    <t>https://wa.me/919435053992</t>
  </si>
  <si>
    <t>GSW422</t>
  </si>
  <si>
    <t>9831171719</t>
  </si>
  <si>
    <t>https://wa.me/919831171719</t>
  </si>
  <si>
    <t>GSW423</t>
  </si>
  <si>
    <t>9854384724</t>
  </si>
  <si>
    <t>https://wa.me/919854384724</t>
  </si>
  <si>
    <t>GSW424</t>
  </si>
  <si>
    <t>9435031450</t>
  </si>
  <si>
    <t>https://wa.me/919435031450</t>
  </si>
  <si>
    <t>GSW425</t>
  </si>
  <si>
    <t>9435749958</t>
  </si>
  <si>
    <t>https://wa.me/919435749958</t>
  </si>
  <si>
    <t>GSW426</t>
  </si>
  <si>
    <t>9954910339</t>
  </si>
  <si>
    <t>https://wa.me/919954910339</t>
  </si>
  <si>
    <t>GSW427</t>
  </si>
  <si>
    <t>9854852587</t>
  </si>
  <si>
    <t>https://wa.me/919854852587</t>
  </si>
  <si>
    <t>GSW428</t>
  </si>
  <si>
    <t>9435839176</t>
  </si>
  <si>
    <t>https://wa.me/919435839176</t>
  </si>
  <si>
    <t>GSW429</t>
  </si>
  <si>
    <t>9435030011</t>
  </si>
  <si>
    <t>https://wa.me/919435030011</t>
  </si>
  <si>
    <t>GSW430</t>
  </si>
  <si>
    <t>9435085469</t>
  </si>
  <si>
    <t>https://wa.me/919435085469</t>
  </si>
  <si>
    <t>GSW431</t>
  </si>
  <si>
    <t>8822565079</t>
  </si>
  <si>
    <t>https://wa.me/918822565079</t>
  </si>
  <si>
    <t>GSW432</t>
  </si>
  <si>
    <t>9435135832</t>
  </si>
  <si>
    <t>https://wa.me/919435135832</t>
  </si>
  <si>
    <t>GSW433</t>
  </si>
  <si>
    <t>7896698216</t>
  </si>
  <si>
    <t>https://wa.me/917896698216</t>
  </si>
  <si>
    <t>GSW434</t>
  </si>
  <si>
    <t>9435132916</t>
  </si>
  <si>
    <t>https://wa.me/919435132916</t>
  </si>
  <si>
    <t>GSW435</t>
  </si>
  <si>
    <t>9830086837</t>
  </si>
  <si>
    <t>https://wa.me/919830086837</t>
  </si>
  <si>
    <t>GSW436</t>
  </si>
  <si>
    <t>9831462106</t>
  </si>
  <si>
    <t>https://wa.me/919831462106</t>
  </si>
  <si>
    <t>GSW437</t>
  </si>
  <si>
    <t>9435031800</t>
  </si>
  <si>
    <t>https://wa.me/919435031800</t>
  </si>
  <si>
    <t>GSW438</t>
  </si>
  <si>
    <t>9830380476</t>
  </si>
  <si>
    <t>https://wa.me/919830380476</t>
  </si>
  <si>
    <t>GSW439</t>
  </si>
  <si>
    <t>9707031264</t>
  </si>
  <si>
    <t>https://wa.me/919707031264</t>
  </si>
  <si>
    <t>GSW440</t>
  </si>
  <si>
    <t>9864041555</t>
  </si>
  <si>
    <t>https://wa.me/919864041555</t>
  </si>
  <si>
    <t>GSW441</t>
  </si>
  <si>
    <t>9435032677</t>
  </si>
  <si>
    <t>https://wa.me/919435032677</t>
  </si>
  <si>
    <t>GSW442</t>
  </si>
  <si>
    <t>9435700231</t>
  </si>
  <si>
    <t>https://wa.me/919435700231</t>
  </si>
  <si>
    <t>GSW443</t>
  </si>
  <si>
    <t>9330160950</t>
  </si>
  <si>
    <t>https://wa.me/919330160950</t>
  </si>
  <si>
    <t>GSW444</t>
  </si>
  <si>
    <t>9831387320</t>
  </si>
  <si>
    <t>https://wa.me/919831387320</t>
  </si>
  <si>
    <t>GSW445</t>
  </si>
  <si>
    <t>9401455862</t>
  </si>
  <si>
    <t>https://wa.me/919401455862</t>
  </si>
  <si>
    <t>GSW446</t>
  </si>
  <si>
    <t>9435108517</t>
  </si>
  <si>
    <t>https://wa.me/919435108517</t>
  </si>
  <si>
    <t>GSW447</t>
  </si>
  <si>
    <t>9954214299</t>
  </si>
  <si>
    <t>https://wa.me/919954214299</t>
  </si>
  <si>
    <t>GSW448</t>
  </si>
  <si>
    <t>9435106515</t>
  </si>
  <si>
    <t>https://wa.me/919435106515</t>
  </si>
  <si>
    <t>GSW449</t>
  </si>
  <si>
    <t>785</t>
  </si>
  <si>
    <t>9854820705</t>
  </si>
  <si>
    <t>https://wa.me/919854820705</t>
  </si>
  <si>
    <t>GSW450</t>
  </si>
  <si>
    <t>9854193022</t>
  </si>
  <si>
    <t>https://wa.me/919854193022</t>
  </si>
  <si>
    <t>GSW451</t>
  </si>
  <si>
    <t>9435092302</t>
  </si>
  <si>
    <t>https://wa.me/919435092302</t>
  </si>
  <si>
    <t>GSW452</t>
  </si>
  <si>
    <t>9577075792</t>
  </si>
  <si>
    <t>https://wa.me/919577075792</t>
  </si>
  <si>
    <t>GSW453</t>
  </si>
  <si>
    <t>9401037473</t>
  </si>
  <si>
    <t>https://wa.me/919401037473</t>
  </si>
  <si>
    <t>GSW454</t>
  </si>
  <si>
    <t>9864397908</t>
  </si>
  <si>
    <t>https://wa.me/919864397908</t>
  </si>
  <si>
    <t>GSW455</t>
  </si>
  <si>
    <t>9435055792</t>
  </si>
  <si>
    <t>https://wa.me/919435055792</t>
  </si>
  <si>
    <t>GSW456</t>
  </si>
  <si>
    <t>9435339955</t>
  </si>
  <si>
    <t>https://wa.me/919435339955</t>
  </si>
  <si>
    <t>GSW457</t>
  </si>
  <si>
    <t>9854082536</t>
  </si>
  <si>
    <t>https://wa.me/919854082536</t>
  </si>
  <si>
    <t>GSW458</t>
  </si>
  <si>
    <t>9854082539</t>
  </si>
  <si>
    <t>https://wa.me/919854082539</t>
  </si>
  <si>
    <t>GSW459</t>
  </si>
  <si>
    <t>9954225152</t>
  </si>
  <si>
    <t>https://wa.me/919954225152</t>
  </si>
  <si>
    <t>GSW460</t>
  </si>
  <si>
    <t>9831007736</t>
  </si>
  <si>
    <t>https://wa.me/919831007736</t>
  </si>
  <si>
    <t>GSW461</t>
  </si>
  <si>
    <t>9435085156</t>
  </si>
  <si>
    <t>https://wa.me/919435085156</t>
  </si>
  <si>
    <t>GSW462</t>
  </si>
  <si>
    <t>9435245225</t>
  </si>
  <si>
    <t>https://wa.me/919435245225</t>
  </si>
  <si>
    <t>GSW463</t>
  </si>
  <si>
    <t>9435514630</t>
  </si>
  <si>
    <t>https://wa.me/919435514630</t>
  </si>
  <si>
    <t>GSW464</t>
  </si>
  <si>
    <t>9435537174</t>
  </si>
  <si>
    <t>https://wa.me/919435537174</t>
  </si>
  <si>
    <t>GSW465</t>
  </si>
  <si>
    <t>9401283344</t>
  </si>
  <si>
    <t>https://wa.me/919401283344</t>
  </si>
  <si>
    <t>GSW466</t>
  </si>
  <si>
    <t>9435873538</t>
  </si>
  <si>
    <t>https://wa.me/919435873538</t>
  </si>
  <si>
    <t>GSW467</t>
  </si>
  <si>
    <t>9435139071</t>
  </si>
  <si>
    <t>https://wa.me/919435139071</t>
  </si>
  <si>
    <t>GSW468</t>
  </si>
  <si>
    <t>9435158429</t>
  </si>
  <si>
    <t>https://wa.me/919435158429</t>
  </si>
  <si>
    <t>GSW469</t>
  </si>
  <si>
    <t>9508180691</t>
  </si>
  <si>
    <t>https://wa.me/919508180691</t>
  </si>
  <si>
    <t>GSW470</t>
  </si>
  <si>
    <t>9401093553</t>
  </si>
  <si>
    <t>https://wa.me/919401093553</t>
  </si>
  <si>
    <t>GSW471</t>
  </si>
  <si>
    <t>9435357401</t>
  </si>
  <si>
    <t>https://wa.me/919435357401</t>
  </si>
  <si>
    <t>GSW472</t>
  </si>
  <si>
    <t>9435334849</t>
  </si>
  <si>
    <t>https://wa.me/919435334849</t>
  </si>
  <si>
    <t>GSW473</t>
  </si>
  <si>
    <t>9435090986</t>
  </si>
  <si>
    <t>https://wa.me/919435090986</t>
  </si>
  <si>
    <t>GSW474</t>
  </si>
  <si>
    <t>9831060950</t>
  </si>
  <si>
    <t>https://wa.me/919831060950</t>
  </si>
  <si>
    <t>GSW475</t>
  </si>
  <si>
    <t>9435054243</t>
  </si>
  <si>
    <t>https://wa.me/919435054243</t>
  </si>
  <si>
    <t>GSW476</t>
  </si>
  <si>
    <t>9401540903</t>
  </si>
  <si>
    <t>https://wa.me/919401540903</t>
  </si>
  <si>
    <t>GSW477</t>
  </si>
  <si>
    <t>9435506246</t>
  </si>
  <si>
    <t>https://wa.me/919435506246</t>
  </si>
  <si>
    <t>GSW478</t>
  </si>
  <si>
    <t>9435736269</t>
  </si>
  <si>
    <t>https://wa.me/919435736269</t>
  </si>
  <si>
    <t>GSW479</t>
  </si>
  <si>
    <t>9903950088</t>
  </si>
  <si>
    <t>https://wa.me/919903950088</t>
  </si>
  <si>
    <t>GSW480</t>
  </si>
  <si>
    <t>9435053961</t>
  </si>
  <si>
    <t>https://wa.me/919435053961</t>
  </si>
  <si>
    <t>GSW481</t>
  </si>
  <si>
    <t>9401254759</t>
  </si>
  <si>
    <t>https://wa.me/919401254759</t>
  </si>
  <si>
    <t>GSW482</t>
  </si>
  <si>
    <t>9435745697</t>
  </si>
  <si>
    <t>https://wa.me/919435745697</t>
  </si>
  <si>
    <t>GSW483</t>
  </si>
  <si>
    <t>9748782869</t>
  </si>
  <si>
    <t>https://wa.me/919748782869</t>
  </si>
  <si>
    <t>GSW484</t>
  </si>
  <si>
    <t>9954666384</t>
  </si>
  <si>
    <t>https://wa.me/919954666384</t>
  </si>
  <si>
    <t>GSW485</t>
  </si>
  <si>
    <t>9435349548</t>
  </si>
  <si>
    <t>https://wa.me/919435349548</t>
  </si>
  <si>
    <t>GSW486</t>
  </si>
  <si>
    <t>9435058503</t>
  </si>
  <si>
    <t>https://wa.me/919435058503</t>
  </si>
  <si>
    <t>GSW487</t>
  </si>
  <si>
    <t>9707629951</t>
  </si>
  <si>
    <t>https://wa.me/919707629951</t>
  </si>
  <si>
    <t>GSW488</t>
  </si>
  <si>
    <t>9435332285</t>
  </si>
  <si>
    <t>https://wa.me/919435332285</t>
  </si>
  <si>
    <t>GSW489</t>
  </si>
  <si>
    <t>9435162653</t>
  </si>
  <si>
    <t>https://wa.me/919435162653</t>
  </si>
  <si>
    <t>GSW490</t>
  </si>
  <si>
    <t>9435336873</t>
  </si>
  <si>
    <t>https://wa.me/919435336873</t>
  </si>
  <si>
    <t>GSW491</t>
  </si>
  <si>
    <t>ASSAM. C</t>
  </si>
  <si>
    <t>9883611101</t>
  </si>
  <si>
    <t>https://wa.me/919883611101</t>
  </si>
  <si>
    <t>GSW492</t>
  </si>
  <si>
    <t>9678004787</t>
  </si>
  <si>
    <t>https://wa.me/919678004787</t>
  </si>
  <si>
    <t>GSW493</t>
  </si>
  <si>
    <t>9435031097</t>
  </si>
  <si>
    <t>https://wa.me/919435031097</t>
  </si>
  <si>
    <t>GSW494</t>
  </si>
  <si>
    <t>9435181626</t>
  </si>
  <si>
    <t>https://wa.me/919435181626</t>
  </si>
  <si>
    <t>GSW495</t>
  </si>
  <si>
    <t>9435088605</t>
  </si>
  <si>
    <t>https://wa.me/919435088605</t>
  </si>
  <si>
    <t>GSW496</t>
  </si>
  <si>
    <t>9435092538</t>
  </si>
  <si>
    <t>https://wa.me/919435092538</t>
  </si>
  <si>
    <t>GSW497</t>
  </si>
  <si>
    <t>8011684624</t>
  </si>
  <si>
    <t>https://wa.me/918011684624</t>
  </si>
  <si>
    <t>GSW498</t>
  </si>
  <si>
    <t>9435543839</t>
  </si>
  <si>
    <t>https://wa.me/919435543839</t>
  </si>
  <si>
    <t>GSW499</t>
  </si>
  <si>
    <t>9954144699</t>
  </si>
  <si>
    <t>https://wa.me/919954144699</t>
  </si>
  <si>
    <t>GSW500</t>
  </si>
  <si>
    <t>9903193454</t>
  </si>
  <si>
    <t>https://wa.me/919903193454</t>
  </si>
  <si>
    <t>GSW501</t>
  </si>
  <si>
    <t>9435033998</t>
  </si>
  <si>
    <t>https://wa.me/919435033998</t>
  </si>
  <si>
    <t>GSW502</t>
  </si>
  <si>
    <t>9435078803</t>
  </si>
  <si>
    <t>https://wa.me/919435078803</t>
  </si>
  <si>
    <t>GSW503</t>
  </si>
  <si>
    <t>HAILAKANDI</t>
  </si>
  <si>
    <t>9435136743</t>
  </si>
  <si>
    <t>https://wa.me/919435136743</t>
  </si>
  <si>
    <t>GSW504</t>
  </si>
  <si>
    <t>9401101496</t>
  </si>
  <si>
    <t>https://wa.me/919401101496</t>
  </si>
  <si>
    <t>GSW505</t>
  </si>
  <si>
    <t>9435475020</t>
  </si>
  <si>
    <t>https://wa.me/919435475020</t>
  </si>
  <si>
    <t>GSW506</t>
  </si>
  <si>
    <t>9864662901</t>
  </si>
  <si>
    <t>https://wa.me/919864662901</t>
  </si>
  <si>
    <t>GSW507</t>
  </si>
  <si>
    <t>9613021163</t>
  </si>
  <si>
    <t>https://wa.me/919613021163</t>
  </si>
  <si>
    <t>GSW508</t>
  </si>
  <si>
    <t>9957133885</t>
  </si>
  <si>
    <t>https://wa.me/919957133885</t>
  </si>
  <si>
    <t>GSW509</t>
  </si>
  <si>
    <t>9854053543</t>
  </si>
  <si>
    <t>https://wa.me/919854053543</t>
  </si>
  <si>
    <t>GSW510</t>
  </si>
  <si>
    <t>9435439526</t>
  </si>
  <si>
    <t>https://wa.me/919435439526</t>
  </si>
  <si>
    <t>GSW511</t>
  </si>
  <si>
    <t>9435030618</t>
  </si>
  <si>
    <t>https://wa.me/919435030618</t>
  </si>
  <si>
    <t>GSW512</t>
  </si>
  <si>
    <t>9435095718</t>
  </si>
  <si>
    <t>https://wa.me/919435095718</t>
  </si>
  <si>
    <t>GSW513</t>
  </si>
  <si>
    <t>9435379977</t>
  </si>
  <si>
    <t>https://wa.me/919435379977</t>
  </si>
  <si>
    <t>GSW514</t>
  </si>
  <si>
    <t>9435030695</t>
  </si>
  <si>
    <t>https://wa.me/919435030695</t>
  </si>
  <si>
    <t>GSW515</t>
  </si>
  <si>
    <t>9435526282</t>
  </si>
  <si>
    <t>https://wa.me/919435526282</t>
  </si>
  <si>
    <t>GSW516</t>
  </si>
  <si>
    <t>9207041917</t>
  </si>
  <si>
    <t>https://wa.me/919207041917</t>
  </si>
  <si>
    <t>GSW517</t>
  </si>
  <si>
    <t>9435358620</t>
  </si>
  <si>
    <t>https://wa.me/919435358620</t>
  </si>
  <si>
    <t>GSW518</t>
  </si>
  <si>
    <t>9435152270</t>
  </si>
  <si>
    <t>https://wa.me/919435152270</t>
  </si>
  <si>
    <t>GSW519</t>
  </si>
  <si>
    <t>9435408894</t>
  </si>
  <si>
    <t>https://wa.me/919435408894</t>
  </si>
  <si>
    <t>GSW520</t>
  </si>
  <si>
    <t>9435053629</t>
  </si>
  <si>
    <t>https://wa.me/919435053629</t>
  </si>
  <si>
    <t>GSW521</t>
  </si>
  <si>
    <t>9954492823</t>
  </si>
  <si>
    <t>https://wa.me/919954492823</t>
  </si>
  <si>
    <t>GSW522</t>
  </si>
  <si>
    <t>9954492415</t>
  </si>
  <si>
    <t>https://wa.me/919954492415</t>
  </si>
  <si>
    <t>Campaign Setup</t>
  </si>
  <si>
    <t>Goal</t>
  </si>
  <si>
    <t>Link click first, demo call second</t>
  </si>
  <si>
    <t>Audience</t>
  </si>
  <si>
    <t>Cold tea garden contacts</t>
  </si>
  <si>
    <t>Share URL</t>
  </si>
  <si>
    <t>Preview image</t>
  </si>
  <si>
    <t>https://gardensuite.in/og/face-attendance-weight-price-v4.jpg</t>
  </si>
  <si>
    <t>Primary message</t>
  </si>
  <si>
    <t>Follow-up timing</t>
  </si>
  <si>
    <t>Once after 2 days if no reply</t>
  </si>
  <si>
    <t>Follow-up message</t>
  </si>
  <si>
    <t>Sharing once more in case this is relevant.
Face attendance + leaf weight for tea gardens, from Rs. 499/month.*
https://gardensuite.in/w/face-weight-499</t>
  </si>
  <si>
    <t>Data source ranks</t>
  </si>
  <si>
    <t>Original CRM/manual tracker</t>
  </si>
  <si>
    <t>Highest priority</t>
  </si>
  <si>
    <t>2</t>
  </si>
  <si>
    <t>Direct estate number list</t>
  </si>
  <si>
    <t>Higher confidence</t>
  </si>
  <si>
    <t>3</t>
  </si>
  <si>
    <t>Generated garden export or email workbook</t>
  </si>
  <si>
    <t>Medium confidence</t>
  </si>
  <si>
    <t>4</t>
  </si>
  <si>
    <t>Lower priority, cannot be verified without manual check</t>
  </si>
  <si>
    <t>5</t>
  </si>
  <si>
    <t>Lowest priority, verify before sending</t>
  </si>
  <si>
    <t>Contact</t>
  </si>
  <si>
    <t>Value (â‚¹)</t>
  </si>
  <si>
    <t>Next Follow-up</t>
  </si>
  <si>
    <t>Isha's Remarks</t>
  </si>
  <si>
    <t>not connected</t>
  </si>
  <si>
    <t>unable to contect</t>
  </si>
  <si>
    <t>Imported Lead ID</t>
  </si>
  <si>
    <t>Phone</t>
  </si>
  <si>
    <t>Source</t>
  </si>
  <si>
    <t>Confidence</t>
  </si>
  <si>
    <t>Imported At</t>
  </si>
  <si>
    <t>Tea Estates number required.xlsx::Sheet1; dibrugarh.xlsx::Gardens; test_export.xlsx::Gardens; tea_estate_contacts_v2.xlsx::All Contacts; tea_estate_contacts.xlsx::Estate Contacts</t>
  </si>
  <si>
    <t>High</t>
  </si>
  <si>
    <t>Tea Estates number required.xlsx::Sheet1; dibrugarh.xlsx::Gardens; test_export.xlsx::Gardens; tea_estate_contacts_v2.xlsx::All Contacts; tea_estate_contacts.xlsx::Estate Contacts; Tea-Directory-Assam.xls::Worksheet</t>
  </si>
  <si>
    <t>tea_estate_contacts_v2.xlsx::All Contacts; tea_estate_contacts.xlsx::Estate Contacts</t>
  </si>
  <si>
    <t>Medium</t>
  </si>
  <si>
    <t>tea_estate_contacts_v2.xlsx::All Contacts</t>
  </si>
  <si>
    <t>email assam.dooars teaestate.xlsx::Small Assam Gardens Emails; Tea-Directory-Assam.xls::Worksheet</t>
  </si>
  <si>
    <t>Tea-Directory-Assam.xls::Worksheet</t>
  </si>
  <si>
    <t>Low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</si>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</sst>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yyyy\-mm\-dd"/>
    <numFmt numFmtId="166" formatCode="yyyy\-mm\-dd\ hh:mm"/>
  </numFmts>
  <fonts count="32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111111"/>
      <name val="Aptos"/>
    </font>
    <font>
      <sz val="12"/>
      <color theme="10"/>
      <name val="Calibri"/>
      <family val="2"/>
      <scheme val="minor"/>
    </font>
    <font>
      <b/>
      <sz val="24"/>
      <color rgb="FF111111"/>
      <name val="Aptos Display"/>
    </font>
    <font>
      <sz val="11"/>
      <color rgb="FF5B655F"/>
      <name val="Aptos"/>
    </font>
    <font>
      <b/>
      <sz val="10"/>
      <color rgb="FF5B655F"/>
      <name val="Aptos"/>
    </font>
    <font>
      <b/>
      <sz val="22"/>
      <color rgb="FF073B28"/>
      <name val="Aptos Display"/>
    </font>
    <font>
      <b/>
      <sz val="15"/>
      <color rgb="FF111111"/>
      <name val="Aptos Display"/>
    </font>
    <font>
      <b/>
      <sz val="22"/>
      <color rgb="FF111111"/>
      <name val="Aptos Display"/>
    </font>
    <font>
      <b/>
      <sz val="10"/>
      <color rgb="FF111111"/>
      <name val="Aptos"/>
    </font>
    <font>
      <b/>
      <sz val="10"/>
      <color rgb="FFFFFFFF"/>
      <name val="Aptos"/>
    </font>
    <font>
      <sz val="10"/>
      <color rgb="FF111111"/>
      <name val="Aptos"/>
    </font>
    <font>
      <b/>
      <sz val="14"/>
      <color rgb="FF111111"/>
      <name val="Aptos Display"/>
    </font>
    <font>
      <b/>
      <sz val="10"/>
      <color rgb="FF0B5D31"/>
      <name val="Aptos"/>
    </font>
    <font>
      <b/>
      <sz val="10"/>
      <color rgb="FF7A4B00"/>
      <name val="Aptos"/>
    </font>
    <font>
      <b/>
      <sz val="10"/>
      <color rgb="FF9B1C1C"/>
      <name val="Aptos"/>
    </font>
    <font>
      <b/>
      <sz val="10"/>
      <color rgb="FF164E8A"/>
      <name val="Aptos"/>
    </font>
    <font>
      <b/>
      <sz val="10"/>
      <color rgb="FF59635E"/>
      <name val="Aptos"/>
    </font>
    <font>
      <sz val="10"/>
      <color rgb="FF111111"/>
      <name val="Aptos"/>
    </font>
    <font>
      <b/>
      <sz val="10"/>
      <color rgb="FFFFFFFF"/>
      <name val="Aptos"/>
    </font>
    <font>
      <b/>
      <sz val="10"/>
      <color rgb="FFFFFFFF"/>
      <name val="Aptos"/>
    </font>
    <font>
      <sz val="10"/>
      <color rgb="FF111111"/>
      <name val="Aptos"/>
    </font>
    <font>
      <b/>
      <sz val="14"/>
      <color rgb="FF111111"/>
      <name val="Aptos Display"/>
    </font>
    <font>
      <b/>
      <sz val="22"/>
      <color rgb="FF111111"/>
      <name val="Aptos Display"/>
    </font>
    <font>
      <sz val="10"/>
      <color rgb="FF59635E"/>
      <name val="Aptos"/>
    </font>
    <font>
      <b/>
      <sz val="10"/>
      <color rgb="FFFFFFFF"/>
      <name val="Aptos"/>
    </font>
    <font>
      <b/>
      <sz val="10"/>
      <color rgb="FFFFFFFF"/>
      <name val="Aptos"/>
    </font>
    <font>
      <sz val="10"/>
      <color rgb="FF111111"/>
      <name val="Aptos"/>
    </font>
    <font>
      <sz val="10"/>
      <color rgb="FF111111"/>
      <name val="Aptos"/>
    </font>
    <font>
      <sz val="10"/>
      <color rgb="FFFF0000"/>
      <name val="Aptos"/>
      <family val="2"/>
    </font>
    <font>
      <sz val="10"/>
      <color rgb="FF111111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073B28"/>
      </patternFill>
    </fill>
    <fill>
      <patternFill patternType="solid">
        <fgColor rgb="FFF5FBF7"/>
      </patternFill>
    </fill>
    <fill>
      <patternFill patternType="solid">
        <fgColor rgb="FFFFFFFF"/>
      </patternFill>
    </fill>
    <fill>
      <patternFill patternType="solid">
        <fgColor rgb="FFEAF8EF"/>
      </patternFill>
    </fill>
    <fill>
      <patternFill patternType="solid">
        <fgColor rgb="FFFFF3C4"/>
      </patternFill>
    </fill>
    <fill>
      <patternFill patternType="solid">
        <fgColor rgb="FFFCE7E7"/>
      </patternFill>
    </fill>
    <fill>
      <patternFill patternType="solid">
        <fgColor rgb="FF073B28"/>
      </patternFill>
    </fill>
    <fill>
      <patternFill patternType="solid">
        <fgColor rgb="FFDFF3E7"/>
      </patternFill>
    </fill>
    <fill>
      <patternFill patternType="solid">
        <fgColor rgb="FFFFF1C2"/>
      </patternFill>
    </fill>
    <fill>
      <patternFill patternType="solid">
        <fgColor rgb="FFFCE4E4"/>
      </patternFill>
    </fill>
    <fill>
      <patternFill patternType="solid">
        <fgColor rgb="FFE7F0FF"/>
      </patternFill>
    </fill>
    <fill>
      <patternFill patternType="solid">
        <fgColor rgb="FFF2F4F3"/>
      </patternFill>
    </fill>
    <fill>
      <patternFill patternType="solid">
        <fgColor rgb="FFFFFFFF"/>
      </patternFill>
    </fill>
    <fill>
      <patternFill patternType="solid">
        <fgColor rgb="FF073B28"/>
      </patternFill>
    </fill>
    <fill>
      <patternFill patternType="solid">
        <fgColor rgb="FF073B28"/>
      </patternFill>
    </fill>
    <fill>
      <patternFill patternType="solid">
        <fgColor rgb="FFFFFFFF"/>
      </patternFill>
    </fill>
    <fill>
      <patternFill patternType="solid">
        <fgColor rgb="FF073B28"/>
      </patternFill>
    </fill>
    <fill>
      <patternFill patternType="solid">
        <fgColor rgb="FF073B28"/>
      </patternFill>
    </fill>
  </fills>
  <borders count="20">
    <border>
      <left/>
      <right/>
      <top/>
      <bottom/>
      <diagonal/>
    </border>
    <border>
      <left/>
      <right/>
      <top/>
      <bottom style="thin">
        <color rgb="FF9DB7A7"/>
      </bottom>
      <diagonal/>
    </border>
    <border>
      <left/>
      <right/>
      <top/>
      <bottom style="thin">
        <color rgb="FFD7E5DC"/>
      </bottom>
      <diagonal/>
    </border>
    <border>
      <left style="thin">
        <color rgb="FFD7E5DC"/>
      </left>
      <right style="thin">
        <color rgb="FFD7E5DC"/>
      </right>
      <top style="thin">
        <color rgb="FFD7E5DC"/>
      </top>
      <bottom style="thin">
        <color rgb="FFD7E5DC"/>
      </bottom>
      <diagonal/>
    </border>
    <border>
      <left/>
      <right/>
      <top style="thin">
        <color rgb="FFD7E5DC"/>
      </top>
      <bottom/>
      <diagonal/>
    </border>
    <border>
      <left style="thin">
        <color rgb="FFD7E5DC"/>
      </left>
      <right/>
      <top/>
      <bottom/>
      <diagonal/>
    </border>
    <border>
      <left/>
      <right style="thin">
        <color rgb="FFD7E5DC"/>
      </right>
      <top style="thin">
        <color rgb="FFD7E5DC"/>
      </top>
      <bottom/>
      <diagonal/>
    </border>
    <border>
      <left/>
      <right style="thin">
        <color rgb="FFD7E5DC"/>
      </right>
      <top/>
      <bottom/>
      <diagonal/>
    </border>
    <border>
      <left style="thin">
        <color rgb="FFD7E5DC"/>
      </left>
      <right/>
      <top/>
      <bottom style="thin">
        <color rgb="FFD7E5DC"/>
      </bottom>
      <diagonal/>
    </border>
    <border>
      <left/>
      <right style="thin">
        <color rgb="FFD7E5DC"/>
      </right>
      <top/>
      <bottom style="thin">
        <color rgb="FFD7E5DC"/>
      </bottom>
      <diagonal/>
    </border>
    <border>
      <left/>
      <right/>
      <top/>
      <bottom style="thin">
        <color rgb="FF9DB7A7"/>
      </bottom>
      <diagonal/>
    </border>
    <border>
      <left/>
      <right/>
      <top/>
      <bottom style="thin">
        <color rgb="FFD7E5DC"/>
      </bottom>
      <diagonal/>
    </border>
    <border>
      <left/>
      <right/>
      <top/>
      <bottom style="thin">
        <color rgb="FFD7E5DC"/>
      </bottom>
      <diagonal/>
    </border>
    <border>
      <left/>
      <right/>
      <top/>
      <bottom style="thin">
        <color rgb="FF9DB7A7"/>
      </bottom>
      <diagonal/>
    </border>
    <border>
      <left/>
      <right/>
      <top/>
      <bottom style="thin">
        <color rgb="FFD7E5DC"/>
      </bottom>
      <diagonal/>
    </border>
    <border>
      <left/>
      <right/>
      <top/>
      <bottom style="thin">
        <color rgb="FF9DB7A7"/>
      </bottom>
      <diagonal/>
    </border>
    <border>
      <left/>
      <right/>
      <top/>
      <bottom style="thin">
        <color rgb="FFD7E5DC"/>
      </bottom>
      <diagonal/>
    </border>
    <border>
      <left/>
      <right/>
      <top/>
      <bottom style="thin">
        <color rgb="FF9DB7A7"/>
      </bottom>
      <diagonal/>
    </border>
    <border>
      <left/>
      <right/>
      <top/>
      <bottom style="thin">
        <color rgb="FFD7E5DC"/>
      </bottom>
      <diagonal/>
    </border>
    <border>
      <left/>
      <right/>
      <top/>
      <bottom style="thin">
        <color rgb="FFD7E5DC"/>
      </bottom>
      <diagonal/>
    </border>
  </borders>
  <cellStyleXfs count="2">
    <xf numFmtId="0" fontId="0" fillId="0" borderId="0"/>
    <xf numFmtId="0" fontId="3" fillId="0" borderId="0"/>
  </cellStyleXfs>
  <cellXfs count="111">
    <xf numFmtId="0" fontId="0" fillId="0" borderId="0" xfId="0"/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8" fillId="0" borderId="0" xfId="0" applyFont="1" applyAlignment="1">
      <alignment vertical="center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9" fillId="0" borderId="0" xfId="0" applyFont="1" applyAlignment="1">
      <alignment vertical="center"/>
    </xf>
    <xf numFmtId="0" fontId="10" fillId="0" borderId="2" xfId="0" applyFont="1" applyBorder="1"/>
    <xf numFmtId="0" fontId="0" fillId="4" borderId="2" xfId="0" applyFill="1" applyBorder="1" applyAlignment="1">
      <alignment vertical="top" wrapText="1"/>
    </xf>
    <xf numFmtId="0" fontId="3" fillId="0" borderId="0" xfId="1"/>
    <xf numFmtId="0" fontId="0" fillId="3" borderId="2" xfId="0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164" fontId="2" fillId="4" borderId="2" xfId="0" applyNumberFormat="1" applyFont="1" applyFill="1" applyBorder="1" applyAlignment="1">
      <alignment vertical="top" wrapText="1"/>
    </xf>
    <xf numFmtId="0" fontId="13" fillId="0" borderId="0" xfId="0" applyFont="1"/>
    <xf numFmtId="0" fontId="14" fillId="9" borderId="11" xfId="0" applyFont="1" applyFill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16" fillId="11" borderId="11" xfId="0" applyFont="1" applyFill="1" applyBorder="1" applyAlignment="1">
      <alignment horizontal="center"/>
    </xf>
    <xf numFmtId="0" fontId="17" fillId="12" borderId="11" xfId="0" applyFont="1" applyFill="1" applyBorder="1" applyAlignment="1">
      <alignment horizontal="center"/>
    </xf>
    <xf numFmtId="0" fontId="18" fillId="13" borderId="11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vertical="top" wrapText="1"/>
    </xf>
    <xf numFmtId="165" fontId="12" fillId="0" borderId="11" xfId="0" applyNumberFormat="1" applyFont="1" applyBorder="1" applyAlignment="1">
      <alignment vertical="top" wrapText="1"/>
    </xf>
    <xf numFmtId="0" fontId="12" fillId="3" borderId="11" xfId="0" applyFont="1" applyFill="1" applyBorder="1" applyAlignment="1">
      <alignment vertical="top" wrapText="1"/>
    </xf>
    <xf numFmtId="49" fontId="12" fillId="3" borderId="11" xfId="0" applyNumberFormat="1" applyFont="1" applyFill="1" applyBorder="1" applyAlignment="1">
      <alignment vertical="top" wrapText="1"/>
    </xf>
    <xf numFmtId="165" fontId="12" fillId="3" borderId="11" xfId="0" applyNumberFormat="1" applyFont="1" applyFill="1" applyBorder="1" applyAlignment="1">
      <alignment vertical="top" wrapText="1"/>
    </xf>
    <xf numFmtId="0" fontId="2" fillId="3" borderId="11" xfId="0" applyFont="1" applyFill="1" applyBorder="1" applyAlignment="1">
      <alignment vertical="top" wrapText="1"/>
    </xf>
    <xf numFmtId="0" fontId="12" fillId="3" borderId="11" xfId="1" applyFont="1" applyFill="1" applyBorder="1" applyAlignment="1">
      <alignment vertical="top" wrapText="1"/>
    </xf>
    <xf numFmtId="165" fontId="2" fillId="3" borderId="11" xfId="0" applyNumberFormat="1" applyFont="1" applyFill="1" applyBorder="1" applyAlignment="1">
      <alignment vertical="top" wrapText="1"/>
    </xf>
    <xf numFmtId="1" fontId="12" fillId="0" borderId="11" xfId="0" applyNumberFormat="1" applyFont="1" applyBorder="1" applyAlignment="1">
      <alignment vertical="top" wrapText="1"/>
    </xf>
    <xf numFmtId="0" fontId="12" fillId="4" borderId="11" xfId="0" applyFont="1" applyFill="1" applyBorder="1" applyAlignment="1">
      <alignment vertical="top" wrapText="1"/>
    </xf>
    <xf numFmtId="49" fontId="12" fillId="4" borderId="11" xfId="0" applyNumberFormat="1" applyFont="1" applyFill="1" applyBorder="1" applyAlignment="1">
      <alignment vertical="top" wrapText="1"/>
    </xf>
    <xf numFmtId="165" fontId="12" fillId="4" borderId="11" xfId="0" applyNumberFormat="1" applyFont="1" applyFill="1" applyBorder="1" applyAlignment="1">
      <alignment vertical="top" wrapText="1"/>
    </xf>
    <xf numFmtId="0" fontId="2" fillId="4" borderId="11" xfId="0" applyFont="1" applyFill="1" applyBorder="1" applyAlignment="1">
      <alignment vertical="top" wrapText="1"/>
    </xf>
    <xf numFmtId="0" fontId="12" fillId="4" borderId="11" xfId="1" applyFont="1" applyFill="1" applyBorder="1" applyAlignment="1">
      <alignment vertical="top" wrapText="1"/>
    </xf>
    <xf numFmtId="165" fontId="2" fillId="4" borderId="11" xfId="0" applyNumberFormat="1" applyFont="1" applyFill="1" applyBorder="1" applyAlignment="1">
      <alignment vertical="top" wrapText="1"/>
    </xf>
    <xf numFmtId="0" fontId="19" fillId="14" borderId="12" xfId="0" applyFont="1" applyFill="1" applyBorder="1" applyAlignment="1">
      <alignment vertical="top" wrapText="1"/>
    </xf>
    <xf numFmtId="49" fontId="19" fillId="14" borderId="12" xfId="0" applyNumberFormat="1" applyFont="1" applyFill="1" applyBorder="1" applyAlignment="1">
      <alignment vertical="top" wrapText="1"/>
    </xf>
    <xf numFmtId="165" fontId="19" fillId="14" borderId="12" xfId="0" applyNumberFormat="1" applyFont="1" applyFill="1" applyBorder="1" applyAlignment="1">
      <alignment vertical="top" wrapText="1"/>
    </xf>
    <xf numFmtId="1" fontId="19" fillId="14" borderId="12" xfId="0" applyNumberFormat="1" applyFont="1" applyFill="1" applyBorder="1" applyAlignment="1">
      <alignment vertical="top" wrapText="1"/>
    </xf>
    <xf numFmtId="0" fontId="20" fillId="15" borderId="0" xfId="0" applyFont="1" applyFill="1"/>
    <xf numFmtId="164" fontId="0" fillId="0" borderId="0" xfId="0" applyNumberFormat="1"/>
    <xf numFmtId="0" fontId="21" fillId="16" borderId="13" xfId="0" applyFont="1" applyFill="1" applyBorder="1" applyAlignment="1">
      <alignment horizontal="center" vertical="center" wrapText="1"/>
    </xf>
    <xf numFmtId="0" fontId="22" fillId="17" borderId="14" xfId="0" applyFont="1" applyFill="1" applyBorder="1" applyAlignment="1">
      <alignment vertical="top" wrapText="1"/>
    </xf>
    <xf numFmtId="165" fontId="22" fillId="17" borderId="14" xfId="0" applyNumberFormat="1" applyFont="1" applyFill="1" applyBorder="1" applyAlignment="1">
      <alignment vertical="top" wrapText="1"/>
    </xf>
    <xf numFmtId="0" fontId="23" fillId="0" borderId="0" xfId="0" applyFont="1"/>
    <xf numFmtId="0" fontId="26" fillId="18" borderId="15" xfId="0" applyFont="1" applyFill="1" applyBorder="1" applyAlignment="1">
      <alignment horizontal="center" vertical="center" wrapText="1"/>
    </xf>
    <xf numFmtId="0" fontId="3" fillId="0" borderId="16" xfId="1" applyBorder="1" applyAlignment="1">
      <alignment vertical="top"/>
    </xf>
    <xf numFmtId="0" fontId="0" fillId="0" borderId="16" xfId="0" applyBorder="1" applyAlignment="1">
      <alignment vertical="top"/>
    </xf>
    <xf numFmtId="0" fontId="27" fillId="19" borderId="17" xfId="0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vertical="top" wrapText="1"/>
    </xf>
    <xf numFmtId="166" fontId="28" fillId="0" borderId="18" xfId="0" applyNumberFormat="1" applyFont="1" applyBorder="1" applyAlignment="1">
      <alignment vertical="top" wrapText="1"/>
    </xf>
    <xf numFmtId="0" fontId="29" fillId="0" borderId="19" xfId="0" applyFont="1" applyBorder="1" applyAlignment="1">
      <alignment vertical="top" wrapText="1"/>
    </xf>
    <xf numFmtId="166" fontId="29" fillId="0" borderId="19" xfId="0" applyNumberFormat="1" applyFont="1" applyBorder="1" applyAlignment="1">
      <alignment vertical="top" wrapText="1"/>
    </xf>
    <xf numFmtId="0" fontId="24" fillId="0" borderId="0" xfId="0" applyFont="1"/>
    <xf numFmtId="0" fontId="0" fillId="0" borderId="0" xfId="0"/>
    <xf numFmtId="0" fontId="25" fillId="0" borderId="0" xfId="0" applyFont="1"/>
    <xf numFmtId="0" fontId="0" fillId="3" borderId="3" xfId="0" applyFill="1" applyBorder="1" applyAlignment="1">
      <alignment vertical="top" wrapText="1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8" xfId="0" applyBorder="1"/>
    <xf numFmtId="0" fontId="0" fillId="0" borderId="9" xfId="0" applyBorder="1"/>
    <xf numFmtId="0" fontId="5" fillId="0" borderId="0" xfId="0" applyFont="1"/>
    <xf numFmtId="0" fontId="4" fillId="0" borderId="0" xfId="0" applyFont="1" applyAlignment="1">
      <alignment vertical="center"/>
    </xf>
    <xf numFmtId="0" fontId="30" fillId="17" borderId="14" xfId="0" applyFont="1" applyFill="1" applyBorder="1" applyAlignment="1">
      <alignment vertical="top" wrapText="1"/>
    </xf>
    <xf numFmtId="165" fontId="30" fillId="4" borderId="11" xfId="0" applyNumberFormat="1" applyFont="1" applyFill="1" applyBorder="1" applyAlignment="1">
      <alignment vertical="top" wrapText="1"/>
    </xf>
    <xf numFmtId="165" fontId="30" fillId="3" borderId="11" xfId="0" applyNumberFormat="1" applyFont="1" applyFill="1" applyBorder="1" applyAlignment="1">
      <alignment vertical="top" wrapText="1"/>
    </xf>
    <xf numFmtId="0" fontId="19" fillId="14" borderId="11" xfId="0" applyFont="1" applyFill="1" applyBorder="1" applyAlignment="1">
      <alignment vertical="top" wrapText="1"/>
    </xf>
    <xf numFmtId="0" fontId="12" fillId="4" borderId="12" xfId="0" applyFont="1" applyFill="1" applyBorder="1" applyAlignment="1">
      <alignment vertical="top" wrapText="1"/>
    </xf>
    <xf numFmtId="0" fontId="12" fillId="3" borderId="12" xfId="0" applyFont="1" applyFill="1" applyBorder="1" applyAlignment="1">
      <alignment vertical="top" wrapText="1"/>
    </xf>
    <xf numFmtId="0" fontId="2" fillId="3" borderId="12" xfId="0" applyFont="1" applyFill="1" applyBorder="1" applyAlignment="1">
      <alignment vertical="top" wrapText="1"/>
    </xf>
    <xf numFmtId="0" fontId="2" fillId="4" borderId="12" xfId="0" applyFont="1" applyFill="1" applyBorder="1" applyAlignment="1">
      <alignment vertical="top" wrapText="1"/>
    </xf>
    <xf numFmtId="49" fontId="19" fillId="14" borderId="11" xfId="0" applyNumberFormat="1" applyFont="1" applyFill="1" applyBorder="1" applyAlignment="1">
      <alignment vertical="top" wrapText="1"/>
    </xf>
    <xf numFmtId="49" fontId="12" fillId="4" borderId="12" xfId="0" applyNumberFormat="1" applyFont="1" applyFill="1" applyBorder="1" applyAlignment="1">
      <alignment vertical="top" wrapText="1"/>
    </xf>
    <xf numFmtId="49" fontId="12" fillId="3" borderId="12" xfId="0" applyNumberFormat="1" applyFont="1" applyFill="1" applyBorder="1" applyAlignment="1">
      <alignment vertical="top" wrapText="1"/>
    </xf>
    <xf numFmtId="165" fontId="19" fillId="14" borderId="11" xfId="0" applyNumberFormat="1" applyFont="1" applyFill="1" applyBorder="1" applyAlignment="1">
      <alignment vertical="top" wrapText="1"/>
    </xf>
    <xf numFmtId="165" fontId="12" fillId="4" borderId="12" xfId="0" applyNumberFormat="1" applyFont="1" applyFill="1" applyBorder="1" applyAlignment="1">
      <alignment vertical="top" wrapText="1"/>
    </xf>
    <xf numFmtId="165" fontId="12" fillId="3" borderId="12" xfId="0" applyNumberFormat="1" applyFont="1" applyFill="1" applyBorder="1" applyAlignment="1">
      <alignment vertical="top" wrapText="1"/>
    </xf>
    <xf numFmtId="165" fontId="30" fillId="4" borderId="12" xfId="0" applyNumberFormat="1" applyFont="1" applyFill="1" applyBorder="1" applyAlignment="1">
      <alignment vertical="top" wrapText="1"/>
    </xf>
    <xf numFmtId="165" fontId="30" fillId="3" borderId="12" xfId="0" applyNumberFormat="1" applyFont="1" applyFill="1" applyBorder="1" applyAlignment="1">
      <alignment vertical="top" wrapText="1"/>
    </xf>
    <xf numFmtId="0" fontId="3" fillId="0" borderId="11" xfId="1" applyBorder="1"/>
    <xf numFmtId="0" fontId="12" fillId="4" borderId="0" xfId="1" applyFont="1" applyFill="1" applyBorder="1" applyAlignment="1">
      <alignment vertical="top" wrapText="1"/>
    </xf>
    <xf numFmtId="0" fontId="12" fillId="3" borderId="0" xfId="1" applyFont="1" applyFill="1" applyBorder="1" applyAlignment="1">
      <alignment vertical="top" wrapText="1"/>
    </xf>
    <xf numFmtId="0" fontId="19" fillId="14" borderId="0" xfId="1" applyFont="1" applyFill="1" applyBorder="1" applyAlignment="1">
      <alignment vertical="top" wrapText="1"/>
    </xf>
    <xf numFmtId="0" fontId="3" fillId="0" borderId="12" xfId="1" applyBorder="1"/>
    <xf numFmtId="165" fontId="2" fillId="4" borderId="12" xfId="0" applyNumberFormat="1" applyFont="1" applyFill="1" applyBorder="1" applyAlignment="1">
      <alignment vertical="top" wrapText="1"/>
    </xf>
    <xf numFmtId="165" fontId="2" fillId="3" borderId="12" xfId="0" applyNumberFormat="1" applyFont="1" applyFill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1" fontId="19" fillId="14" borderId="11" xfId="0" applyNumberFormat="1" applyFont="1" applyFill="1" applyBorder="1" applyAlignment="1">
      <alignment vertical="top" wrapText="1"/>
    </xf>
    <xf numFmtId="1" fontId="12" fillId="0" borderId="12" xfId="0" applyNumberFormat="1" applyFont="1" applyBorder="1" applyAlignment="1">
      <alignment vertical="top" wrapText="1"/>
    </xf>
    <xf numFmtId="165" fontId="12" fillId="0" borderId="12" xfId="0" applyNumberFormat="1" applyFont="1" applyBorder="1" applyAlignment="1">
      <alignment vertical="top" wrapText="1"/>
    </xf>
    <xf numFmtId="0" fontId="28" fillId="0" borderId="19" xfId="0" applyFont="1" applyBorder="1" applyAlignment="1">
      <alignment vertical="top" wrapText="1"/>
    </xf>
    <xf numFmtId="0" fontId="29" fillId="0" borderId="18" xfId="0" applyFont="1" applyBorder="1" applyAlignment="1">
      <alignment vertical="top" wrapText="1"/>
    </xf>
    <xf numFmtId="166" fontId="28" fillId="0" borderId="19" xfId="0" applyNumberFormat="1" applyFont="1" applyBorder="1" applyAlignment="1">
      <alignment vertical="top" wrapText="1"/>
    </xf>
    <xf numFmtId="166" fontId="29" fillId="0" borderId="18" xfId="0" applyNumberFormat="1" applyFont="1" applyBorder="1" applyAlignment="1">
      <alignment vertical="top" wrapText="1"/>
    </xf>
    <xf numFmtId="0" fontId="30" fillId="4" borderId="11" xfId="0" applyFont="1" applyFill="1" applyBorder="1" applyAlignment="1">
      <alignment vertical="top" wrapText="1"/>
    </xf>
    <xf numFmtId="49" fontId="2" fillId="3" borderId="12" xfId="0" applyNumberFormat="1" applyFont="1" applyFill="1" applyBorder="1" applyAlignment="1">
      <alignment vertical="top" wrapText="1"/>
    </xf>
    <xf numFmtId="49" fontId="2" fillId="4" borderId="12" xfId="0" applyNumberFormat="1" applyFont="1" applyFill="1" applyBorder="1" applyAlignment="1">
      <alignment vertical="top" wrapText="1"/>
    </xf>
    <xf numFmtId="0" fontId="30" fillId="4" borderId="12" xfId="0" applyFont="1" applyFill="1" applyBorder="1" applyAlignment="1">
      <alignment vertical="top" wrapText="1"/>
    </xf>
    <xf numFmtId="0" fontId="31" fillId="14" borderId="12" xfId="0" applyFont="1" applyFill="1" applyBorder="1" applyAlignment="1">
      <alignment vertical="top" wrapText="1"/>
    </xf>
    <xf numFmtId="49" fontId="30" fillId="14" borderId="11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242">
    <dxf>
      <fill>
        <patternFill patternType="solid">
          <fgColor rgb="FFDFF3E7"/>
          <bgColor rgb="FFFFFFFF"/>
        </patternFill>
      </fill>
    </dxf>
    <dxf>
      <fill>
        <patternFill patternType="solid">
          <fgColor rgb="FFDFF3E7"/>
          <bgColor rgb="FFFFFFFF"/>
        </patternFill>
      </fill>
    </dxf>
    <dxf>
      <fill>
        <patternFill patternType="solid">
          <fgColor rgb="FFF5FBF7"/>
          <bgColor rgb="FFFFFFFF"/>
        </patternFill>
      </fill>
    </dxf>
    <dxf>
      <fill>
        <patternFill patternType="solid">
          <fgColor rgb="FFF5FBF7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1C2"/>
          <bgColor rgb="FFFFFFFF"/>
        </patternFill>
      </fill>
    </dxf>
    <dxf>
      <fill>
        <patternFill patternType="solid">
          <fgColor rgb="FFFFF1C2"/>
          <bgColor rgb="FFFFFFFF"/>
        </patternFill>
      </fill>
    </dxf>
    <dxf>
      <font>
        <b/>
        <color rgb="FF59635E"/>
      </font>
      <fill>
        <patternFill>
          <bgColor rgb="FFF2F4F3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59635E"/>
      </font>
      <fill>
        <patternFill>
          <bgColor rgb="FFF2F4F3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59635E"/>
      </font>
      <fill>
        <patternFill>
          <bgColor rgb="FFF2F4F3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59635E"/>
      </font>
      <fill>
        <patternFill>
          <bgColor rgb="FFF2F4F3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59635E"/>
      </font>
      <fill>
        <patternFill>
          <bgColor rgb="FFF2F4F3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59635E"/>
      </font>
      <fill>
        <patternFill>
          <bgColor rgb="FFF2F4F3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164E8A"/>
      </font>
      <fill>
        <patternFill>
          <bgColor rgb="FFE7F0FF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9B1C1C"/>
      </font>
      <fill>
        <patternFill>
          <bgColor rgb="FFFCE4E4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7A4B00"/>
      </font>
      <fill>
        <patternFill>
          <bgColor rgb="FFFFF1C2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  <dxf>
      <font>
        <b/>
        <color rgb="FF0B5D31"/>
      </font>
      <fill>
        <patternFill>
          <bgColor rgb="FFDFF3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Send Funnel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Dashboard!$B$9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Dashboard!$A$10:$A$14</c:f>
              <c:strCache>
                <c:ptCount val="5"/>
                <c:pt idx="0">
                  <c:v>Not sent</c:v>
                </c:pt>
                <c:pt idx="1">
                  <c:v>Sent</c:v>
                </c:pt>
                <c:pt idx="2">
                  <c:v>Delivered</c:v>
                </c:pt>
                <c:pt idx="3">
                  <c:v>Read</c:v>
                </c:pt>
                <c:pt idx="4">
                  <c:v>Failed</c:v>
                </c:pt>
              </c:strCache>
            </c:strRef>
          </c:cat>
          <c:val>
            <c:numRef>
              <c:f>Dashboard!$B$10:$B$14</c:f>
              <c:numCache>
                <c:formatCode>0</c:formatCode>
                <c:ptCount val="5"/>
                <c:pt idx="0">
                  <c:v>464</c:v>
                </c:pt>
                <c:pt idx="1">
                  <c:v>6</c:v>
                </c:pt>
                <c:pt idx="2">
                  <c:v>24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7-46C1-BDBA-F79E9E68B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Leads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432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gardensuite.in/w/face-weight-499" TargetMode="External"/><Relationship Id="rId170" Type="http://schemas.openxmlformats.org/officeDocument/2006/relationships/hyperlink" Target="https://gardensuite.in/w/face-weight-499" TargetMode="External"/><Relationship Id="rId268" Type="http://schemas.openxmlformats.org/officeDocument/2006/relationships/hyperlink" Target="https://gardensuite.in/w/face-weight-499" TargetMode="External"/><Relationship Id="rId475" Type="http://schemas.openxmlformats.org/officeDocument/2006/relationships/hyperlink" Target="https://wa.me/919206195637" TargetMode="External"/><Relationship Id="rId682" Type="http://schemas.openxmlformats.org/officeDocument/2006/relationships/hyperlink" Target="https://gardensuite.in/w/face-weight-499" TargetMode="External"/><Relationship Id="rId128" Type="http://schemas.openxmlformats.org/officeDocument/2006/relationships/hyperlink" Target="https://gardensuite.in/w/face-weight-499" TargetMode="External"/><Relationship Id="rId335" Type="http://schemas.openxmlformats.org/officeDocument/2006/relationships/hyperlink" Target="https://wa.me/919435026844" TargetMode="External"/><Relationship Id="rId542" Type="http://schemas.openxmlformats.org/officeDocument/2006/relationships/hyperlink" Target="https://gardensuite.in/w/face-weight-499" TargetMode="External"/><Relationship Id="rId987" Type="http://schemas.openxmlformats.org/officeDocument/2006/relationships/hyperlink" Target="https://wa.me/919435088605" TargetMode="External"/><Relationship Id="rId181" Type="http://schemas.openxmlformats.org/officeDocument/2006/relationships/hyperlink" Target="https://wa.me/918453061345" TargetMode="External"/><Relationship Id="rId402" Type="http://schemas.openxmlformats.org/officeDocument/2006/relationships/hyperlink" Target="https://gardensuite.in/w/face-weight-499" TargetMode="External"/><Relationship Id="rId847" Type="http://schemas.openxmlformats.org/officeDocument/2006/relationships/hyperlink" Target="https://wa.me/919435749958" TargetMode="External"/><Relationship Id="rId1032" Type="http://schemas.openxmlformats.org/officeDocument/2006/relationships/hyperlink" Target="https://gardensuite.in/w/face-weight-499" TargetMode="External"/><Relationship Id="rId279" Type="http://schemas.openxmlformats.org/officeDocument/2006/relationships/hyperlink" Target="https://wa.me/919957172140" TargetMode="External"/><Relationship Id="rId486" Type="http://schemas.openxmlformats.org/officeDocument/2006/relationships/hyperlink" Target="https://gardensuite.in/w/face-weight-499" TargetMode="External"/><Relationship Id="rId693" Type="http://schemas.openxmlformats.org/officeDocument/2006/relationships/hyperlink" Target="https://wa.me/919830040980" TargetMode="External"/><Relationship Id="rId707" Type="http://schemas.openxmlformats.org/officeDocument/2006/relationships/hyperlink" Target="https://wa.me/919957008453" TargetMode="External"/><Relationship Id="rId914" Type="http://schemas.openxmlformats.org/officeDocument/2006/relationships/hyperlink" Target="https://gardensuite.in/w/face-weight-499" TargetMode="External"/><Relationship Id="rId43" Type="http://schemas.openxmlformats.org/officeDocument/2006/relationships/hyperlink" Target="https://wa.me/919365634055" TargetMode="External"/><Relationship Id="rId139" Type="http://schemas.openxmlformats.org/officeDocument/2006/relationships/hyperlink" Target="https://wa.me/919395331162" TargetMode="External"/><Relationship Id="rId346" Type="http://schemas.openxmlformats.org/officeDocument/2006/relationships/hyperlink" Target="https://gardensuite.in/w/face-weight-499" TargetMode="External"/><Relationship Id="rId553" Type="http://schemas.openxmlformats.org/officeDocument/2006/relationships/hyperlink" Target="https://wa.me/919954113528" TargetMode="External"/><Relationship Id="rId760" Type="http://schemas.openxmlformats.org/officeDocument/2006/relationships/hyperlink" Target="https://gardensuite.in/w/face-weight-499" TargetMode="External"/><Relationship Id="rId998" Type="http://schemas.openxmlformats.org/officeDocument/2006/relationships/hyperlink" Target="https://gardensuite.in/w/face-weight-499" TargetMode="External"/><Relationship Id="rId192" Type="http://schemas.openxmlformats.org/officeDocument/2006/relationships/hyperlink" Target="https://gardensuite.in/w/face-weight-499" TargetMode="External"/><Relationship Id="rId206" Type="http://schemas.openxmlformats.org/officeDocument/2006/relationships/hyperlink" Target="https://gardensuite.in/w/face-weight-499" TargetMode="External"/><Relationship Id="rId413" Type="http://schemas.openxmlformats.org/officeDocument/2006/relationships/hyperlink" Target="https://wa.me/919435151380" TargetMode="External"/><Relationship Id="rId858" Type="http://schemas.openxmlformats.org/officeDocument/2006/relationships/hyperlink" Target="https://gardensuite.in/w/face-weight-499" TargetMode="External"/><Relationship Id="rId497" Type="http://schemas.openxmlformats.org/officeDocument/2006/relationships/hyperlink" Target="https://wa.me/919831008777" TargetMode="External"/><Relationship Id="rId620" Type="http://schemas.openxmlformats.org/officeDocument/2006/relationships/hyperlink" Target="https://gardensuite.in/w/face-weight-499" TargetMode="External"/><Relationship Id="rId718" Type="http://schemas.openxmlformats.org/officeDocument/2006/relationships/hyperlink" Target="https://gardensuite.in/w/face-weight-499" TargetMode="External"/><Relationship Id="rId925" Type="http://schemas.openxmlformats.org/officeDocument/2006/relationships/hyperlink" Target="https://wa.me/919435537174" TargetMode="External"/><Relationship Id="rId357" Type="http://schemas.openxmlformats.org/officeDocument/2006/relationships/hyperlink" Target="https://wa.me/919854307994" TargetMode="External"/><Relationship Id="rId54" Type="http://schemas.openxmlformats.org/officeDocument/2006/relationships/hyperlink" Target="https://gardensuite.in/w/face-weight-499" TargetMode="External"/><Relationship Id="rId217" Type="http://schemas.openxmlformats.org/officeDocument/2006/relationships/hyperlink" Target="https://wa.me/919435076569" TargetMode="External"/><Relationship Id="rId564" Type="http://schemas.openxmlformats.org/officeDocument/2006/relationships/hyperlink" Target="https://gardensuite.in/w/face-weight-499" TargetMode="External"/><Relationship Id="rId771" Type="http://schemas.openxmlformats.org/officeDocument/2006/relationships/hyperlink" Target="https://wa.me/919435461117" TargetMode="External"/><Relationship Id="rId869" Type="http://schemas.openxmlformats.org/officeDocument/2006/relationships/hyperlink" Target="https://wa.me/919831462106" TargetMode="External"/><Relationship Id="rId424" Type="http://schemas.openxmlformats.org/officeDocument/2006/relationships/hyperlink" Target="https://gardensuite.in/w/face-weight-499" TargetMode="External"/><Relationship Id="rId631" Type="http://schemas.openxmlformats.org/officeDocument/2006/relationships/hyperlink" Target="https://wa.me/919435059050" TargetMode="External"/><Relationship Id="rId729" Type="http://schemas.openxmlformats.org/officeDocument/2006/relationships/hyperlink" Target="https://wa.me/919435178808" TargetMode="External"/><Relationship Id="rId270" Type="http://schemas.openxmlformats.org/officeDocument/2006/relationships/hyperlink" Target="https://gardensuite.in/w/face-weight-499" TargetMode="External"/><Relationship Id="rId936" Type="http://schemas.openxmlformats.org/officeDocument/2006/relationships/hyperlink" Target="https://gardensuite.in/w/face-weight-499" TargetMode="External"/><Relationship Id="rId65" Type="http://schemas.openxmlformats.org/officeDocument/2006/relationships/hyperlink" Target="https://gardensuite.in/w/face-weight-499" TargetMode="External"/><Relationship Id="rId130" Type="http://schemas.openxmlformats.org/officeDocument/2006/relationships/hyperlink" Target="https://gardensuite.in/w/face-weight-499" TargetMode="External"/><Relationship Id="rId368" Type="http://schemas.openxmlformats.org/officeDocument/2006/relationships/hyperlink" Target="https://gardensuite.in/w/face-weight-499" TargetMode="External"/><Relationship Id="rId575" Type="http://schemas.openxmlformats.org/officeDocument/2006/relationships/hyperlink" Target="https://wa.me/919435052182" TargetMode="External"/><Relationship Id="rId782" Type="http://schemas.openxmlformats.org/officeDocument/2006/relationships/hyperlink" Target="https://gardensuite.in/w/face-weight-499" TargetMode="External"/><Relationship Id="rId228" Type="http://schemas.openxmlformats.org/officeDocument/2006/relationships/hyperlink" Target="https://gardensuite.in/w/face-weight-499" TargetMode="External"/><Relationship Id="rId435" Type="http://schemas.openxmlformats.org/officeDocument/2006/relationships/hyperlink" Target="https://wa.me/919433006082" TargetMode="External"/><Relationship Id="rId642" Type="http://schemas.openxmlformats.org/officeDocument/2006/relationships/hyperlink" Target="https://gardensuite.in/w/face-weight-499" TargetMode="External"/><Relationship Id="rId281" Type="http://schemas.openxmlformats.org/officeDocument/2006/relationships/hyperlink" Target="https://wa.me/919859939161" TargetMode="External"/><Relationship Id="rId502" Type="http://schemas.openxmlformats.org/officeDocument/2006/relationships/hyperlink" Target="https://gardensuite.in/w/face-weight-499" TargetMode="External"/><Relationship Id="rId947" Type="http://schemas.openxmlformats.org/officeDocument/2006/relationships/hyperlink" Target="https://wa.me/919435054243" TargetMode="External"/><Relationship Id="rId76" Type="http://schemas.openxmlformats.org/officeDocument/2006/relationships/hyperlink" Target="https://gardensuite.in/w/face-weight-499" TargetMode="External"/><Relationship Id="rId141" Type="http://schemas.openxmlformats.org/officeDocument/2006/relationships/hyperlink" Target="https://wa.me/919435032131" TargetMode="External"/><Relationship Id="rId379" Type="http://schemas.openxmlformats.org/officeDocument/2006/relationships/hyperlink" Target="https://wa.me/919435335860" TargetMode="External"/><Relationship Id="rId586" Type="http://schemas.openxmlformats.org/officeDocument/2006/relationships/hyperlink" Target="https://gardensuite.in/w/face-weight-499" TargetMode="External"/><Relationship Id="rId793" Type="http://schemas.openxmlformats.org/officeDocument/2006/relationships/hyperlink" Target="https://wa.me/919435031779" TargetMode="External"/><Relationship Id="rId807" Type="http://schemas.openxmlformats.org/officeDocument/2006/relationships/hyperlink" Target="https://wa.me/919435908715" TargetMode="External"/><Relationship Id="rId7" Type="http://schemas.openxmlformats.org/officeDocument/2006/relationships/hyperlink" Target="https://gardensuite.in/w/face-weight-499" TargetMode="External"/><Relationship Id="rId239" Type="http://schemas.openxmlformats.org/officeDocument/2006/relationships/hyperlink" Target="https://wa.me/919435108511" TargetMode="External"/><Relationship Id="rId446" Type="http://schemas.openxmlformats.org/officeDocument/2006/relationships/hyperlink" Target="https://gardensuite.in/w/face-weight-499" TargetMode="External"/><Relationship Id="rId653" Type="http://schemas.openxmlformats.org/officeDocument/2006/relationships/hyperlink" Target="https://wa.me/919859952215" TargetMode="External"/><Relationship Id="rId292" Type="http://schemas.openxmlformats.org/officeDocument/2006/relationships/hyperlink" Target="https://gardensuite.in/w/face-weight-499" TargetMode="External"/><Relationship Id="rId306" Type="http://schemas.openxmlformats.org/officeDocument/2006/relationships/hyperlink" Target="https://gardensuite.in/w/face-weight-499" TargetMode="External"/><Relationship Id="rId860" Type="http://schemas.openxmlformats.org/officeDocument/2006/relationships/hyperlink" Target="https://gardensuite.in/w/face-weight-499" TargetMode="External"/><Relationship Id="rId958" Type="http://schemas.openxmlformats.org/officeDocument/2006/relationships/hyperlink" Target="https://gardensuite.in/w/face-weight-499" TargetMode="External"/><Relationship Id="rId87" Type="http://schemas.openxmlformats.org/officeDocument/2006/relationships/hyperlink" Target="https://wa.me/919954440448" TargetMode="External"/><Relationship Id="rId513" Type="http://schemas.openxmlformats.org/officeDocument/2006/relationships/hyperlink" Target="https://wa.me/919706261542" TargetMode="External"/><Relationship Id="rId597" Type="http://schemas.openxmlformats.org/officeDocument/2006/relationships/hyperlink" Target="https://wa.me/919435199931" TargetMode="External"/><Relationship Id="rId720" Type="http://schemas.openxmlformats.org/officeDocument/2006/relationships/hyperlink" Target="https://gardensuite.in/w/face-weight-499" TargetMode="External"/><Relationship Id="rId818" Type="http://schemas.openxmlformats.org/officeDocument/2006/relationships/hyperlink" Target="https://gardensuite.in/w/face-weight-499" TargetMode="External"/><Relationship Id="rId152" Type="http://schemas.openxmlformats.org/officeDocument/2006/relationships/hyperlink" Target="https://gardensuite.in/w/face-weight-499" TargetMode="External"/><Relationship Id="rId457" Type="http://schemas.openxmlformats.org/officeDocument/2006/relationships/hyperlink" Target="https://wa.me/919859939182" TargetMode="External"/><Relationship Id="rId1003" Type="http://schemas.openxmlformats.org/officeDocument/2006/relationships/hyperlink" Target="https://wa.me/919435136743" TargetMode="External"/><Relationship Id="rId664" Type="http://schemas.openxmlformats.org/officeDocument/2006/relationships/hyperlink" Target="https://gardensuite.in/w/face-weight-499" TargetMode="External"/><Relationship Id="rId871" Type="http://schemas.openxmlformats.org/officeDocument/2006/relationships/hyperlink" Target="https://wa.me/919435031800" TargetMode="External"/><Relationship Id="rId969" Type="http://schemas.openxmlformats.org/officeDocument/2006/relationships/hyperlink" Target="https://wa.me/919435058503" TargetMode="External"/><Relationship Id="rId14" Type="http://schemas.openxmlformats.org/officeDocument/2006/relationships/hyperlink" Target="https://wa.me/919085525377" TargetMode="External"/><Relationship Id="rId317" Type="http://schemas.openxmlformats.org/officeDocument/2006/relationships/hyperlink" Target="https://wa.me/919435173033" TargetMode="External"/><Relationship Id="rId524" Type="http://schemas.openxmlformats.org/officeDocument/2006/relationships/hyperlink" Target="https://gardensuite.in/w/face-weight-499" TargetMode="External"/><Relationship Id="rId731" Type="http://schemas.openxmlformats.org/officeDocument/2006/relationships/hyperlink" Target="https://wa.me/919435526991" TargetMode="External"/><Relationship Id="rId98" Type="http://schemas.openxmlformats.org/officeDocument/2006/relationships/hyperlink" Target="https://gardensuite.in/w/face-weight-499" TargetMode="External"/><Relationship Id="rId163" Type="http://schemas.openxmlformats.org/officeDocument/2006/relationships/hyperlink" Target="https://wa.me/916003018224" TargetMode="External"/><Relationship Id="rId370" Type="http://schemas.openxmlformats.org/officeDocument/2006/relationships/hyperlink" Target="https://gardensuite.in/w/face-weight-499" TargetMode="External"/><Relationship Id="rId829" Type="http://schemas.openxmlformats.org/officeDocument/2006/relationships/hyperlink" Target="https://wa.me/919831008542" TargetMode="External"/><Relationship Id="rId1014" Type="http://schemas.openxmlformats.org/officeDocument/2006/relationships/hyperlink" Target="https://gardensuite.in/w/face-weight-499" TargetMode="External"/><Relationship Id="rId230" Type="http://schemas.openxmlformats.org/officeDocument/2006/relationships/hyperlink" Target="https://gardensuite.in/w/face-weight-499" TargetMode="External"/><Relationship Id="rId468" Type="http://schemas.openxmlformats.org/officeDocument/2006/relationships/hyperlink" Target="https://gardensuite.in/w/face-weight-499" TargetMode="External"/><Relationship Id="rId675" Type="http://schemas.openxmlformats.org/officeDocument/2006/relationships/hyperlink" Target="https://wa.me/919435009147" TargetMode="External"/><Relationship Id="rId882" Type="http://schemas.openxmlformats.org/officeDocument/2006/relationships/hyperlink" Target="https://gardensuite.in/w/face-weight-499" TargetMode="External"/><Relationship Id="rId25" Type="http://schemas.openxmlformats.org/officeDocument/2006/relationships/hyperlink" Target="https://gardensuite.in/w/face-weight-499" TargetMode="External"/><Relationship Id="rId328" Type="http://schemas.openxmlformats.org/officeDocument/2006/relationships/hyperlink" Target="https://gardensuite.in/w/face-weight-499" TargetMode="External"/><Relationship Id="rId535" Type="http://schemas.openxmlformats.org/officeDocument/2006/relationships/hyperlink" Target="https://wa.me/919435067927" TargetMode="External"/><Relationship Id="rId742" Type="http://schemas.openxmlformats.org/officeDocument/2006/relationships/hyperlink" Target="https://gardensuite.in/w/face-weight-499" TargetMode="External"/><Relationship Id="rId174" Type="http://schemas.openxmlformats.org/officeDocument/2006/relationships/hyperlink" Target="https://gardensuite.in/w/face-weight-499" TargetMode="External"/><Relationship Id="rId381" Type="http://schemas.openxmlformats.org/officeDocument/2006/relationships/hyperlink" Target="https://wa.me/919613852219" TargetMode="External"/><Relationship Id="rId602" Type="http://schemas.openxmlformats.org/officeDocument/2006/relationships/hyperlink" Target="https://gardensuite.in/w/face-weight-499" TargetMode="External"/><Relationship Id="rId1025" Type="http://schemas.openxmlformats.org/officeDocument/2006/relationships/hyperlink" Target="https://wa.me/919435030695" TargetMode="External"/><Relationship Id="rId241" Type="http://schemas.openxmlformats.org/officeDocument/2006/relationships/hyperlink" Target="https://wa.me/919401625864" TargetMode="External"/><Relationship Id="rId479" Type="http://schemas.openxmlformats.org/officeDocument/2006/relationships/hyperlink" Target="https://wa.me/919435172193" TargetMode="External"/><Relationship Id="rId686" Type="http://schemas.openxmlformats.org/officeDocument/2006/relationships/hyperlink" Target="https://gardensuite.in/w/face-weight-499" TargetMode="External"/><Relationship Id="rId893" Type="http://schemas.openxmlformats.org/officeDocument/2006/relationships/hyperlink" Target="https://wa.me/919435106515" TargetMode="External"/><Relationship Id="rId907" Type="http://schemas.openxmlformats.org/officeDocument/2006/relationships/hyperlink" Target="https://wa.me/919435055792" TargetMode="External"/><Relationship Id="rId36" Type="http://schemas.openxmlformats.org/officeDocument/2006/relationships/hyperlink" Target="https://wa.me/916001684868" TargetMode="External"/><Relationship Id="rId339" Type="http://schemas.openxmlformats.org/officeDocument/2006/relationships/hyperlink" Target="https://wa.me/919954229915" TargetMode="External"/><Relationship Id="rId546" Type="http://schemas.openxmlformats.org/officeDocument/2006/relationships/hyperlink" Target="https://gardensuite.in/w/face-weight-499" TargetMode="External"/><Relationship Id="rId753" Type="http://schemas.openxmlformats.org/officeDocument/2006/relationships/hyperlink" Target="https://wa.me/919435030732" TargetMode="External"/><Relationship Id="rId101" Type="http://schemas.openxmlformats.org/officeDocument/2006/relationships/hyperlink" Target="https://wa.me/917002201299" TargetMode="External"/><Relationship Id="rId185" Type="http://schemas.openxmlformats.org/officeDocument/2006/relationships/hyperlink" Target="https://wa.me/918876449550" TargetMode="External"/><Relationship Id="rId406" Type="http://schemas.openxmlformats.org/officeDocument/2006/relationships/hyperlink" Target="https://gardensuite.in/w/face-weight-499" TargetMode="External"/><Relationship Id="rId960" Type="http://schemas.openxmlformats.org/officeDocument/2006/relationships/hyperlink" Target="https://gardensuite.in/w/face-weight-499" TargetMode="External"/><Relationship Id="rId1036" Type="http://schemas.openxmlformats.org/officeDocument/2006/relationships/hyperlink" Target="https://gardensuite.in/w/face-weight-499" TargetMode="External"/><Relationship Id="rId392" Type="http://schemas.openxmlformats.org/officeDocument/2006/relationships/hyperlink" Target="https://gardensuite.in/w/face-weight-499" TargetMode="External"/><Relationship Id="rId613" Type="http://schemas.openxmlformats.org/officeDocument/2006/relationships/hyperlink" Target="https://wa.me/919435033825" TargetMode="External"/><Relationship Id="rId697" Type="http://schemas.openxmlformats.org/officeDocument/2006/relationships/hyperlink" Target="https://wa.me/919436000027" TargetMode="External"/><Relationship Id="rId820" Type="http://schemas.openxmlformats.org/officeDocument/2006/relationships/hyperlink" Target="https://gardensuite.in/w/face-weight-499" TargetMode="External"/><Relationship Id="rId918" Type="http://schemas.openxmlformats.org/officeDocument/2006/relationships/hyperlink" Target="https://gardensuite.in/w/face-weight-499" TargetMode="External"/><Relationship Id="rId252" Type="http://schemas.openxmlformats.org/officeDocument/2006/relationships/hyperlink" Target="https://gardensuite.in/w/face-weight-499" TargetMode="External"/><Relationship Id="rId47" Type="http://schemas.openxmlformats.org/officeDocument/2006/relationships/hyperlink" Target="https://wa.me/918402061666" TargetMode="External"/><Relationship Id="rId112" Type="http://schemas.openxmlformats.org/officeDocument/2006/relationships/hyperlink" Target="https://gardensuite.in/w/face-weight-499" TargetMode="External"/><Relationship Id="rId557" Type="http://schemas.openxmlformats.org/officeDocument/2006/relationships/hyperlink" Target="https://wa.me/919864556130" TargetMode="External"/><Relationship Id="rId764" Type="http://schemas.openxmlformats.org/officeDocument/2006/relationships/hyperlink" Target="https://gardensuite.in/w/face-weight-499" TargetMode="External"/><Relationship Id="rId971" Type="http://schemas.openxmlformats.org/officeDocument/2006/relationships/hyperlink" Target="https://wa.me/919707629951" TargetMode="External"/><Relationship Id="rId196" Type="http://schemas.openxmlformats.org/officeDocument/2006/relationships/hyperlink" Target="https://gardensuite.in/w/face-weight-499" TargetMode="External"/><Relationship Id="rId417" Type="http://schemas.openxmlformats.org/officeDocument/2006/relationships/hyperlink" Target="https://wa.me/919954232977" TargetMode="External"/><Relationship Id="rId624" Type="http://schemas.openxmlformats.org/officeDocument/2006/relationships/hyperlink" Target="https://gardensuite.in/w/face-weight-499" TargetMode="External"/><Relationship Id="rId831" Type="http://schemas.openxmlformats.org/officeDocument/2006/relationships/hyperlink" Target="https://wa.me/919435035577" TargetMode="External"/><Relationship Id="rId263" Type="http://schemas.openxmlformats.org/officeDocument/2006/relationships/hyperlink" Target="https://wa.me/919435030713" TargetMode="External"/><Relationship Id="rId470" Type="http://schemas.openxmlformats.org/officeDocument/2006/relationships/hyperlink" Target="https://gardensuite.in/w/face-weight-499" TargetMode="External"/><Relationship Id="rId929" Type="http://schemas.openxmlformats.org/officeDocument/2006/relationships/hyperlink" Target="https://wa.me/919435873538" TargetMode="External"/><Relationship Id="rId58" Type="http://schemas.openxmlformats.org/officeDocument/2006/relationships/hyperlink" Target="https://gardensuite.in/w/face-weight-499" TargetMode="External"/><Relationship Id="rId123" Type="http://schemas.openxmlformats.org/officeDocument/2006/relationships/hyperlink" Target="https://wa.me/919435033023" TargetMode="External"/><Relationship Id="rId330" Type="http://schemas.openxmlformats.org/officeDocument/2006/relationships/hyperlink" Target="https://gardensuite.in/w/face-weight-499" TargetMode="External"/><Relationship Id="rId568" Type="http://schemas.openxmlformats.org/officeDocument/2006/relationships/hyperlink" Target="https://gardensuite.in/w/face-weight-499" TargetMode="External"/><Relationship Id="rId775" Type="http://schemas.openxmlformats.org/officeDocument/2006/relationships/hyperlink" Target="https://wa.me/919836393772" TargetMode="External"/><Relationship Id="rId982" Type="http://schemas.openxmlformats.org/officeDocument/2006/relationships/hyperlink" Target="https://gardensuite.in/w/face-weight-499" TargetMode="External"/><Relationship Id="rId428" Type="http://schemas.openxmlformats.org/officeDocument/2006/relationships/hyperlink" Target="https://gardensuite.in/w/face-weight-499" TargetMode="External"/><Relationship Id="rId635" Type="http://schemas.openxmlformats.org/officeDocument/2006/relationships/hyperlink" Target="https://wa.me/919859919819" TargetMode="External"/><Relationship Id="rId842" Type="http://schemas.openxmlformats.org/officeDocument/2006/relationships/hyperlink" Target="https://gardensuite.in/w/face-weight-499" TargetMode="External"/><Relationship Id="rId274" Type="http://schemas.openxmlformats.org/officeDocument/2006/relationships/hyperlink" Target="https://gardensuite.in/w/face-weight-499" TargetMode="External"/><Relationship Id="rId481" Type="http://schemas.openxmlformats.org/officeDocument/2006/relationships/hyperlink" Target="https://wa.me/919435134212" TargetMode="External"/><Relationship Id="rId702" Type="http://schemas.openxmlformats.org/officeDocument/2006/relationships/hyperlink" Target="https://gardensuite.in/w/face-weight-499" TargetMode="External"/><Relationship Id="rId69" Type="http://schemas.openxmlformats.org/officeDocument/2006/relationships/hyperlink" Target="https://gardensuite.in/w/face-weight-499" TargetMode="External"/><Relationship Id="rId134" Type="http://schemas.openxmlformats.org/officeDocument/2006/relationships/hyperlink" Target="https://gardensuite.in/w/face-weight-499" TargetMode="External"/><Relationship Id="rId579" Type="http://schemas.openxmlformats.org/officeDocument/2006/relationships/hyperlink" Target="https://wa.me/919435580240" TargetMode="External"/><Relationship Id="rId786" Type="http://schemas.openxmlformats.org/officeDocument/2006/relationships/hyperlink" Target="https://gardensuite.in/w/face-weight-499" TargetMode="External"/><Relationship Id="rId993" Type="http://schemas.openxmlformats.org/officeDocument/2006/relationships/hyperlink" Target="https://wa.me/919435543839" TargetMode="External"/><Relationship Id="rId341" Type="http://schemas.openxmlformats.org/officeDocument/2006/relationships/hyperlink" Target="https://wa.me/919435158600" TargetMode="External"/><Relationship Id="rId439" Type="http://schemas.openxmlformats.org/officeDocument/2006/relationships/hyperlink" Target="https://wa.me/919435132727" TargetMode="External"/><Relationship Id="rId646" Type="http://schemas.openxmlformats.org/officeDocument/2006/relationships/hyperlink" Target="https://gardensuite.in/w/face-weight-499" TargetMode="External"/><Relationship Id="rId201" Type="http://schemas.openxmlformats.org/officeDocument/2006/relationships/hyperlink" Target="https://wa.me/919435466431" TargetMode="External"/><Relationship Id="rId285" Type="http://schemas.openxmlformats.org/officeDocument/2006/relationships/hyperlink" Target="https://wa.me/919435376259" TargetMode="External"/><Relationship Id="rId506" Type="http://schemas.openxmlformats.org/officeDocument/2006/relationships/hyperlink" Target="https://gardensuite.in/w/face-weight-499" TargetMode="External"/><Relationship Id="rId853" Type="http://schemas.openxmlformats.org/officeDocument/2006/relationships/hyperlink" Target="https://wa.me/919435839176" TargetMode="External"/><Relationship Id="rId492" Type="http://schemas.openxmlformats.org/officeDocument/2006/relationships/hyperlink" Target="https://gardensuite.in/w/face-weight-499" TargetMode="External"/><Relationship Id="rId713" Type="http://schemas.openxmlformats.org/officeDocument/2006/relationships/hyperlink" Target="https://wa.me/919435007278" TargetMode="External"/><Relationship Id="rId797" Type="http://schemas.openxmlformats.org/officeDocument/2006/relationships/hyperlink" Target="https://wa.me/919435058445" TargetMode="External"/><Relationship Id="rId920" Type="http://schemas.openxmlformats.org/officeDocument/2006/relationships/hyperlink" Target="https://gardensuite.in/w/face-weight-499" TargetMode="External"/><Relationship Id="rId145" Type="http://schemas.openxmlformats.org/officeDocument/2006/relationships/hyperlink" Target="https://wa.me/919435131803" TargetMode="External"/><Relationship Id="rId352" Type="http://schemas.openxmlformats.org/officeDocument/2006/relationships/hyperlink" Target="https://gardensuite.in/w/face-weight-499" TargetMode="External"/><Relationship Id="rId212" Type="http://schemas.openxmlformats.org/officeDocument/2006/relationships/hyperlink" Target="https://gardensuite.in/w/face-weight-499" TargetMode="External"/><Relationship Id="rId657" Type="http://schemas.openxmlformats.org/officeDocument/2006/relationships/hyperlink" Target="https://wa.me/919435179670" TargetMode="External"/><Relationship Id="rId864" Type="http://schemas.openxmlformats.org/officeDocument/2006/relationships/hyperlink" Target="https://gardensuite.in/w/face-weight-499" TargetMode="External"/><Relationship Id="rId296" Type="http://schemas.openxmlformats.org/officeDocument/2006/relationships/hyperlink" Target="https://gardensuite.in/w/face-weight-499" TargetMode="External"/><Relationship Id="rId517" Type="http://schemas.openxmlformats.org/officeDocument/2006/relationships/hyperlink" Target="https://wa.me/919435032278" TargetMode="External"/><Relationship Id="rId724" Type="http://schemas.openxmlformats.org/officeDocument/2006/relationships/hyperlink" Target="https://gardensuite.in/w/face-weight-499" TargetMode="External"/><Relationship Id="rId931" Type="http://schemas.openxmlformats.org/officeDocument/2006/relationships/hyperlink" Target="https://wa.me/919435139071" TargetMode="External"/><Relationship Id="rId60" Type="http://schemas.openxmlformats.org/officeDocument/2006/relationships/hyperlink" Target="https://gardensuite.in/w/face-weight-499" TargetMode="External"/><Relationship Id="rId156" Type="http://schemas.openxmlformats.org/officeDocument/2006/relationships/hyperlink" Target="https://gardensuite.in/w/face-weight-499" TargetMode="External"/><Relationship Id="rId363" Type="http://schemas.openxmlformats.org/officeDocument/2006/relationships/hyperlink" Target="https://wa.me/919678797326" TargetMode="External"/><Relationship Id="rId570" Type="http://schemas.openxmlformats.org/officeDocument/2006/relationships/hyperlink" Target="https://gardensuite.in/w/face-weight-499" TargetMode="External"/><Relationship Id="rId1007" Type="http://schemas.openxmlformats.org/officeDocument/2006/relationships/hyperlink" Target="https://wa.me/919435475020" TargetMode="External"/><Relationship Id="rId223" Type="http://schemas.openxmlformats.org/officeDocument/2006/relationships/hyperlink" Target="https://wa.me/919435536240" TargetMode="External"/><Relationship Id="rId430" Type="http://schemas.openxmlformats.org/officeDocument/2006/relationships/hyperlink" Target="https://gardensuite.in/w/face-weight-499" TargetMode="External"/><Relationship Id="rId668" Type="http://schemas.openxmlformats.org/officeDocument/2006/relationships/hyperlink" Target="https://gardensuite.in/w/face-weight-499" TargetMode="External"/><Relationship Id="rId875" Type="http://schemas.openxmlformats.org/officeDocument/2006/relationships/hyperlink" Target="https://wa.me/919707031264" TargetMode="External"/><Relationship Id="rId18" Type="http://schemas.openxmlformats.org/officeDocument/2006/relationships/hyperlink" Target="https://wa.me/917002029001" TargetMode="External"/><Relationship Id="rId528" Type="http://schemas.openxmlformats.org/officeDocument/2006/relationships/hyperlink" Target="https://gardensuite.in/w/face-weight-499" TargetMode="External"/><Relationship Id="rId735" Type="http://schemas.openxmlformats.org/officeDocument/2006/relationships/hyperlink" Target="https://wa.me/919859950569" TargetMode="External"/><Relationship Id="rId942" Type="http://schemas.openxmlformats.org/officeDocument/2006/relationships/hyperlink" Target="https://gardensuite.in/w/face-weight-499" TargetMode="External"/><Relationship Id="rId167" Type="http://schemas.openxmlformats.org/officeDocument/2006/relationships/hyperlink" Target="https://wa.me/919101772783" TargetMode="External"/><Relationship Id="rId374" Type="http://schemas.openxmlformats.org/officeDocument/2006/relationships/hyperlink" Target="https://gardensuite.in/w/face-weight-499" TargetMode="External"/><Relationship Id="rId581" Type="http://schemas.openxmlformats.org/officeDocument/2006/relationships/hyperlink" Target="https://wa.me/919435030626" TargetMode="External"/><Relationship Id="rId1018" Type="http://schemas.openxmlformats.org/officeDocument/2006/relationships/hyperlink" Target="https://gardensuite.in/w/face-weight-499" TargetMode="External"/><Relationship Id="rId71" Type="http://schemas.openxmlformats.org/officeDocument/2006/relationships/hyperlink" Target="https://wa.me/917002037389" TargetMode="External"/><Relationship Id="rId234" Type="http://schemas.openxmlformats.org/officeDocument/2006/relationships/hyperlink" Target="https://gardensuite.in/w/face-weight-499" TargetMode="External"/><Relationship Id="rId679" Type="http://schemas.openxmlformats.org/officeDocument/2006/relationships/hyperlink" Target="https://wa.me/919435338050" TargetMode="External"/><Relationship Id="rId802" Type="http://schemas.openxmlformats.org/officeDocument/2006/relationships/hyperlink" Target="https://gardensuite.in/w/face-weight-499" TargetMode="External"/><Relationship Id="rId886" Type="http://schemas.openxmlformats.org/officeDocument/2006/relationships/hyperlink" Target="https://gardensuite.in/w/face-weight-499" TargetMode="External"/><Relationship Id="rId2" Type="http://schemas.openxmlformats.org/officeDocument/2006/relationships/hyperlink" Target="https://wa.me/918011017498" TargetMode="External"/><Relationship Id="rId29" Type="http://schemas.openxmlformats.org/officeDocument/2006/relationships/hyperlink" Target="https://gardensuite.in/w/face-weight-499" TargetMode="External"/><Relationship Id="rId441" Type="http://schemas.openxmlformats.org/officeDocument/2006/relationships/hyperlink" Target="https://wa.me/919678382614" TargetMode="External"/><Relationship Id="rId539" Type="http://schemas.openxmlformats.org/officeDocument/2006/relationships/hyperlink" Target="https://wa.me/919830266187" TargetMode="External"/><Relationship Id="rId746" Type="http://schemas.openxmlformats.org/officeDocument/2006/relationships/hyperlink" Target="https://gardensuite.in/w/face-weight-499" TargetMode="External"/><Relationship Id="rId178" Type="http://schemas.openxmlformats.org/officeDocument/2006/relationships/hyperlink" Target="https://gardensuite.in/w/face-weight-499" TargetMode="External"/><Relationship Id="rId301" Type="http://schemas.openxmlformats.org/officeDocument/2006/relationships/hyperlink" Target="https://wa.me/919954477332" TargetMode="External"/><Relationship Id="rId953" Type="http://schemas.openxmlformats.org/officeDocument/2006/relationships/hyperlink" Target="https://wa.me/919435736269" TargetMode="External"/><Relationship Id="rId1029" Type="http://schemas.openxmlformats.org/officeDocument/2006/relationships/hyperlink" Target="https://wa.me/919207041917" TargetMode="External"/><Relationship Id="rId82" Type="http://schemas.openxmlformats.org/officeDocument/2006/relationships/hyperlink" Target="https://gardensuite.in/w/face-weight-499" TargetMode="External"/><Relationship Id="rId385" Type="http://schemas.openxmlformats.org/officeDocument/2006/relationships/hyperlink" Target="https://wa.me/919433602746" TargetMode="External"/><Relationship Id="rId592" Type="http://schemas.openxmlformats.org/officeDocument/2006/relationships/hyperlink" Target="https://gardensuite.in/w/face-weight-499" TargetMode="External"/><Relationship Id="rId606" Type="http://schemas.openxmlformats.org/officeDocument/2006/relationships/hyperlink" Target="https://gardensuite.in/w/face-weight-499" TargetMode="External"/><Relationship Id="rId813" Type="http://schemas.openxmlformats.org/officeDocument/2006/relationships/hyperlink" Target="https://wa.me/919508209630" TargetMode="External"/><Relationship Id="rId245" Type="http://schemas.openxmlformats.org/officeDocument/2006/relationships/hyperlink" Target="https://wa.me/919435035579" TargetMode="External"/><Relationship Id="rId452" Type="http://schemas.openxmlformats.org/officeDocument/2006/relationships/hyperlink" Target="https://gardensuite.in/w/face-weight-499" TargetMode="External"/><Relationship Id="rId897" Type="http://schemas.openxmlformats.org/officeDocument/2006/relationships/hyperlink" Target="https://wa.me/919854193022" TargetMode="External"/><Relationship Id="rId105" Type="http://schemas.openxmlformats.org/officeDocument/2006/relationships/hyperlink" Target="https://wa.me/919707897688" TargetMode="External"/><Relationship Id="rId312" Type="http://schemas.openxmlformats.org/officeDocument/2006/relationships/hyperlink" Target="https://gardensuite.in/w/face-weight-499" TargetMode="External"/><Relationship Id="rId757" Type="http://schemas.openxmlformats.org/officeDocument/2006/relationships/hyperlink" Target="https://wa.me/919435739507" TargetMode="External"/><Relationship Id="rId964" Type="http://schemas.openxmlformats.org/officeDocument/2006/relationships/hyperlink" Target="https://gardensuite.in/w/face-weight-499" TargetMode="External"/><Relationship Id="rId93" Type="http://schemas.openxmlformats.org/officeDocument/2006/relationships/hyperlink" Target="https://wa.me/918638281523" TargetMode="External"/><Relationship Id="rId189" Type="http://schemas.openxmlformats.org/officeDocument/2006/relationships/hyperlink" Target="https://wa.me/919435037318" TargetMode="External"/><Relationship Id="rId396" Type="http://schemas.openxmlformats.org/officeDocument/2006/relationships/hyperlink" Target="https://gardensuite.in/w/face-weight-499" TargetMode="External"/><Relationship Id="rId617" Type="http://schemas.openxmlformats.org/officeDocument/2006/relationships/hyperlink" Target="https://wa.me/919678380680" TargetMode="External"/><Relationship Id="rId824" Type="http://schemas.openxmlformats.org/officeDocument/2006/relationships/hyperlink" Target="https://gardensuite.in/w/face-weight-499" TargetMode="External"/><Relationship Id="rId256" Type="http://schemas.openxmlformats.org/officeDocument/2006/relationships/hyperlink" Target="https://gardensuite.in/w/face-weight-499" TargetMode="External"/><Relationship Id="rId463" Type="http://schemas.openxmlformats.org/officeDocument/2006/relationships/hyperlink" Target="https://wa.me/919435052233" TargetMode="External"/><Relationship Id="rId670" Type="http://schemas.openxmlformats.org/officeDocument/2006/relationships/hyperlink" Target="https://gardensuite.in/w/face-weight-499" TargetMode="External"/><Relationship Id="rId116" Type="http://schemas.openxmlformats.org/officeDocument/2006/relationships/hyperlink" Target="https://gardensuite.in/w/face-weight-499" TargetMode="External"/><Relationship Id="rId323" Type="http://schemas.openxmlformats.org/officeDocument/2006/relationships/hyperlink" Target="https://wa.me/919435465363" TargetMode="External"/><Relationship Id="rId530" Type="http://schemas.openxmlformats.org/officeDocument/2006/relationships/hyperlink" Target="https://gardensuite.in/w/face-weight-499" TargetMode="External"/><Relationship Id="rId768" Type="http://schemas.openxmlformats.org/officeDocument/2006/relationships/hyperlink" Target="https://gardensuite.in/w/face-weight-499" TargetMode="External"/><Relationship Id="rId975" Type="http://schemas.openxmlformats.org/officeDocument/2006/relationships/hyperlink" Target="https://wa.me/919435162653" TargetMode="External"/><Relationship Id="rId20" Type="http://schemas.openxmlformats.org/officeDocument/2006/relationships/hyperlink" Target="https://wa.me/917002483957" TargetMode="External"/><Relationship Id="rId628" Type="http://schemas.openxmlformats.org/officeDocument/2006/relationships/hyperlink" Target="https://gardensuite.in/w/face-weight-499" TargetMode="External"/><Relationship Id="rId835" Type="http://schemas.openxmlformats.org/officeDocument/2006/relationships/hyperlink" Target="https://wa.me/919435227329" TargetMode="External"/><Relationship Id="rId267" Type="http://schemas.openxmlformats.org/officeDocument/2006/relationships/hyperlink" Target="https://wa.me/919954471732" TargetMode="External"/><Relationship Id="rId474" Type="http://schemas.openxmlformats.org/officeDocument/2006/relationships/hyperlink" Target="https://gardensuite.in/w/face-weight-499" TargetMode="External"/><Relationship Id="rId1020" Type="http://schemas.openxmlformats.org/officeDocument/2006/relationships/hyperlink" Target="https://gardensuite.in/w/face-weight-499" TargetMode="External"/><Relationship Id="rId127" Type="http://schemas.openxmlformats.org/officeDocument/2006/relationships/hyperlink" Target="https://wa.me/919401129574" TargetMode="External"/><Relationship Id="rId681" Type="http://schemas.openxmlformats.org/officeDocument/2006/relationships/hyperlink" Target="https://wa.me/919954473941" TargetMode="External"/><Relationship Id="rId779" Type="http://schemas.openxmlformats.org/officeDocument/2006/relationships/hyperlink" Target="https://wa.me/919207046222" TargetMode="External"/><Relationship Id="rId902" Type="http://schemas.openxmlformats.org/officeDocument/2006/relationships/hyperlink" Target="https://gardensuite.in/w/face-weight-499" TargetMode="External"/><Relationship Id="rId986" Type="http://schemas.openxmlformats.org/officeDocument/2006/relationships/hyperlink" Target="https://gardensuite.in/w/face-weight-499" TargetMode="External"/><Relationship Id="rId31" Type="http://schemas.openxmlformats.org/officeDocument/2006/relationships/hyperlink" Target="https://gardensuite.in/w/face-weight-499" TargetMode="External"/><Relationship Id="rId334" Type="http://schemas.openxmlformats.org/officeDocument/2006/relationships/hyperlink" Target="https://gardensuite.in/w/face-weight-499" TargetMode="External"/><Relationship Id="rId541" Type="http://schemas.openxmlformats.org/officeDocument/2006/relationships/hyperlink" Target="https://wa.me/919435035272" TargetMode="External"/><Relationship Id="rId639" Type="http://schemas.openxmlformats.org/officeDocument/2006/relationships/hyperlink" Target="https://wa.me/919435245790" TargetMode="External"/><Relationship Id="rId180" Type="http://schemas.openxmlformats.org/officeDocument/2006/relationships/hyperlink" Target="https://gardensuite.in/w/face-weight-499" TargetMode="External"/><Relationship Id="rId278" Type="http://schemas.openxmlformats.org/officeDocument/2006/relationships/hyperlink" Target="https://gardensuite.in/w/face-weight-499" TargetMode="External"/><Relationship Id="rId401" Type="http://schemas.openxmlformats.org/officeDocument/2006/relationships/hyperlink" Target="https://wa.me/919435034697" TargetMode="External"/><Relationship Id="rId846" Type="http://schemas.openxmlformats.org/officeDocument/2006/relationships/hyperlink" Target="https://gardensuite.in/w/face-weight-499" TargetMode="External"/><Relationship Id="rId1031" Type="http://schemas.openxmlformats.org/officeDocument/2006/relationships/hyperlink" Target="https://wa.me/919435358620" TargetMode="External"/><Relationship Id="rId485" Type="http://schemas.openxmlformats.org/officeDocument/2006/relationships/hyperlink" Target="https://wa.me/919435036770" TargetMode="External"/><Relationship Id="rId692" Type="http://schemas.openxmlformats.org/officeDocument/2006/relationships/hyperlink" Target="https://gardensuite.in/w/face-weight-499" TargetMode="External"/><Relationship Id="rId706" Type="http://schemas.openxmlformats.org/officeDocument/2006/relationships/hyperlink" Target="https://gardensuite.in/w/face-weight-499" TargetMode="External"/><Relationship Id="rId913" Type="http://schemas.openxmlformats.org/officeDocument/2006/relationships/hyperlink" Target="https://wa.me/919854082539" TargetMode="External"/><Relationship Id="rId42" Type="http://schemas.openxmlformats.org/officeDocument/2006/relationships/hyperlink" Target="https://gardensuite.in/w/face-weight-499" TargetMode="External"/><Relationship Id="rId138" Type="http://schemas.openxmlformats.org/officeDocument/2006/relationships/hyperlink" Target="https://gardensuite.in/w/face-weight-499" TargetMode="External"/><Relationship Id="rId345" Type="http://schemas.openxmlformats.org/officeDocument/2006/relationships/hyperlink" Target="https://wa.me/919435525015" TargetMode="External"/><Relationship Id="rId552" Type="http://schemas.openxmlformats.org/officeDocument/2006/relationships/hyperlink" Target="https://gardensuite.in/w/face-weight-499" TargetMode="External"/><Relationship Id="rId997" Type="http://schemas.openxmlformats.org/officeDocument/2006/relationships/hyperlink" Target="https://wa.me/919903193454" TargetMode="External"/><Relationship Id="rId191" Type="http://schemas.openxmlformats.org/officeDocument/2006/relationships/hyperlink" Target="https://wa.me/918011972301" TargetMode="External"/><Relationship Id="rId205" Type="http://schemas.openxmlformats.org/officeDocument/2006/relationships/hyperlink" Target="https://wa.me/919207042162" TargetMode="External"/><Relationship Id="rId412" Type="http://schemas.openxmlformats.org/officeDocument/2006/relationships/hyperlink" Target="https://gardensuite.in/w/face-weight-499" TargetMode="External"/><Relationship Id="rId857" Type="http://schemas.openxmlformats.org/officeDocument/2006/relationships/hyperlink" Target="https://wa.me/919435085469" TargetMode="External"/><Relationship Id="rId289" Type="http://schemas.openxmlformats.org/officeDocument/2006/relationships/hyperlink" Target="https://wa.me/919831815555" TargetMode="External"/><Relationship Id="rId496" Type="http://schemas.openxmlformats.org/officeDocument/2006/relationships/hyperlink" Target="https://gardensuite.in/w/face-weight-499" TargetMode="External"/><Relationship Id="rId717" Type="http://schemas.openxmlformats.org/officeDocument/2006/relationships/hyperlink" Target="https://wa.me/919435724545" TargetMode="External"/><Relationship Id="rId924" Type="http://schemas.openxmlformats.org/officeDocument/2006/relationships/hyperlink" Target="https://gardensuite.in/w/face-weight-499" TargetMode="External"/><Relationship Id="rId53" Type="http://schemas.openxmlformats.org/officeDocument/2006/relationships/hyperlink" Target="https://wa.me/918133949296" TargetMode="External"/><Relationship Id="rId149" Type="http://schemas.openxmlformats.org/officeDocument/2006/relationships/hyperlink" Target="https://wa.me/917086048927" TargetMode="External"/><Relationship Id="rId356" Type="http://schemas.openxmlformats.org/officeDocument/2006/relationships/hyperlink" Target="https://gardensuite.in/w/face-weight-499" TargetMode="External"/><Relationship Id="rId563" Type="http://schemas.openxmlformats.org/officeDocument/2006/relationships/hyperlink" Target="https://wa.me/919854019388" TargetMode="External"/><Relationship Id="rId770" Type="http://schemas.openxmlformats.org/officeDocument/2006/relationships/hyperlink" Target="https://gardensuite.in/w/face-weight-499" TargetMode="External"/><Relationship Id="rId216" Type="http://schemas.openxmlformats.org/officeDocument/2006/relationships/hyperlink" Target="https://gardensuite.in/w/face-weight-499" TargetMode="External"/><Relationship Id="rId423" Type="http://schemas.openxmlformats.org/officeDocument/2006/relationships/hyperlink" Target="https://wa.me/919435139125" TargetMode="External"/><Relationship Id="rId868" Type="http://schemas.openxmlformats.org/officeDocument/2006/relationships/hyperlink" Target="https://gardensuite.in/w/face-weight-499" TargetMode="External"/><Relationship Id="rId630" Type="http://schemas.openxmlformats.org/officeDocument/2006/relationships/hyperlink" Target="https://gardensuite.in/w/face-weight-499" TargetMode="External"/><Relationship Id="rId728" Type="http://schemas.openxmlformats.org/officeDocument/2006/relationships/hyperlink" Target="https://gardensuite.in/w/face-weight-499" TargetMode="External"/><Relationship Id="rId935" Type="http://schemas.openxmlformats.org/officeDocument/2006/relationships/hyperlink" Target="https://wa.me/919508180691" TargetMode="External"/><Relationship Id="rId64" Type="http://schemas.openxmlformats.org/officeDocument/2006/relationships/hyperlink" Target="https://wa.me/916000522700" TargetMode="External"/><Relationship Id="rId367" Type="http://schemas.openxmlformats.org/officeDocument/2006/relationships/hyperlink" Target="https://wa.me/919854178350" TargetMode="External"/><Relationship Id="rId574" Type="http://schemas.openxmlformats.org/officeDocument/2006/relationships/hyperlink" Target="https://gardensuite.in/w/face-weight-499" TargetMode="External"/><Relationship Id="rId227" Type="http://schemas.openxmlformats.org/officeDocument/2006/relationships/hyperlink" Target="https://wa.me/919402676939" TargetMode="External"/><Relationship Id="rId781" Type="http://schemas.openxmlformats.org/officeDocument/2006/relationships/hyperlink" Target="https://wa.me/919435182159" TargetMode="External"/><Relationship Id="rId879" Type="http://schemas.openxmlformats.org/officeDocument/2006/relationships/hyperlink" Target="https://wa.me/919435032677" TargetMode="External"/><Relationship Id="rId434" Type="http://schemas.openxmlformats.org/officeDocument/2006/relationships/hyperlink" Target="https://gardensuite.in/w/face-weight-499" TargetMode="External"/><Relationship Id="rId641" Type="http://schemas.openxmlformats.org/officeDocument/2006/relationships/hyperlink" Target="https://wa.me/919435475049" TargetMode="External"/><Relationship Id="rId739" Type="http://schemas.openxmlformats.org/officeDocument/2006/relationships/hyperlink" Target="https://wa.me/919954544790" TargetMode="External"/><Relationship Id="rId280" Type="http://schemas.openxmlformats.org/officeDocument/2006/relationships/hyperlink" Target="https://gardensuite.in/w/face-weight-499" TargetMode="External"/><Relationship Id="rId501" Type="http://schemas.openxmlformats.org/officeDocument/2006/relationships/hyperlink" Target="https://wa.me/919854791247" TargetMode="External"/><Relationship Id="rId946" Type="http://schemas.openxmlformats.org/officeDocument/2006/relationships/hyperlink" Target="https://gardensuite.in/w/face-weight-499" TargetMode="External"/><Relationship Id="rId75" Type="http://schemas.openxmlformats.org/officeDocument/2006/relationships/hyperlink" Target="https://wa.me/918011322474" TargetMode="External"/><Relationship Id="rId140" Type="http://schemas.openxmlformats.org/officeDocument/2006/relationships/hyperlink" Target="https://gardensuite.in/w/face-weight-499" TargetMode="External"/><Relationship Id="rId378" Type="http://schemas.openxmlformats.org/officeDocument/2006/relationships/hyperlink" Target="https://gardensuite.in/w/face-weight-499" TargetMode="External"/><Relationship Id="rId585" Type="http://schemas.openxmlformats.org/officeDocument/2006/relationships/hyperlink" Target="https://wa.me/919435175918" TargetMode="External"/><Relationship Id="rId792" Type="http://schemas.openxmlformats.org/officeDocument/2006/relationships/hyperlink" Target="https://gardensuite.in/w/face-weight-499" TargetMode="External"/><Relationship Id="rId806" Type="http://schemas.openxmlformats.org/officeDocument/2006/relationships/hyperlink" Target="https://gardensuite.in/w/face-weight-499" TargetMode="External"/><Relationship Id="rId6" Type="http://schemas.openxmlformats.org/officeDocument/2006/relationships/hyperlink" Target="https://wa.me/919435033506" TargetMode="External"/><Relationship Id="rId238" Type="http://schemas.openxmlformats.org/officeDocument/2006/relationships/hyperlink" Target="https://gardensuite.in/w/face-weight-499" TargetMode="External"/><Relationship Id="rId445" Type="http://schemas.openxmlformats.org/officeDocument/2006/relationships/hyperlink" Target="https://wa.me/919435083817" TargetMode="External"/><Relationship Id="rId652" Type="http://schemas.openxmlformats.org/officeDocument/2006/relationships/hyperlink" Target="https://gardensuite.in/w/face-weight-499" TargetMode="External"/><Relationship Id="rId291" Type="http://schemas.openxmlformats.org/officeDocument/2006/relationships/hyperlink" Target="https://wa.me/919830040025" TargetMode="External"/><Relationship Id="rId305" Type="http://schemas.openxmlformats.org/officeDocument/2006/relationships/hyperlink" Target="https://wa.me/919435136563" TargetMode="External"/><Relationship Id="rId512" Type="http://schemas.openxmlformats.org/officeDocument/2006/relationships/hyperlink" Target="https://gardensuite.in/w/face-weight-499" TargetMode="External"/><Relationship Id="rId957" Type="http://schemas.openxmlformats.org/officeDocument/2006/relationships/hyperlink" Target="https://wa.me/919435053961" TargetMode="External"/><Relationship Id="rId86" Type="http://schemas.openxmlformats.org/officeDocument/2006/relationships/hyperlink" Target="https://gardensuite.in/w/face-weight-499" TargetMode="External"/><Relationship Id="rId151" Type="http://schemas.openxmlformats.org/officeDocument/2006/relationships/hyperlink" Target="https://wa.me/919854679574" TargetMode="External"/><Relationship Id="rId389" Type="http://schemas.openxmlformats.org/officeDocument/2006/relationships/hyperlink" Target="https://wa.me/919435054366" TargetMode="External"/><Relationship Id="rId596" Type="http://schemas.openxmlformats.org/officeDocument/2006/relationships/hyperlink" Target="https://gardensuite.in/w/face-weight-499" TargetMode="External"/><Relationship Id="rId817" Type="http://schemas.openxmlformats.org/officeDocument/2006/relationships/hyperlink" Target="https://wa.me/919830392355" TargetMode="External"/><Relationship Id="rId1002" Type="http://schemas.openxmlformats.org/officeDocument/2006/relationships/hyperlink" Target="https://gardensuite.in/w/face-weight-499" TargetMode="External"/><Relationship Id="rId249" Type="http://schemas.openxmlformats.org/officeDocument/2006/relationships/hyperlink" Target="https://wa.me/919435053486" TargetMode="External"/><Relationship Id="rId456" Type="http://schemas.openxmlformats.org/officeDocument/2006/relationships/hyperlink" Target="https://gardensuite.in/w/face-weight-499" TargetMode="External"/><Relationship Id="rId663" Type="http://schemas.openxmlformats.org/officeDocument/2006/relationships/hyperlink" Target="https://wa.me/919957206739" TargetMode="External"/><Relationship Id="rId870" Type="http://schemas.openxmlformats.org/officeDocument/2006/relationships/hyperlink" Target="https://gardensuite.in/w/face-weight-499" TargetMode="External"/><Relationship Id="rId13" Type="http://schemas.openxmlformats.org/officeDocument/2006/relationships/hyperlink" Target="https://gardensuite.in/w/face-weight-499" TargetMode="External"/><Relationship Id="rId109" Type="http://schemas.openxmlformats.org/officeDocument/2006/relationships/hyperlink" Target="https://wa.me/919706719317" TargetMode="External"/><Relationship Id="rId316" Type="http://schemas.openxmlformats.org/officeDocument/2006/relationships/hyperlink" Target="https://gardensuite.in/w/face-weight-499" TargetMode="External"/><Relationship Id="rId523" Type="http://schemas.openxmlformats.org/officeDocument/2006/relationships/hyperlink" Target="https://wa.me/919831439243" TargetMode="External"/><Relationship Id="rId968" Type="http://schemas.openxmlformats.org/officeDocument/2006/relationships/hyperlink" Target="https://gardensuite.in/w/face-weight-499" TargetMode="External"/><Relationship Id="rId97" Type="http://schemas.openxmlformats.org/officeDocument/2006/relationships/hyperlink" Target="https://wa.me/919365878796" TargetMode="External"/><Relationship Id="rId730" Type="http://schemas.openxmlformats.org/officeDocument/2006/relationships/hyperlink" Target="https://gardensuite.in/w/face-weight-499" TargetMode="External"/><Relationship Id="rId828" Type="http://schemas.openxmlformats.org/officeDocument/2006/relationships/hyperlink" Target="https://gardensuite.in/w/face-weight-499" TargetMode="External"/><Relationship Id="rId1013" Type="http://schemas.openxmlformats.org/officeDocument/2006/relationships/hyperlink" Target="https://wa.me/919957133885" TargetMode="External"/><Relationship Id="rId162" Type="http://schemas.openxmlformats.org/officeDocument/2006/relationships/hyperlink" Target="https://gardensuite.in/w/face-weight-499" TargetMode="External"/><Relationship Id="rId467" Type="http://schemas.openxmlformats.org/officeDocument/2006/relationships/hyperlink" Target="https://wa.me/919435150315" TargetMode="External"/><Relationship Id="rId674" Type="http://schemas.openxmlformats.org/officeDocument/2006/relationships/hyperlink" Target="https://gardensuite.in/w/face-weight-499" TargetMode="External"/><Relationship Id="rId881" Type="http://schemas.openxmlformats.org/officeDocument/2006/relationships/hyperlink" Target="https://wa.me/919435700231" TargetMode="External"/><Relationship Id="rId979" Type="http://schemas.openxmlformats.org/officeDocument/2006/relationships/hyperlink" Target="https://wa.me/919883611101" TargetMode="External"/><Relationship Id="rId24" Type="http://schemas.openxmlformats.org/officeDocument/2006/relationships/hyperlink" Target="https://wa.me/918876321148" TargetMode="External"/><Relationship Id="rId327" Type="http://schemas.openxmlformats.org/officeDocument/2006/relationships/hyperlink" Target="https://wa.me/919435180144" TargetMode="External"/><Relationship Id="rId534" Type="http://schemas.openxmlformats.org/officeDocument/2006/relationships/hyperlink" Target="https://gardensuite.in/w/face-weight-499" TargetMode="External"/><Relationship Id="rId741" Type="http://schemas.openxmlformats.org/officeDocument/2006/relationships/hyperlink" Target="https://wa.me/919864225952" TargetMode="External"/><Relationship Id="rId839" Type="http://schemas.openxmlformats.org/officeDocument/2006/relationships/hyperlink" Target="https://wa.me/919435053992" TargetMode="External"/><Relationship Id="rId173" Type="http://schemas.openxmlformats.org/officeDocument/2006/relationships/hyperlink" Target="https://wa.me/919435476777" TargetMode="External"/><Relationship Id="rId380" Type="http://schemas.openxmlformats.org/officeDocument/2006/relationships/hyperlink" Target="https://gardensuite.in/w/face-weight-499" TargetMode="External"/><Relationship Id="rId601" Type="http://schemas.openxmlformats.org/officeDocument/2006/relationships/hyperlink" Target="https://wa.me/919613256964" TargetMode="External"/><Relationship Id="rId1024" Type="http://schemas.openxmlformats.org/officeDocument/2006/relationships/hyperlink" Target="https://gardensuite.in/w/face-weight-499" TargetMode="External"/><Relationship Id="rId240" Type="http://schemas.openxmlformats.org/officeDocument/2006/relationships/hyperlink" Target="https://gardensuite.in/w/face-weight-499" TargetMode="External"/><Relationship Id="rId478" Type="http://schemas.openxmlformats.org/officeDocument/2006/relationships/hyperlink" Target="https://gardensuite.in/w/face-weight-499" TargetMode="External"/><Relationship Id="rId685" Type="http://schemas.openxmlformats.org/officeDocument/2006/relationships/hyperlink" Target="https://wa.me/919831159173" TargetMode="External"/><Relationship Id="rId892" Type="http://schemas.openxmlformats.org/officeDocument/2006/relationships/hyperlink" Target="https://gardensuite.in/w/face-weight-499" TargetMode="External"/><Relationship Id="rId906" Type="http://schemas.openxmlformats.org/officeDocument/2006/relationships/hyperlink" Target="https://gardensuite.in/w/face-weight-499" TargetMode="External"/><Relationship Id="rId35" Type="http://schemas.openxmlformats.org/officeDocument/2006/relationships/hyperlink" Target="https://gardensuite.in/w/face-weight-499" TargetMode="External"/><Relationship Id="rId100" Type="http://schemas.openxmlformats.org/officeDocument/2006/relationships/hyperlink" Target="https://gardensuite.in/w/face-weight-499" TargetMode="External"/><Relationship Id="rId338" Type="http://schemas.openxmlformats.org/officeDocument/2006/relationships/hyperlink" Target="https://gardensuite.in/w/face-weight-499" TargetMode="External"/><Relationship Id="rId545" Type="http://schemas.openxmlformats.org/officeDocument/2006/relationships/hyperlink" Target="https://wa.me/919954046364" TargetMode="External"/><Relationship Id="rId752" Type="http://schemas.openxmlformats.org/officeDocument/2006/relationships/hyperlink" Target="https://gardensuite.in/w/face-weight-499" TargetMode="External"/><Relationship Id="rId184" Type="http://schemas.openxmlformats.org/officeDocument/2006/relationships/hyperlink" Target="https://gardensuite.in/w/face-weight-499" TargetMode="External"/><Relationship Id="rId391" Type="http://schemas.openxmlformats.org/officeDocument/2006/relationships/hyperlink" Target="https://wa.me/919435422512" TargetMode="External"/><Relationship Id="rId405" Type="http://schemas.openxmlformats.org/officeDocument/2006/relationships/hyperlink" Target="https://wa.me/919954180359" TargetMode="External"/><Relationship Id="rId612" Type="http://schemas.openxmlformats.org/officeDocument/2006/relationships/hyperlink" Target="https://gardensuite.in/w/face-weight-499" TargetMode="External"/><Relationship Id="rId1035" Type="http://schemas.openxmlformats.org/officeDocument/2006/relationships/hyperlink" Target="https://wa.me/919435408894" TargetMode="External"/><Relationship Id="rId251" Type="http://schemas.openxmlformats.org/officeDocument/2006/relationships/hyperlink" Target="https://wa.me/919435567873" TargetMode="External"/><Relationship Id="rId489" Type="http://schemas.openxmlformats.org/officeDocument/2006/relationships/hyperlink" Target="https://wa.me/919931171719" TargetMode="External"/><Relationship Id="rId696" Type="http://schemas.openxmlformats.org/officeDocument/2006/relationships/hyperlink" Target="https://gardensuite.in/w/face-weight-499" TargetMode="External"/><Relationship Id="rId917" Type="http://schemas.openxmlformats.org/officeDocument/2006/relationships/hyperlink" Target="https://wa.me/919831007736" TargetMode="External"/><Relationship Id="rId46" Type="http://schemas.openxmlformats.org/officeDocument/2006/relationships/hyperlink" Target="https://gardensuite.in/w/face-weight-499" TargetMode="External"/><Relationship Id="rId349" Type="http://schemas.openxmlformats.org/officeDocument/2006/relationships/hyperlink" Target="https://wa.me/919954499218" TargetMode="External"/><Relationship Id="rId556" Type="http://schemas.openxmlformats.org/officeDocument/2006/relationships/hyperlink" Target="https://gardensuite.in/w/face-weight-499" TargetMode="External"/><Relationship Id="rId763" Type="http://schemas.openxmlformats.org/officeDocument/2006/relationships/hyperlink" Target="https://wa.me/919831483093" TargetMode="External"/><Relationship Id="rId111" Type="http://schemas.openxmlformats.org/officeDocument/2006/relationships/hyperlink" Target="https://wa.me/919435393443" TargetMode="External"/><Relationship Id="rId195" Type="http://schemas.openxmlformats.org/officeDocument/2006/relationships/hyperlink" Target="https://wa.me/919706052244" TargetMode="External"/><Relationship Id="rId209" Type="http://schemas.openxmlformats.org/officeDocument/2006/relationships/hyperlink" Target="https://wa.me/919435131842" TargetMode="External"/><Relationship Id="rId416" Type="http://schemas.openxmlformats.org/officeDocument/2006/relationships/hyperlink" Target="https://gardensuite.in/w/face-weight-499" TargetMode="External"/><Relationship Id="rId970" Type="http://schemas.openxmlformats.org/officeDocument/2006/relationships/hyperlink" Target="https://gardensuite.in/w/face-weight-499" TargetMode="External"/><Relationship Id="rId623" Type="http://schemas.openxmlformats.org/officeDocument/2006/relationships/hyperlink" Target="https://wa.me/919957421622" TargetMode="External"/><Relationship Id="rId830" Type="http://schemas.openxmlformats.org/officeDocument/2006/relationships/hyperlink" Target="https://gardensuite.in/w/face-weight-499" TargetMode="External"/><Relationship Id="rId928" Type="http://schemas.openxmlformats.org/officeDocument/2006/relationships/hyperlink" Target="https://gardensuite.in/w/face-weight-499" TargetMode="External"/><Relationship Id="rId57" Type="http://schemas.openxmlformats.org/officeDocument/2006/relationships/hyperlink" Target="https://wa.me/918876426227" TargetMode="External"/><Relationship Id="rId262" Type="http://schemas.openxmlformats.org/officeDocument/2006/relationships/hyperlink" Target="https://gardensuite.in/w/face-weight-499" TargetMode="External"/><Relationship Id="rId567" Type="http://schemas.openxmlformats.org/officeDocument/2006/relationships/hyperlink" Target="https://wa.me/919435415546" TargetMode="External"/><Relationship Id="rId122" Type="http://schemas.openxmlformats.org/officeDocument/2006/relationships/hyperlink" Target="https://gardensuite.in/w/face-weight-499" TargetMode="External"/><Relationship Id="rId774" Type="http://schemas.openxmlformats.org/officeDocument/2006/relationships/hyperlink" Target="https://gardensuite.in/w/face-weight-499" TargetMode="External"/><Relationship Id="rId981" Type="http://schemas.openxmlformats.org/officeDocument/2006/relationships/hyperlink" Target="https://wa.me/919678004787" TargetMode="External"/><Relationship Id="rId427" Type="http://schemas.openxmlformats.org/officeDocument/2006/relationships/hyperlink" Target="https://wa.me/919954017410" TargetMode="External"/><Relationship Id="rId634" Type="http://schemas.openxmlformats.org/officeDocument/2006/relationships/hyperlink" Target="https://gardensuite.in/w/face-weight-499" TargetMode="External"/><Relationship Id="rId841" Type="http://schemas.openxmlformats.org/officeDocument/2006/relationships/hyperlink" Target="https://wa.me/919831171719" TargetMode="External"/><Relationship Id="rId273" Type="http://schemas.openxmlformats.org/officeDocument/2006/relationships/hyperlink" Target="https://wa.me/919707015809" TargetMode="External"/><Relationship Id="rId480" Type="http://schemas.openxmlformats.org/officeDocument/2006/relationships/hyperlink" Target="https://gardensuite.in/w/face-weight-499" TargetMode="External"/><Relationship Id="rId701" Type="http://schemas.openxmlformats.org/officeDocument/2006/relationships/hyperlink" Target="https://wa.me/919435703174" TargetMode="External"/><Relationship Id="rId939" Type="http://schemas.openxmlformats.org/officeDocument/2006/relationships/hyperlink" Target="https://wa.me/919435357401" TargetMode="External"/><Relationship Id="rId68" Type="http://schemas.openxmlformats.org/officeDocument/2006/relationships/hyperlink" Target="https://wa.me/919706793269" TargetMode="External"/><Relationship Id="rId133" Type="http://schemas.openxmlformats.org/officeDocument/2006/relationships/hyperlink" Target="https://wa.me/919899997370" TargetMode="External"/><Relationship Id="rId340" Type="http://schemas.openxmlformats.org/officeDocument/2006/relationships/hyperlink" Target="https://gardensuite.in/w/face-weight-499" TargetMode="External"/><Relationship Id="rId578" Type="http://schemas.openxmlformats.org/officeDocument/2006/relationships/hyperlink" Target="https://gardensuite.in/w/face-weight-499" TargetMode="External"/><Relationship Id="rId785" Type="http://schemas.openxmlformats.org/officeDocument/2006/relationships/hyperlink" Target="https://wa.me/917896284510" TargetMode="External"/><Relationship Id="rId992" Type="http://schemas.openxmlformats.org/officeDocument/2006/relationships/hyperlink" Target="https://gardensuite.in/w/face-weight-499" TargetMode="External"/><Relationship Id="rId200" Type="http://schemas.openxmlformats.org/officeDocument/2006/relationships/hyperlink" Target="https://gardensuite.in/w/face-weight-499" TargetMode="External"/><Relationship Id="rId438" Type="http://schemas.openxmlformats.org/officeDocument/2006/relationships/hyperlink" Target="https://gardensuite.in/w/face-weight-499" TargetMode="External"/><Relationship Id="rId645" Type="http://schemas.openxmlformats.org/officeDocument/2006/relationships/hyperlink" Target="https://wa.me/919435206577" TargetMode="External"/><Relationship Id="rId852" Type="http://schemas.openxmlformats.org/officeDocument/2006/relationships/hyperlink" Target="https://gardensuite.in/w/face-weight-499" TargetMode="External"/><Relationship Id="rId284" Type="http://schemas.openxmlformats.org/officeDocument/2006/relationships/hyperlink" Target="https://gardensuite.in/w/face-weight-499" TargetMode="External"/><Relationship Id="rId491" Type="http://schemas.openxmlformats.org/officeDocument/2006/relationships/hyperlink" Target="https://wa.me/919435200027" TargetMode="External"/><Relationship Id="rId505" Type="http://schemas.openxmlformats.org/officeDocument/2006/relationships/hyperlink" Target="https://wa.me/919435053873" TargetMode="External"/><Relationship Id="rId712" Type="http://schemas.openxmlformats.org/officeDocument/2006/relationships/hyperlink" Target="https://gardensuite.in/w/face-weight-499" TargetMode="External"/><Relationship Id="rId79" Type="http://schemas.openxmlformats.org/officeDocument/2006/relationships/hyperlink" Target="https://wa.me/919435035462" TargetMode="External"/><Relationship Id="rId144" Type="http://schemas.openxmlformats.org/officeDocument/2006/relationships/hyperlink" Target="https://gardensuite.in/w/face-weight-499" TargetMode="External"/><Relationship Id="rId589" Type="http://schemas.openxmlformats.org/officeDocument/2006/relationships/hyperlink" Target="https://wa.me/919435515561" TargetMode="External"/><Relationship Id="rId796" Type="http://schemas.openxmlformats.org/officeDocument/2006/relationships/hyperlink" Target="https://gardensuite.in/w/face-weight-499" TargetMode="External"/><Relationship Id="rId351" Type="http://schemas.openxmlformats.org/officeDocument/2006/relationships/hyperlink" Target="https://wa.me/919435151646" TargetMode="External"/><Relationship Id="rId449" Type="http://schemas.openxmlformats.org/officeDocument/2006/relationships/hyperlink" Target="https://wa.me/919954032425" TargetMode="External"/><Relationship Id="rId656" Type="http://schemas.openxmlformats.org/officeDocument/2006/relationships/hyperlink" Target="https://gardensuite.in/w/face-weight-499" TargetMode="External"/><Relationship Id="rId863" Type="http://schemas.openxmlformats.org/officeDocument/2006/relationships/hyperlink" Target="https://wa.me/917896698216" TargetMode="External"/><Relationship Id="rId211" Type="http://schemas.openxmlformats.org/officeDocument/2006/relationships/hyperlink" Target="https://wa.me/919435147841" TargetMode="External"/><Relationship Id="rId295" Type="http://schemas.openxmlformats.org/officeDocument/2006/relationships/hyperlink" Target="https://wa.me/919435035779" TargetMode="External"/><Relationship Id="rId309" Type="http://schemas.openxmlformats.org/officeDocument/2006/relationships/hyperlink" Target="https://wa.me/919435333314" TargetMode="External"/><Relationship Id="rId516" Type="http://schemas.openxmlformats.org/officeDocument/2006/relationships/hyperlink" Target="https://gardensuite.in/w/face-weight-499" TargetMode="External"/><Relationship Id="rId723" Type="http://schemas.openxmlformats.org/officeDocument/2006/relationships/hyperlink" Target="https://wa.me/918011670354" TargetMode="External"/><Relationship Id="rId930" Type="http://schemas.openxmlformats.org/officeDocument/2006/relationships/hyperlink" Target="https://gardensuite.in/w/face-weight-499" TargetMode="External"/><Relationship Id="rId1006" Type="http://schemas.openxmlformats.org/officeDocument/2006/relationships/hyperlink" Target="https://gardensuite.in/w/face-weight-499" TargetMode="External"/><Relationship Id="rId155" Type="http://schemas.openxmlformats.org/officeDocument/2006/relationships/hyperlink" Target="https://wa.me/919435031926" TargetMode="External"/><Relationship Id="rId362" Type="http://schemas.openxmlformats.org/officeDocument/2006/relationships/hyperlink" Target="https://gardensuite.in/w/face-weight-499" TargetMode="External"/><Relationship Id="rId222" Type="http://schemas.openxmlformats.org/officeDocument/2006/relationships/hyperlink" Target="https://gardensuite.in/w/face-weight-499" TargetMode="External"/><Relationship Id="rId667" Type="http://schemas.openxmlformats.org/officeDocument/2006/relationships/hyperlink" Target="https://wa.me/919435175088" TargetMode="External"/><Relationship Id="rId874" Type="http://schemas.openxmlformats.org/officeDocument/2006/relationships/hyperlink" Target="https://gardensuite.in/w/face-weight-499" TargetMode="External"/><Relationship Id="rId17" Type="http://schemas.openxmlformats.org/officeDocument/2006/relationships/hyperlink" Target="https://gardensuite.in/w/face-weight-499" TargetMode="External"/><Relationship Id="rId527" Type="http://schemas.openxmlformats.org/officeDocument/2006/relationships/hyperlink" Target="https://wa.me/919508110819" TargetMode="External"/><Relationship Id="rId734" Type="http://schemas.openxmlformats.org/officeDocument/2006/relationships/hyperlink" Target="https://gardensuite.in/w/face-weight-499" TargetMode="External"/><Relationship Id="rId941" Type="http://schemas.openxmlformats.org/officeDocument/2006/relationships/hyperlink" Target="https://wa.me/919435334849" TargetMode="External"/><Relationship Id="rId70" Type="http://schemas.openxmlformats.org/officeDocument/2006/relationships/hyperlink" Target="https://gardensuite.in/w/face-weight-499" TargetMode="External"/><Relationship Id="rId166" Type="http://schemas.openxmlformats.org/officeDocument/2006/relationships/hyperlink" Target="https://gardensuite.in/w/face-weight-499" TargetMode="External"/><Relationship Id="rId373" Type="http://schemas.openxmlformats.org/officeDocument/2006/relationships/hyperlink" Target="https://wa.me/919435532528" TargetMode="External"/><Relationship Id="rId580" Type="http://schemas.openxmlformats.org/officeDocument/2006/relationships/hyperlink" Target="https://gardensuite.in/w/face-weight-499" TargetMode="External"/><Relationship Id="rId801" Type="http://schemas.openxmlformats.org/officeDocument/2006/relationships/hyperlink" Target="https://wa.me/919435050547" TargetMode="External"/><Relationship Id="rId1017" Type="http://schemas.openxmlformats.org/officeDocument/2006/relationships/hyperlink" Target="https://wa.me/919435439526" TargetMode="External"/><Relationship Id="rId1" Type="http://schemas.openxmlformats.org/officeDocument/2006/relationships/hyperlink" Target="https://gardensuite.in/w/face-weight-499" TargetMode="External"/><Relationship Id="rId233" Type="http://schemas.openxmlformats.org/officeDocument/2006/relationships/hyperlink" Target="https://wa.me/919954968627" TargetMode="External"/><Relationship Id="rId440" Type="http://schemas.openxmlformats.org/officeDocument/2006/relationships/hyperlink" Target="https://gardensuite.in/w/face-weight-499" TargetMode="External"/><Relationship Id="rId678" Type="http://schemas.openxmlformats.org/officeDocument/2006/relationships/hyperlink" Target="https://gardensuite.in/w/face-weight-499" TargetMode="External"/><Relationship Id="rId885" Type="http://schemas.openxmlformats.org/officeDocument/2006/relationships/hyperlink" Target="https://wa.me/919831387320" TargetMode="External"/><Relationship Id="rId28" Type="http://schemas.openxmlformats.org/officeDocument/2006/relationships/hyperlink" Target="https://wa.me/919831594993" TargetMode="External"/><Relationship Id="rId300" Type="http://schemas.openxmlformats.org/officeDocument/2006/relationships/hyperlink" Target="https://gardensuite.in/w/face-weight-499" TargetMode="External"/><Relationship Id="rId538" Type="http://schemas.openxmlformats.org/officeDocument/2006/relationships/hyperlink" Target="https://gardensuite.in/w/face-weight-499" TargetMode="External"/><Relationship Id="rId745" Type="http://schemas.openxmlformats.org/officeDocument/2006/relationships/hyperlink" Target="https://wa.me/919957766947" TargetMode="External"/><Relationship Id="rId952" Type="http://schemas.openxmlformats.org/officeDocument/2006/relationships/hyperlink" Target="https://gardensuite.in/w/face-weight-499" TargetMode="External"/><Relationship Id="rId81" Type="http://schemas.openxmlformats.org/officeDocument/2006/relationships/hyperlink" Target="https://wa.me/919954446448" TargetMode="External"/><Relationship Id="rId177" Type="http://schemas.openxmlformats.org/officeDocument/2006/relationships/hyperlink" Target="https://wa.me/919706823415" TargetMode="External"/><Relationship Id="rId384" Type="http://schemas.openxmlformats.org/officeDocument/2006/relationships/hyperlink" Target="https://gardensuite.in/w/face-weight-499" TargetMode="External"/><Relationship Id="rId591" Type="http://schemas.openxmlformats.org/officeDocument/2006/relationships/hyperlink" Target="https://wa.me/919435133125" TargetMode="External"/><Relationship Id="rId605" Type="http://schemas.openxmlformats.org/officeDocument/2006/relationships/hyperlink" Target="https://wa.me/919435344605" TargetMode="External"/><Relationship Id="rId812" Type="http://schemas.openxmlformats.org/officeDocument/2006/relationships/hyperlink" Target="https://gardensuite.in/w/face-weight-499" TargetMode="External"/><Relationship Id="rId1028" Type="http://schemas.openxmlformats.org/officeDocument/2006/relationships/hyperlink" Target="https://gardensuite.in/w/face-weight-499" TargetMode="External"/><Relationship Id="rId244" Type="http://schemas.openxmlformats.org/officeDocument/2006/relationships/hyperlink" Target="https://gardensuite.in/w/face-weight-499" TargetMode="External"/><Relationship Id="rId689" Type="http://schemas.openxmlformats.org/officeDocument/2006/relationships/hyperlink" Target="https://wa.me/919613861414" TargetMode="External"/><Relationship Id="rId896" Type="http://schemas.openxmlformats.org/officeDocument/2006/relationships/hyperlink" Target="https://gardensuite.in/w/face-weight-499" TargetMode="External"/><Relationship Id="rId39" Type="http://schemas.openxmlformats.org/officeDocument/2006/relationships/hyperlink" Target="https://gardensuite.in/w/face-weight-499" TargetMode="External"/><Relationship Id="rId451" Type="http://schemas.openxmlformats.org/officeDocument/2006/relationships/hyperlink" Target="https://wa.me/919435061129" TargetMode="External"/><Relationship Id="rId549" Type="http://schemas.openxmlformats.org/officeDocument/2006/relationships/hyperlink" Target="https://wa.me/919435181566" TargetMode="External"/><Relationship Id="rId756" Type="http://schemas.openxmlformats.org/officeDocument/2006/relationships/hyperlink" Target="https://gardensuite.in/w/face-weight-499" TargetMode="External"/><Relationship Id="rId104" Type="http://schemas.openxmlformats.org/officeDocument/2006/relationships/hyperlink" Target="https://gardensuite.in/w/face-weight-499" TargetMode="External"/><Relationship Id="rId188" Type="http://schemas.openxmlformats.org/officeDocument/2006/relationships/hyperlink" Target="https://gardensuite.in/w/face-weight-499" TargetMode="External"/><Relationship Id="rId311" Type="http://schemas.openxmlformats.org/officeDocument/2006/relationships/hyperlink" Target="https://wa.me/919435158668" TargetMode="External"/><Relationship Id="rId395" Type="http://schemas.openxmlformats.org/officeDocument/2006/relationships/hyperlink" Target="https://wa.me/919435700488" TargetMode="External"/><Relationship Id="rId409" Type="http://schemas.openxmlformats.org/officeDocument/2006/relationships/hyperlink" Target="https://wa.me/919435180336" TargetMode="External"/><Relationship Id="rId963" Type="http://schemas.openxmlformats.org/officeDocument/2006/relationships/hyperlink" Target="https://wa.me/919748782869" TargetMode="External"/><Relationship Id="rId1039" Type="http://schemas.openxmlformats.org/officeDocument/2006/relationships/hyperlink" Target="https://wa.me/919954492823" TargetMode="External"/><Relationship Id="rId92" Type="http://schemas.openxmlformats.org/officeDocument/2006/relationships/hyperlink" Target="https://gardensuite.in/w/face-weight-499" TargetMode="External"/><Relationship Id="rId616" Type="http://schemas.openxmlformats.org/officeDocument/2006/relationships/hyperlink" Target="https://gardensuite.in/w/face-weight-499" TargetMode="External"/><Relationship Id="rId823" Type="http://schemas.openxmlformats.org/officeDocument/2006/relationships/hyperlink" Target="https://wa.me/919859350550" TargetMode="External"/><Relationship Id="rId255" Type="http://schemas.openxmlformats.org/officeDocument/2006/relationships/hyperlink" Target="https://wa.me/919864049079" TargetMode="External"/><Relationship Id="rId462" Type="http://schemas.openxmlformats.org/officeDocument/2006/relationships/hyperlink" Target="https://gardensuite.in/w/face-weight-499" TargetMode="External"/><Relationship Id="rId115" Type="http://schemas.openxmlformats.org/officeDocument/2006/relationships/hyperlink" Target="https://wa.me/917002829252" TargetMode="External"/><Relationship Id="rId322" Type="http://schemas.openxmlformats.org/officeDocument/2006/relationships/hyperlink" Target="https://gardensuite.in/w/face-weight-499" TargetMode="External"/><Relationship Id="rId767" Type="http://schemas.openxmlformats.org/officeDocument/2006/relationships/hyperlink" Target="https://wa.me/919859100949" TargetMode="External"/><Relationship Id="rId974" Type="http://schemas.openxmlformats.org/officeDocument/2006/relationships/hyperlink" Target="https://gardensuite.in/w/face-weight-499" TargetMode="External"/><Relationship Id="rId199" Type="http://schemas.openxmlformats.org/officeDocument/2006/relationships/hyperlink" Target="https://wa.me/919706669220" TargetMode="External"/><Relationship Id="rId627" Type="http://schemas.openxmlformats.org/officeDocument/2006/relationships/hyperlink" Target="https://wa.me/919707076375" TargetMode="External"/><Relationship Id="rId834" Type="http://schemas.openxmlformats.org/officeDocument/2006/relationships/hyperlink" Target="https://gardensuite.in/w/face-weight-499" TargetMode="External"/><Relationship Id="rId266" Type="http://schemas.openxmlformats.org/officeDocument/2006/relationships/hyperlink" Target="https://gardensuite.in/w/face-weight-499" TargetMode="External"/><Relationship Id="rId473" Type="http://schemas.openxmlformats.org/officeDocument/2006/relationships/hyperlink" Target="https://wa.me/919436432228" TargetMode="External"/><Relationship Id="rId680" Type="http://schemas.openxmlformats.org/officeDocument/2006/relationships/hyperlink" Target="https://gardensuite.in/w/face-weight-499" TargetMode="External"/><Relationship Id="rId901" Type="http://schemas.openxmlformats.org/officeDocument/2006/relationships/hyperlink" Target="https://wa.me/919577075792" TargetMode="External"/><Relationship Id="rId30" Type="http://schemas.openxmlformats.org/officeDocument/2006/relationships/hyperlink" Target="https://wa.me/919101006460" TargetMode="External"/><Relationship Id="rId126" Type="http://schemas.openxmlformats.org/officeDocument/2006/relationships/hyperlink" Target="https://gardensuite.in/w/face-weight-499" TargetMode="External"/><Relationship Id="rId333" Type="http://schemas.openxmlformats.org/officeDocument/2006/relationships/hyperlink" Target="https://wa.me/919435010774" TargetMode="External"/><Relationship Id="rId540" Type="http://schemas.openxmlformats.org/officeDocument/2006/relationships/hyperlink" Target="https://gardensuite.in/w/face-weight-499" TargetMode="External"/><Relationship Id="rId778" Type="http://schemas.openxmlformats.org/officeDocument/2006/relationships/hyperlink" Target="https://gardensuite.in/w/face-weight-499" TargetMode="External"/><Relationship Id="rId985" Type="http://schemas.openxmlformats.org/officeDocument/2006/relationships/hyperlink" Target="https://wa.me/919435181626" TargetMode="External"/><Relationship Id="rId638" Type="http://schemas.openxmlformats.org/officeDocument/2006/relationships/hyperlink" Target="https://gardensuite.in/w/face-weight-499" TargetMode="External"/><Relationship Id="rId845" Type="http://schemas.openxmlformats.org/officeDocument/2006/relationships/hyperlink" Target="https://wa.me/919435031450" TargetMode="External"/><Relationship Id="rId1030" Type="http://schemas.openxmlformats.org/officeDocument/2006/relationships/hyperlink" Target="https://gardensuite.in/w/face-weight-499" TargetMode="External"/><Relationship Id="rId277" Type="http://schemas.openxmlformats.org/officeDocument/2006/relationships/hyperlink" Target="https://wa.me/919435053511" TargetMode="External"/><Relationship Id="rId400" Type="http://schemas.openxmlformats.org/officeDocument/2006/relationships/hyperlink" Target="https://gardensuite.in/w/face-weight-499" TargetMode="External"/><Relationship Id="rId484" Type="http://schemas.openxmlformats.org/officeDocument/2006/relationships/hyperlink" Target="https://gardensuite.in/w/face-weight-499" TargetMode="External"/><Relationship Id="rId705" Type="http://schemas.openxmlformats.org/officeDocument/2006/relationships/hyperlink" Target="https://wa.me/918822533881" TargetMode="External"/><Relationship Id="rId137" Type="http://schemas.openxmlformats.org/officeDocument/2006/relationships/hyperlink" Target="https://wa.me/919395836442" TargetMode="External"/><Relationship Id="rId344" Type="http://schemas.openxmlformats.org/officeDocument/2006/relationships/hyperlink" Target="https://gardensuite.in/w/face-weight-499" TargetMode="External"/><Relationship Id="rId691" Type="http://schemas.openxmlformats.org/officeDocument/2006/relationships/hyperlink" Target="https://wa.me/919435171539" TargetMode="External"/><Relationship Id="rId789" Type="http://schemas.openxmlformats.org/officeDocument/2006/relationships/hyperlink" Target="https://wa.me/919435177225" TargetMode="External"/><Relationship Id="rId912" Type="http://schemas.openxmlformats.org/officeDocument/2006/relationships/hyperlink" Target="https://gardensuite.in/w/face-weight-499" TargetMode="External"/><Relationship Id="rId996" Type="http://schemas.openxmlformats.org/officeDocument/2006/relationships/hyperlink" Target="https://gardensuite.in/w/face-weight-499" TargetMode="External"/><Relationship Id="rId41" Type="http://schemas.openxmlformats.org/officeDocument/2006/relationships/hyperlink" Target="https://gardensuite.in/w/face-weight-499" TargetMode="External"/><Relationship Id="rId551" Type="http://schemas.openxmlformats.org/officeDocument/2006/relationships/hyperlink" Target="https://wa.me/919435180827" TargetMode="External"/><Relationship Id="rId649" Type="http://schemas.openxmlformats.org/officeDocument/2006/relationships/hyperlink" Target="https://wa.me/919435158782" TargetMode="External"/><Relationship Id="rId856" Type="http://schemas.openxmlformats.org/officeDocument/2006/relationships/hyperlink" Target="https://gardensuite.in/w/face-weight-499" TargetMode="External"/><Relationship Id="rId190" Type="http://schemas.openxmlformats.org/officeDocument/2006/relationships/hyperlink" Target="https://gardensuite.in/w/face-weight-499" TargetMode="External"/><Relationship Id="rId204" Type="http://schemas.openxmlformats.org/officeDocument/2006/relationships/hyperlink" Target="https://gardensuite.in/w/face-weight-499" TargetMode="External"/><Relationship Id="rId288" Type="http://schemas.openxmlformats.org/officeDocument/2006/relationships/hyperlink" Target="https://gardensuite.in/w/face-weight-499" TargetMode="External"/><Relationship Id="rId411" Type="http://schemas.openxmlformats.org/officeDocument/2006/relationships/hyperlink" Target="https://wa.me/919954651028" TargetMode="External"/><Relationship Id="rId509" Type="http://schemas.openxmlformats.org/officeDocument/2006/relationships/hyperlink" Target="https://wa.me/919435033527" TargetMode="External"/><Relationship Id="rId1041" Type="http://schemas.openxmlformats.org/officeDocument/2006/relationships/hyperlink" Target="https://wa.me/919954492415" TargetMode="External"/><Relationship Id="rId495" Type="http://schemas.openxmlformats.org/officeDocument/2006/relationships/hyperlink" Target="https://wa.me/919435154908" TargetMode="External"/><Relationship Id="rId716" Type="http://schemas.openxmlformats.org/officeDocument/2006/relationships/hyperlink" Target="https://gardensuite.in/w/face-weight-499" TargetMode="External"/><Relationship Id="rId923" Type="http://schemas.openxmlformats.org/officeDocument/2006/relationships/hyperlink" Target="https://wa.me/919435514630" TargetMode="External"/><Relationship Id="rId52" Type="http://schemas.openxmlformats.org/officeDocument/2006/relationships/hyperlink" Target="https://gardensuite.in/w/face-weight-499" TargetMode="External"/><Relationship Id="rId148" Type="http://schemas.openxmlformats.org/officeDocument/2006/relationships/hyperlink" Target="https://gardensuite.in/w/face-weight-499" TargetMode="External"/><Relationship Id="rId355" Type="http://schemas.openxmlformats.org/officeDocument/2006/relationships/hyperlink" Target="https://wa.me/919435092011" TargetMode="External"/><Relationship Id="rId562" Type="http://schemas.openxmlformats.org/officeDocument/2006/relationships/hyperlink" Target="https://gardensuite.in/w/face-weight-499" TargetMode="External"/><Relationship Id="rId215" Type="http://schemas.openxmlformats.org/officeDocument/2006/relationships/hyperlink" Target="https://wa.me/919435885390" TargetMode="External"/><Relationship Id="rId422" Type="http://schemas.openxmlformats.org/officeDocument/2006/relationships/hyperlink" Target="https://gardensuite.in/w/face-weight-499" TargetMode="External"/><Relationship Id="rId867" Type="http://schemas.openxmlformats.org/officeDocument/2006/relationships/hyperlink" Target="https://wa.me/919830086837" TargetMode="External"/><Relationship Id="rId299" Type="http://schemas.openxmlformats.org/officeDocument/2006/relationships/hyperlink" Target="https://wa.me/919435017972" TargetMode="External"/><Relationship Id="rId727" Type="http://schemas.openxmlformats.org/officeDocument/2006/relationships/hyperlink" Target="https://wa.me/919435132017" TargetMode="External"/><Relationship Id="rId934" Type="http://schemas.openxmlformats.org/officeDocument/2006/relationships/hyperlink" Target="https://gardensuite.in/w/face-weight-499" TargetMode="External"/><Relationship Id="rId63" Type="http://schemas.openxmlformats.org/officeDocument/2006/relationships/hyperlink" Target="https://gardensuite.in/w/face-weight-499" TargetMode="External"/><Relationship Id="rId159" Type="http://schemas.openxmlformats.org/officeDocument/2006/relationships/hyperlink" Target="https://wa.me/918099787964" TargetMode="External"/><Relationship Id="rId366" Type="http://schemas.openxmlformats.org/officeDocument/2006/relationships/hyperlink" Target="https://gardensuite.in/w/face-weight-499" TargetMode="External"/><Relationship Id="rId573" Type="http://schemas.openxmlformats.org/officeDocument/2006/relationships/hyperlink" Target="https://wa.me/919435142306" TargetMode="External"/><Relationship Id="rId780" Type="http://schemas.openxmlformats.org/officeDocument/2006/relationships/hyperlink" Target="https://gardensuite.in/w/face-weight-499" TargetMode="External"/><Relationship Id="rId226" Type="http://schemas.openxmlformats.org/officeDocument/2006/relationships/hyperlink" Target="https://gardensuite.in/w/face-weight-499" TargetMode="External"/><Relationship Id="rId433" Type="http://schemas.openxmlformats.org/officeDocument/2006/relationships/hyperlink" Target="https://wa.me/919435027121" TargetMode="External"/><Relationship Id="rId878" Type="http://schemas.openxmlformats.org/officeDocument/2006/relationships/hyperlink" Target="https://gardensuite.in/w/face-weight-499" TargetMode="External"/><Relationship Id="rId640" Type="http://schemas.openxmlformats.org/officeDocument/2006/relationships/hyperlink" Target="https://gardensuite.in/w/face-weight-499" TargetMode="External"/><Relationship Id="rId738" Type="http://schemas.openxmlformats.org/officeDocument/2006/relationships/hyperlink" Target="https://gardensuite.in/w/face-weight-499" TargetMode="External"/><Relationship Id="rId945" Type="http://schemas.openxmlformats.org/officeDocument/2006/relationships/hyperlink" Target="https://wa.me/919831060950" TargetMode="External"/><Relationship Id="rId74" Type="http://schemas.openxmlformats.org/officeDocument/2006/relationships/hyperlink" Target="https://gardensuite.in/w/face-weight-499" TargetMode="External"/><Relationship Id="rId377" Type="http://schemas.openxmlformats.org/officeDocument/2006/relationships/hyperlink" Target="https://wa.me/919435130842" TargetMode="External"/><Relationship Id="rId500" Type="http://schemas.openxmlformats.org/officeDocument/2006/relationships/hyperlink" Target="https://gardensuite.in/w/face-weight-499" TargetMode="External"/><Relationship Id="rId584" Type="http://schemas.openxmlformats.org/officeDocument/2006/relationships/hyperlink" Target="https://gardensuite.in/w/face-weight-499" TargetMode="External"/><Relationship Id="rId805" Type="http://schemas.openxmlformats.org/officeDocument/2006/relationships/hyperlink" Target="https://wa.me/919864015568" TargetMode="External"/><Relationship Id="rId5" Type="http://schemas.openxmlformats.org/officeDocument/2006/relationships/hyperlink" Target="https://gardensuite.in/w/face-weight-499" TargetMode="External"/><Relationship Id="rId237" Type="http://schemas.openxmlformats.org/officeDocument/2006/relationships/hyperlink" Target="https://wa.me/919435153309" TargetMode="External"/><Relationship Id="rId791" Type="http://schemas.openxmlformats.org/officeDocument/2006/relationships/hyperlink" Target="https://wa.me/919435179062" TargetMode="External"/><Relationship Id="rId889" Type="http://schemas.openxmlformats.org/officeDocument/2006/relationships/hyperlink" Target="https://wa.me/919435108517" TargetMode="External"/><Relationship Id="rId444" Type="http://schemas.openxmlformats.org/officeDocument/2006/relationships/hyperlink" Target="https://gardensuite.in/w/face-weight-499" TargetMode="External"/><Relationship Id="rId651" Type="http://schemas.openxmlformats.org/officeDocument/2006/relationships/hyperlink" Target="https://wa.me/919954125396" TargetMode="External"/><Relationship Id="rId749" Type="http://schemas.openxmlformats.org/officeDocument/2006/relationships/hyperlink" Target="https://wa.me/919957060774" TargetMode="External"/><Relationship Id="rId290" Type="http://schemas.openxmlformats.org/officeDocument/2006/relationships/hyperlink" Target="https://gardensuite.in/w/face-weight-499" TargetMode="External"/><Relationship Id="rId304" Type="http://schemas.openxmlformats.org/officeDocument/2006/relationships/hyperlink" Target="https://gardensuite.in/w/face-weight-499" TargetMode="External"/><Relationship Id="rId388" Type="http://schemas.openxmlformats.org/officeDocument/2006/relationships/hyperlink" Target="https://gardensuite.in/w/face-weight-499" TargetMode="External"/><Relationship Id="rId511" Type="http://schemas.openxmlformats.org/officeDocument/2006/relationships/hyperlink" Target="https://wa.me/919854369682" TargetMode="External"/><Relationship Id="rId609" Type="http://schemas.openxmlformats.org/officeDocument/2006/relationships/hyperlink" Target="https://wa.me/919854439587" TargetMode="External"/><Relationship Id="rId956" Type="http://schemas.openxmlformats.org/officeDocument/2006/relationships/hyperlink" Target="https://gardensuite.in/w/face-weight-499" TargetMode="External"/><Relationship Id="rId85" Type="http://schemas.openxmlformats.org/officeDocument/2006/relationships/hyperlink" Target="https://wa.me/919435132151" TargetMode="External"/><Relationship Id="rId150" Type="http://schemas.openxmlformats.org/officeDocument/2006/relationships/hyperlink" Target="https://gardensuite.in/w/face-weight-499" TargetMode="External"/><Relationship Id="rId595" Type="http://schemas.openxmlformats.org/officeDocument/2006/relationships/hyperlink" Target="https://wa.me/919435508927" TargetMode="External"/><Relationship Id="rId816" Type="http://schemas.openxmlformats.org/officeDocument/2006/relationships/hyperlink" Target="https://gardensuite.in/w/face-weight-499" TargetMode="External"/><Relationship Id="rId1001" Type="http://schemas.openxmlformats.org/officeDocument/2006/relationships/hyperlink" Target="https://wa.me/919435078803" TargetMode="External"/><Relationship Id="rId248" Type="http://schemas.openxmlformats.org/officeDocument/2006/relationships/hyperlink" Target="https://gardensuite.in/w/face-weight-499" TargetMode="External"/><Relationship Id="rId455" Type="http://schemas.openxmlformats.org/officeDocument/2006/relationships/hyperlink" Target="https://wa.me/919854089231" TargetMode="External"/><Relationship Id="rId662" Type="http://schemas.openxmlformats.org/officeDocument/2006/relationships/hyperlink" Target="https://gardensuite.in/w/face-weight-499" TargetMode="External"/><Relationship Id="rId12" Type="http://schemas.openxmlformats.org/officeDocument/2006/relationships/hyperlink" Target="https://wa.me/919435034005" TargetMode="External"/><Relationship Id="rId108" Type="http://schemas.openxmlformats.org/officeDocument/2006/relationships/hyperlink" Target="https://gardensuite.in/w/face-weight-499" TargetMode="External"/><Relationship Id="rId315" Type="http://schemas.openxmlformats.org/officeDocument/2006/relationships/hyperlink" Target="https://wa.me/919836343222" TargetMode="External"/><Relationship Id="rId522" Type="http://schemas.openxmlformats.org/officeDocument/2006/relationships/hyperlink" Target="https://gardensuite.in/w/face-weight-499" TargetMode="External"/><Relationship Id="rId967" Type="http://schemas.openxmlformats.org/officeDocument/2006/relationships/hyperlink" Target="https://wa.me/919435349548" TargetMode="External"/><Relationship Id="rId96" Type="http://schemas.openxmlformats.org/officeDocument/2006/relationships/hyperlink" Target="https://gardensuite.in/w/face-weight-499" TargetMode="External"/><Relationship Id="rId161" Type="http://schemas.openxmlformats.org/officeDocument/2006/relationships/hyperlink" Target="https://wa.me/919859349447" TargetMode="External"/><Relationship Id="rId399" Type="http://schemas.openxmlformats.org/officeDocument/2006/relationships/hyperlink" Target="https://wa.me/919435051003" TargetMode="External"/><Relationship Id="rId827" Type="http://schemas.openxmlformats.org/officeDocument/2006/relationships/hyperlink" Target="https://wa.me/919854812876" TargetMode="External"/><Relationship Id="rId1012" Type="http://schemas.openxmlformats.org/officeDocument/2006/relationships/hyperlink" Target="https://gardensuite.in/w/face-weight-499" TargetMode="External"/><Relationship Id="rId259" Type="http://schemas.openxmlformats.org/officeDocument/2006/relationships/hyperlink" Target="https://wa.me/919678053864" TargetMode="External"/><Relationship Id="rId466" Type="http://schemas.openxmlformats.org/officeDocument/2006/relationships/hyperlink" Target="https://gardensuite.in/w/face-weight-499" TargetMode="External"/><Relationship Id="rId673" Type="http://schemas.openxmlformats.org/officeDocument/2006/relationships/hyperlink" Target="https://wa.me/919401031473" TargetMode="External"/><Relationship Id="rId880" Type="http://schemas.openxmlformats.org/officeDocument/2006/relationships/hyperlink" Target="https://gardensuite.in/w/face-weight-499" TargetMode="External"/><Relationship Id="rId23" Type="http://schemas.openxmlformats.org/officeDocument/2006/relationships/hyperlink" Target="https://gardensuite.in/w/face-weight-499" TargetMode="External"/><Relationship Id="rId119" Type="http://schemas.openxmlformats.org/officeDocument/2006/relationships/hyperlink" Target="https://wa.me/919101469254" TargetMode="External"/><Relationship Id="rId326" Type="http://schemas.openxmlformats.org/officeDocument/2006/relationships/hyperlink" Target="https://gardensuite.in/w/face-weight-499" TargetMode="External"/><Relationship Id="rId533" Type="http://schemas.openxmlformats.org/officeDocument/2006/relationships/hyperlink" Target="https://wa.me/919859939167" TargetMode="External"/><Relationship Id="rId978" Type="http://schemas.openxmlformats.org/officeDocument/2006/relationships/hyperlink" Target="https://gardensuite.in/w/face-weight-499" TargetMode="External"/><Relationship Id="rId740" Type="http://schemas.openxmlformats.org/officeDocument/2006/relationships/hyperlink" Target="https://gardensuite.in/w/face-weight-499" TargetMode="External"/><Relationship Id="rId838" Type="http://schemas.openxmlformats.org/officeDocument/2006/relationships/hyperlink" Target="https://gardensuite.in/w/face-weight-499" TargetMode="External"/><Relationship Id="rId1023" Type="http://schemas.openxmlformats.org/officeDocument/2006/relationships/hyperlink" Target="https://wa.me/919435379977" TargetMode="External"/><Relationship Id="rId172" Type="http://schemas.openxmlformats.org/officeDocument/2006/relationships/hyperlink" Target="https://gardensuite.in/w/face-weight-499" TargetMode="External"/><Relationship Id="rId477" Type="http://schemas.openxmlformats.org/officeDocument/2006/relationships/hyperlink" Target="https://wa.me/919435079449" TargetMode="External"/><Relationship Id="rId600" Type="http://schemas.openxmlformats.org/officeDocument/2006/relationships/hyperlink" Target="https://gardensuite.in/w/face-weight-499" TargetMode="External"/><Relationship Id="rId684" Type="http://schemas.openxmlformats.org/officeDocument/2006/relationships/hyperlink" Target="https://gardensuite.in/w/face-weight-499" TargetMode="External"/><Relationship Id="rId337" Type="http://schemas.openxmlformats.org/officeDocument/2006/relationships/hyperlink" Target="https://wa.me/919830019050" TargetMode="External"/><Relationship Id="rId891" Type="http://schemas.openxmlformats.org/officeDocument/2006/relationships/hyperlink" Target="https://wa.me/919954214299" TargetMode="External"/><Relationship Id="rId905" Type="http://schemas.openxmlformats.org/officeDocument/2006/relationships/hyperlink" Target="https://wa.me/919864397908" TargetMode="External"/><Relationship Id="rId989" Type="http://schemas.openxmlformats.org/officeDocument/2006/relationships/hyperlink" Target="https://wa.me/919435092538" TargetMode="External"/><Relationship Id="rId34" Type="http://schemas.openxmlformats.org/officeDocument/2006/relationships/hyperlink" Target="https://wa.me/919435473237" TargetMode="External"/><Relationship Id="rId544" Type="http://schemas.openxmlformats.org/officeDocument/2006/relationships/hyperlink" Target="https://gardensuite.in/w/face-weight-499" TargetMode="External"/><Relationship Id="rId751" Type="http://schemas.openxmlformats.org/officeDocument/2006/relationships/hyperlink" Target="https://wa.me/919435293626" TargetMode="External"/><Relationship Id="rId849" Type="http://schemas.openxmlformats.org/officeDocument/2006/relationships/hyperlink" Target="https://wa.me/919954910339" TargetMode="External"/><Relationship Id="rId183" Type="http://schemas.openxmlformats.org/officeDocument/2006/relationships/hyperlink" Target="https://wa.me/919954269166" TargetMode="External"/><Relationship Id="rId390" Type="http://schemas.openxmlformats.org/officeDocument/2006/relationships/hyperlink" Target="https://gardensuite.in/w/face-weight-499" TargetMode="External"/><Relationship Id="rId404" Type="http://schemas.openxmlformats.org/officeDocument/2006/relationships/hyperlink" Target="https://gardensuite.in/w/face-weight-499" TargetMode="External"/><Relationship Id="rId611" Type="http://schemas.openxmlformats.org/officeDocument/2006/relationships/hyperlink" Target="https://wa.me/919401186742" TargetMode="External"/><Relationship Id="rId1034" Type="http://schemas.openxmlformats.org/officeDocument/2006/relationships/hyperlink" Target="https://gardensuite.in/w/face-weight-499" TargetMode="External"/><Relationship Id="rId250" Type="http://schemas.openxmlformats.org/officeDocument/2006/relationships/hyperlink" Target="https://gardensuite.in/w/face-weight-499" TargetMode="External"/><Relationship Id="rId488" Type="http://schemas.openxmlformats.org/officeDocument/2006/relationships/hyperlink" Target="https://gardensuite.in/w/face-weight-499" TargetMode="External"/><Relationship Id="rId695" Type="http://schemas.openxmlformats.org/officeDocument/2006/relationships/hyperlink" Target="https://wa.me/919436603061" TargetMode="External"/><Relationship Id="rId709" Type="http://schemas.openxmlformats.org/officeDocument/2006/relationships/hyperlink" Target="https://wa.me/919831152391" TargetMode="External"/><Relationship Id="rId916" Type="http://schemas.openxmlformats.org/officeDocument/2006/relationships/hyperlink" Target="https://gardensuite.in/w/face-weight-499" TargetMode="External"/><Relationship Id="rId45" Type="http://schemas.openxmlformats.org/officeDocument/2006/relationships/hyperlink" Target="https://wa.me/916002218979" TargetMode="External"/><Relationship Id="rId110" Type="http://schemas.openxmlformats.org/officeDocument/2006/relationships/hyperlink" Target="https://gardensuite.in/w/face-weight-499" TargetMode="External"/><Relationship Id="rId348" Type="http://schemas.openxmlformats.org/officeDocument/2006/relationships/hyperlink" Target="https://gardensuite.in/w/face-weight-499" TargetMode="External"/><Relationship Id="rId555" Type="http://schemas.openxmlformats.org/officeDocument/2006/relationships/hyperlink" Target="https://wa.me/919435070357" TargetMode="External"/><Relationship Id="rId762" Type="http://schemas.openxmlformats.org/officeDocument/2006/relationships/hyperlink" Target="https://gardensuite.in/w/face-weight-499" TargetMode="External"/><Relationship Id="rId194" Type="http://schemas.openxmlformats.org/officeDocument/2006/relationships/hyperlink" Target="https://gardensuite.in/w/face-weight-499" TargetMode="External"/><Relationship Id="rId208" Type="http://schemas.openxmlformats.org/officeDocument/2006/relationships/hyperlink" Target="https://gardensuite.in/w/face-weight-499" TargetMode="External"/><Relationship Id="rId415" Type="http://schemas.openxmlformats.org/officeDocument/2006/relationships/hyperlink" Target="https://wa.me/919435054516" TargetMode="External"/><Relationship Id="rId622" Type="http://schemas.openxmlformats.org/officeDocument/2006/relationships/hyperlink" Target="https://gardensuite.in/w/face-weight-499" TargetMode="External"/><Relationship Id="rId261" Type="http://schemas.openxmlformats.org/officeDocument/2006/relationships/hyperlink" Target="https://wa.me/919678053082" TargetMode="External"/><Relationship Id="rId499" Type="http://schemas.openxmlformats.org/officeDocument/2006/relationships/hyperlink" Target="https://wa.me/919957172136" TargetMode="External"/><Relationship Id="rId927" Type="http://schemas.openxmlformats.org/officeDocument/2006/relationships/hyperlink" Target="https://wa.me/919401283344" TargetMode="External"/><Relationship Id="rId56" Type="http://schemas.openxmlformats.org/officeDocument/2006/relationships/hyperlink" Target="https://gardensuite.in/w/face-weight-499" TargetMode="External"/><Relationship Id="rId359" Type="http://schemas.openxmlformats.org/officeDocument/2006/relationships/hyperlink" Target="https://wa.me/919435279922" TargetMode="External"/><Relationship Id="rId566" Type="http://schemas.openxmlformats.org/officeDocument/2006/relationships/hyperlink" Target="https://gardensuite.in/w/face-weight-499" TargetMode="External"/><Relationship Id="rId773" Type="http://schemas.openxmlformats.org/officeDocument/2006/relationships/hyperlink" Target="https://wa.me/919435079099" TargetMode="External"/><Relationship Id="rId121" Type="http://schemas.openxmlformats.org/officeDocument/2006/relationships/hyperlink" Target="https://wa.me/917003122250" TargetMode="External"/><Relationship Id="rId219" Type="http://schemas.openxmlformats.org/officeDocument/2006/relationships/hyperlink" Target="https://wa.me/919435023914" TargetMode="External"/><Relationship Id="rId426" Type="http://schemas.openxmlformats.org/officeDocument/2006/relationships/hyperlink" Target="https://gardensuite.in/w/face-weight-499" TargetMode="External"/><Relationship Id="rId633" Type="http://schemas.openxmlformats.org/officeDocument/2006/relationships/hyperlink" Target="https://wa.me/919435724409" TargetMode="External"/><Relationship Id="rId980" Type="http://schemas.openxmlformats.org/officeDocument/2006/relationships/hyperlink" Target="https://gardensuite.in/w/face-weight-499" TargetMode="External"/><Relationship Id="rId840" Type="http://schemas.openxmlformats.org/officeDocument/2006/relationships/hyperlink" Target="https://gardensuite.in/w/face-weight-499" TargetMode="External"/><Relationship Id="rId938" Type="http://schemas.openxmlformats.org/officeDocument/2006/relationships/hyperlink" Target="https://gardensuite.in/w/face-weight-499" TargetMode="External"/><Relationship Id="rId67" Type="http://schemas.openxmlformats.org/officeDocument/2006/relationships/hyperlink" Target="https://gardensuite.in/w/face-weight-499" TargetMode="External"/><Relationship Id="rId272" Type="http://schemas.openxmlformats.org/officeDocument/2006/relationships/hyperlink" Target="https://gardensuite.in/w/face-weight-499" TargetMode="External"/><Relationship Id="rId577" Type="http://schemas.openxmlformats.org/officeDocument/2006/relationships/hyperlink" Target="https://wa.me/919401627032" TargetMode="External"/><Relationship Id="rId700" Type="http://schemas.openxmlformats.org/officeDocument/2006/relationships/hyperlink" Target="https://gardensuite.in/w/face-weight-499" TargetMode="External"/><Relationship Id="rId132" Type="http://schemas.openxmlformats.org/officeDocument/2006/relationships/hyperlink" Target="https://gardensuite.in/w/face-weight-499" TargetMode="External"/><Relationship Id="rId784" Type="http://schemas.openxmlformats.org/officeDocument/2006/relationships/hyperlink" Target="https://gardensuite.in/w/face-weight-499" TargetMode="External"/><Relationship Id="rId991" Type="http://schemas.openxmlformats.org/officeDocument/2006/relationships/hyperlink" Target="https://wa.me/918011684624" TargetMode="External"/><Relationship Id="rId437" Type="http://schemas.openxmlformats.org/officeDocument/2006/relationships/hyperlink" Target="https://wa.me/919435130662" TargetMode="External"/><Relationship Id="rId644" Type="http://schemas.openxmlformats.org/officeDocument/2006/relationships/hyperlink" Target="https://gardensuite.in/w/face-weight-499" TargetMode="External"/><Relationship Id="rId851" Type="http://schemas.openxmlformats.org/officeDocument/2006/relationships/hyperlink" Target="https://wa.me/919854852587" TargetMode="External"/><Relationship Id="rId283" Type="http://schemas.openxmlformats.org/officeDocument/2006/relationships/hyperlink" Target="https://wa.me/919678001792" TargetMode="External"/><Relationship Id="rId490" Type="http://schemas.openxmlformats.org/officeDocument/2006/relationships/hyperlink" Target="https://gardensuite.in/w/face-weight-499" TargetMode="External"/><Relationship Id="rId504" Type="http://schemas.openxmlformats.org/officeDocument/2006/relationships/hyperlink" Target="https://gardensuite.in/w/face-weight-499" TargetMode="External"/><Relationship Id="rId711" Type="http://schemas.openxmlformats.org/officeDocument/2006/relationships/hyperlink" Target="https://wa.me/919435184919" TargetMode="External"/><Relationship Id="rId949" Type="http://schemas.openxmlformats.org/officeDocument/2006/relationships/hyperlink" Target="https://wa.me/919401540903" TargetMode="External"/><Relationship Id="rId78" Type="http://schemas.openxmlformats.org/officeDocument/2006/relationships/hyperlink" Target="https://gardensuite.in/w/face-weight-499" TargetMode="External"/><Relationship Id="rId143" Type="http://schemas.openxmlformats.org/officeDocument/2006/relationships/hyperlink" Target="https://wa.me/919780992400" TargetMode="External"/><Relationship Id="rId350" Type="http://schemas.openxmlformats.org/officeDocument/2006/relationships/hyperlink" Target="https://gardensuite.in/w/face-weight-499" TargetMode="External"/><Relationship Id="rId588" Type="http://schemas.openxmlformats.org/officeDocument/2006/relationships/hyperlink" Target="https://gardensuite.in/w/face-weight-499" TargetMode="External"/><Relationship Id="rId795" Type="http://schemas.openxmlformats.org/officeDocument/2006/relationships/hyperlink" Target="https://wa.me/919854823940" TargetMode="External"/><Relationship Id="rId809" Type="http://schemas.openxmlformats.org/officeDocument/2006/relationships/hyperlink" Target="https://wa.me/919613850465" TargetMode="External"/><Relationship Id="rId9" Type="http://schemas.openxmlformats.org/officeDocument/2006/relationships/hyperlink" Target="https://gardensuite.in/w/face-weight-499" TargetMode="External"/><Relationship Id="rId210" Type="http://schemas.openxmlformats.org/officeDocument/2006/relationships/hyperlink" Target="https://gardensuite.in/w/face-weight-499" TargetMode="External"/><Relationship Id="rId448" Type="http://schemas.openxmlformats.org/officeDocument/2006/relationships/hyperlink" Target="https://gardensuite.in/w/face-weight-499" TargetMode="External"/><Relationship Id="rId655" Type="http://schemas.openxmlformats.org/officeDocument/2006/relationships/hyperlink" Target="https://wa.me/919435527264" TargetMode="External"/><Relationship Id="rId862" Type="http://schemas.openxmlformats.org/officeDocument/2006/relationships/hyperlink" Target="https://gardensuite.in/w/face-weight-499" TargetMode="External"/><Relationship Id="rId294" Type="http://schemas.openxmlformats.org/officeDocument/2006/relationships/hyperlink" Target="https://gardensuite.in/w/face-weight-499" TargetMode="External"/><Relationship Id="rId308" Type="http://schemas.openxmlformats.org/officeDocument/2006/relationships/hyperlink" Target="https://gardensuite.in/w/face-weight-499" TargetMode="External"/><Relationship Id="rId515" Type="http://schemas.openxmlformats.org/officeDocument/2006/relationships/hyperlink" Target="https://wa.me/919435377619" TargetMode="External"/><Relationship Id="rId722" Type="http://schemas.openxmlformats.org/officeDocument/2006/relationships/hyperlink" Target="https://gardensuite.in/w/face-weight-499" TargetMode="External"/><Relationship Id="rId89" Type="http://schemas.openxmlformats.org/officeDocument/2006/relationships/hyperlink" Target="https://wa.me/919435030754" TargetMode="External"/><Relationship Id="rId154" Type="http://schemas.openxmlformats.org/officeDocument/2006/relationships/hyperlink" Target="https://gardensuite.in/w/face-weight-499" TargetMode="External"/><Relationship Id="rId361" Type="http://schemas.openxmlformats.org/officeDocument/2006/relationships/hyperlink" Target="https://wa.me/919435178511" TargetMode="External"/><Relationship Id="rId599" Type="http://schemas.openxmlformats.org/officeDocument/2006/relationships/hyperlink" Target="https://wa.me/919831924111" TargetMode="External"/><Relationship Id="rId1005" Type="http://schemas.openxmlformats.org/officeDocument/2006/relationships/hyperlink" Target="https://wa.me/919401101496" TargetMode="External"/><Relationship Id="rId459" Type="http://schemas.openxmlformats.org/officeDocument/2006/relationships/hyperlink" Target="https://wa.me/919435182675" TargetMode="External"/><Relationship Id="rId666" Type="http://schemas.openxmlformats.org/officeDocument/2006/relationships/hyperlink" Target="https://gardensuite.in/w/face-weight-499" TargetMode="External"/><Relationship Id="rId873" Type="http://schemas.openxmlformats.org/officeDocument/2006/relationships/hyperlink" Target="https://wa.me/919830380476" TargetMode="External"/><Relationship Id="rId16" Type="http://schemas.openxmlformats.org/officeDocument/2006/relationships/hyperlink" Target="https://wa.me/918638867855" TargetMode="External"/><Relationship Id="rId221" Type="http://schemas.openxmlformats.org/officeDocument/2006/relationships/hyperlink" Target="https://wa.me/919760002071" TargetMode="External"/><Relationship Id="rId319" Type="http://schemas.openxmlformats.org/officeDocument/2006/relationships/hyperlink" Target="https://wa.me/919435184537" TargetMode="External"/><Relationship Id="rId526" Type="http://schemas.openxmlformats.org/officeDocument/2006/relationships/hyperlink" Target="https://gardensuite.in/w/face-weight-499" TargetMode="External"/><Relationship Id="rId733" Type="http://schemas.openxmlformats.org/officeDocument/2006/relationships/hyperlink" Target="https://wa.me/919401024803" TargetMode="External"/><Relationship Id="rId940" Type="http://schemas.openxmlformats.org/officeDocument/2006/relationships/hyperlink" Target="https://gardensuite.in/w/face-weight-499" TargetMode="External"/><Relationship Id="rId1016" Type="http://schemas.openxmlformats.org/officeDocument/2006/relationships/hyperlink" Target="https://gardensuite.in/w/face-weight-499" TargetMode="External"/><Relationship Id="rId165" Type="http://schemas.openxmlformats.org/officeDocument/2006/relationships/hyperlink" Target="https://wa.me/918003020021" TargetMode="External"/><Relationship Id="rId372" Type="http://schemas.openxmlformats.org/officeDocument/2006/relationships/hyperlink" Target="https://gardensuite.in/w/face-weight-499" TargetMode="External"/><Relationship Id="rId677" Type="http://schemas.openxmlformats.org/officeDocument/2006/relationships/hyperlink" Target="https://wa.me/919957109064" TargetMode="External"/><Relationship Id="rId800" Type="http://schemas.openxmlformats.org/officeDocument/2006/relationships/hyperlink" Target="https://gardensuite.in/w/face-weight-499" TargetMode="External"/><Relationship Id="rId232" Type="http://schemas.openxmlformats.org/officeDocument/2006/relationships/hyperlink" Target="https://gardensuite.in/w/face-weight-499" TargetMode="External"/><Relationship Id="rId884" Type="http://schemas.openxmlformats.org/officeDocument/2006/relationships/hyperlink" Target="https://gardensuite.in/w/face-weight-499" TargetMode="External"/><Relationship Id="rId27" Type="http://schemas.openxmlformats.org/officeDocument/2006/relationships/hyperlink" Target="https://gardensuite.in/w/face-weight-499" TargetMode="External"/><Relationship Id="rId537" Type="http://schemas.openxmlformats.org/officeDocument/2006/relationships/hyperlink" Target="https://wa.me/919954490432" TargetMode="External"/><Relationship Id="rId744" Type="http://schemas.openxmlformats.org/officeDocument/2006/relationships/hyperlink" Target="https://gardensuite.in/w/face-weight-499" TargetMode="External"/><Relationship Id="rId951" Type="http://schemas.openxmlformats.org/officeDocument/2006/relationships/hyperlink" Target="https://wa.me/919435506246" TargetMode="External"/><Relationship Id="rId80" Type="http://schemas.openxmlformats.org/officeDocument/2006/relationships/hyperlink" Target="https://gardensuite.in/w/face-weight-499" TargetMode="External"/><Relationship Id="rId176" Type="http://schemas.openxmlformats.org/officeDocument/2006/relationships/hyperlink" Target="https://gardensuite.in/w/face-weight-499" TargetMode="External"/><Relationship Id="rId383" Type="http://schemas.openxmlformats.org/officeDocument/2006/relationships/hyperlink" Target="https://wa.me/919435158810" TargetMode="External"/><Relationship Id="rId590" Type="http://schemas.openxmlformats.org/officeDocument/2006/relationships/hyperlink" Target="https://gardensuite.in/w/face-weight-499" TargetMode="External"/><Relationship Id="rId604" Type="http://schemas.openxmlformats.org/officeDocument/2006/relationships/hyperlink" Target="https://gardensuite.in/w/face-weight-499" TargetMode="External"/><Relationship Id="rId811" Type="http://schemas.openxmlformats.org/officeDocument/2006/relationships/hyperlink" Target="https://wa.me/917399911440" TargetMode="External"/><Relationship Id="rId1027" Type="http://schemas.openxmlformats.org/officeDocument/2006/relationships/hyperlink" Target="https://wa.me/919435526282" TargetMode="External"/><Relationship Id="rId243" Type="http://schemas.openxmlformats.org/officeDocument/2006/relationships/hyperlink" Target="https://wa.me/919706708840" TargetMode="External"/><Relationship Id="rId450" Type="http://schemas.openxmlformats.org/officeDocument/2006/relationships/hyperlink" Target="https://gardensuite.in/w/face-weight-499" TargetMode="External"/><Relationship Id="rId688" Type="http://schemas.openxmlformats.org/officeDocument/2006/relationships/hyperlink" Target="https://gardensuite.in/w/face-weight-499" TargetMode="External"/><Relationship Id="rId895" Type="http://schemas.openxmlformats.org/officeDocument/2006/relationships/hyperlink" Target="https://wa.me/919854820705" TargetMode="External"/><Relationship Id="rId909" Type="http://schemas.openxmlformats.org/officeDocument/2006/relationships/hyperlink" Target="https://wa.me/919435339955" TargetMode="External"/><Relationship Id="rId38" Type="http://schemas.openxmlformats.org/officeDocument/2006/relationships/hyperlink" Target="https://wa.me/919101006460" TargetMode="External"/><Relationship Id="rId103" Type="http://schemas.openxmlformats.org/officeDocument/2006/relationships/hyperlink" Target="https://wa.me/919101799542" TargetMode="External"/><Relationship Id="rId310" Type="http://schemas.openxmlformats.org/officeDocument/2006/relationships/hyperlink" Target="https://gardensuite.in/w/face-weight-499" TargetMode="External"/><Relationship Id="rId548" Type="http://schemas.openxmlformats.org/officeDocument/2006/relationships/hyperlink" Target="https://gardensuite.in/w/face-weight-499" TargetMode="External"/><Relationship Id="rId755" Type="http://schemas.openxmlformats.org/officeDocument/2006/relationships/hyperlink" Target="https://wa.me/919830012233" TargetMode="External"/><Relationship Id="rId962" Type="http://schemas.openxmlformats.org/officeDocument/2006/relationships/hyperlink" Target="https://gardensuite.in/w/face-weight-499" TargetMode="External"/><Relationship Id="rId91" Type="http://schemas.openxmlformats.org/officeDocument/2006/relationships/hyperlink" Target="https://wa.me/919854028014" TargetMode="External"/><Relationship Id="rId187" Type="http://schemas.openxmlformats.org/officeDocument/2006/relationships/hyperlink" Target="https://wa.me/919435033382" TargetMode="External"/><Relationship Id="rId394" Type="http://schemas.openxmlformats.org/officeDocument/2006/relationships/hyperlink" Target="https://gardensuite.in/w/face-weight-499" TargetMode="External"/><Relationship Id="rId408" Type="http://schemas.openxmlformats.org/officeDocument/2006/relationships/hyperlink" Target="https://gardensuite.in/w/face-weight-499" TargetMode="External"/><Relationship Id="rId615" Type="http://schemas.openxmlformats.org/officeDocument/2006/relationships/hyperlink" Target="https://wa.me/919435433558" TargetMode="External"/><Relationship Id="rId822" Type="http://schemas.openxmlformats.org/officeDocument/2006/relationships/hyperlink" Target="https://gardensuite.in/w/face-weight-499" TargetMode="External"/><Relationship Id="rId1038" Type="http://schemas.openxmlformats.org/officeDocument/2006/relationships/hyperlink" Target="https://gardensuite.in/w/face-weight-499" TargetMode="External"/><Relationship Id="rId254" Type="http://schemas.openxmlformats.org/officeDocument/2006/relationships/hyperlink" Target="https://gardensuite.in/w/face-weight-499" TargetMode="External"/><Relationship Id="rId699" Type="http://schemas.openxmlformats.org/officeDocument/2006/relationships/hyperlink" Target="https://wa.me/919435053809" TargetMode="External"/><Relationship Id="rId49" Type="http://schemas.openxmlformats.org/officeDocument/2006/relationships/hyperlink" Target="https://wa.me/918638926153" TargetMode="External"/><Relationship Id="rId114" Type="http://schemas.openxmlformats.org/officeDocument/2006/relationships/hyperlink" Target="https://gardensuite.in/w/face-weight-499" TargetMode="External"/><Relationship Id="rId461" Type="http://schemas.openxmlformats.org/officeDocument/2006/relationships/hyperlink" Target="https://wa.me/919435153595" TargetMode="External"/><Relationship Id="rId559" Type="http://schemas.openxmlformats.org/officeDocument/2006/relationships/hyperlink" Target="https://wa.me/919831825340" TargetMode="External"/><Relationship Id="rId766" Type="http://schemas.openxmlformats.org/officeDocument/2006/relationships/hyperlink" Target="https://gardensuite.in/w/face-weight-499" TargetMode="External"/><Relationship Id="rId198" Type="http://schemas.openxmlformats.org/officeDocument/2006/relationships/hyperlink" Target="https://gardensuite.in/w/face-weight-499" TargetMode="External"/><Relationship Id="rId321" Type="http://schemas.openxmlformats.org/officeDocument/2006/relationships/hyperlink" Target="https://wa.me/919830250055" TargetMode="External"/><Relationship Id="rId419" Type="http://schemas.openxmlformats.org/officeDocument/2006/relationships/hyperlink" Target="https://wa.me/919436003658" TargetMode="External"/><Relationship Id="rId626" Type="http://schemas.openxmlformats.org/officeDocument/2006/relationships/hyperlink" Target="https://gardensuite.in/w/face-weight-499" TargetMode="External"/><Relationship Id="rId973" Type="http://schemas.openxmlformats.org/officeDocument/2006/relationships/hyperlink" Target="https://wa.me/919435332285" TargetMode="External"/><Relationship Id="rId833" Type="http://schemas.openxmlformats.org/officeDocument/2006/relationships/hyperlink" Target="https://wa.me/917399259837" TargetMode="External"/><Relationship Id="rId265" Type="http://schemas.openxmlformats.org/officeDocument/2006/relationships/hyperlink" Target="https://wa.me/919435032117" TargetMode="External"/><Relationship Id="rId472" Type="http://schemas.openxmlformats.org/officeDocument/2006/relationships/hyperlink" Target="https://gardensuite.in/w/face-weight-499" TargetMode="External"/><Relationship Id="rId900" Type="http://schemas.openxmlformats.org/officeDocument/2006/relationships/hyperlink" Target="https://gardensuite.in/w/face-weight-499" TargetMode="External"/><Relationship Id="rId125" Type="http://schemas.openxmlformats.org/officeDocument/2006/relationships/hyperlink" Target="https://wa.me/918011018074" TargetMode="External"/><Relationship Id="rId332" Type="http://schemas.openxmlformats.org/officeDocument/2006/relationships/hyperlink" Target="https://gardensuite.in/w/face-weight-499" TargetMode="External"/><Relationship Id="rId777" Type="http://schemas.openxmlformats.org/officeDocument/2006/relationships/hyperlink" Target="https://wa.me/919435130013" TargetMode="External"/><Relationship Id="rId984" Type="http://schemas.openxmlformats.org/officeDocument/2006/relationships/hyperlink" Target="https://gardensuite.in/w/face-weight-499" TargetMode="External"/><Relationship Id="rId637" Type="http://schemas.openxmlformats.org/officeDocument/2006/relationships/hyperlink" Target="https://wa.me/919435150930" TargetMode="External"/><Relationship Id="rId844" Type="http://schemas.openxmlformats.org/officeDocument/2006/relationships/hyperlink" Target="https://gardensuite.in/w/face-weight-499" TargetMode="External"/><Relationship Id="rId276" Type="http://schemas.openxmlformats.org/officeDocument/2006/relationships/hyperlink" Target="https://gardensuite.in/w/face-weight-499" TargetMode="External"/><Relationship Id="rId483" Type="http://schemas.openxmlformats.org/officeDocument/2006/relationships/hyperlink" Target="https://wa.me/919435036380" TargetMode="External"/><Relationship Id="rId690" Type="http://schemas.openxmlformats.org/officeDocument/2006/relationships/hyperlink" Target="https://gardensuite.in/w/face-weight-499" TargetMode="External"/><Relationship Id="rId704" Type="http://schemas.openxmlformats.org/officeDocument/2006/relationships/hyperlink" Target="https://gardensuite.in/w/face-weight-499" TargetMode="External"/><Relationship Id="rId911" Type="http://schemas.openxmlformats.org/officeDocument/2006/relationships/hyperlink" Target="https://wa.me/919854082536" TargetMode="External"/><Relationship Id="rId40" Type="http://schemas.openxmlformats.org/officeDocument/2006/relationships/hyperlink" Target="https://wa.me/918638784227" TargetMode="External"/><Relationship Id="rId136" Type="http://schemas.openxmlformats.org/officeDocument/2006/relationships/hyperlink" Target="https://gardensuite.in/w/face-weight-499" TargetMode="External"/><Relationship Id="rId343" Type="http://schemas.openxmlformats.org/officeDocument/2006/relationships/hyperlink" Target="https://wa.me/919954215784" TargetMode="External"/><Relationship Id="rId550" Type="http://schemas.openxmlformats.org/officeDocument/2006/relationships/hyperlink" Target="https://gardensuite.in/w/face-weight-499" TargetMode="External"/><Relationship Id="rId788" Type="http://schemas.openxmlformats.org/officeDocument/2006/relationships/hyperlink" Target="https://gardensuite.in/w/face-weight-499" TargetMode="External"/><Relationship Id="rId995" Type="http://schemas.openxmlformats.org/officeDocument/2006/relationships/hyperlink" Target="https://wa.me/919954144699" TargetMode="External"/><Relationship Id="rId203" Type="http://schemas.openxmlformats.org/officeDocument/2006/relationships/hyperlink" Target="https://wa.me/919864259703" TargetMode="External"/><Relationship Id="rId648" Type="http://schemas.openxmlformats.org/officeDocument/2006/relationships/hyperlink" Target="https://gardensuite.in/w/face-weight-499" TargetMode="External"/><Relationship Id="rId855" Type="http://schemas.openxmlformats.org/officeDocument/2006/relationships/hyperlink" Target="https://wa.me/919435030011" TargetMode="External"/><Relationship Id="rId1040" Type="http://schemas.openxmlformats.org/officeDocument/2006/relationships/hyperlink" Target="https://gardensuite.in/w/face-weight-499" TargetMode="External"/><Relationship Id="rId287" Type="http://schemas.openxmlformats.org/officeDocument/2006/relationships/hyperlink" Target="https://wa.me/919435134066" TargetMode="External"/><Relationship Id="rId410" Type="http://schemas.openxmlformats.org/officeDocument/2006/relationships/hyperlink" Target="https://gardensuite.in/w/face-weight-499" TargetMode="External"/><Relationship Id="rId494" Type="http://schemas.openxmlformats.org/officeDocument/2006/relationships/hyperlink" Target="https://gardensuite.in/w/face-weight-499" TargetMode="External"/><Relationship Id="rId508" Type="http://schemas.openxmlformats.org/officeDocument/2006/relationships/hyperlink" Target="https://gardensuite.in/w/face-weight-499" TargetMode="External"/><Relationship Id="rId715" Type="http://schemas.openxmlformats.org/officeDocument/2006/relationships/hyperlink" Target="https://wa.me/919435597249" TargetMode="External"/><Relationship Id="rId922" Type="http://schemas.openxmlformats.org/officeDocument/2006/relationships/hyperlink" Target="https://gardensuite.in/w/face-weight-499" TargetMode="External"/><Relationship Id="rId147" Type="http://schemas.openxmlformats.org/officeDocument/2006/relationships/hyperlink" Target="https://wa.me/918133947096" TargetMode="External"/><Relationship Id="rId354" Type="http://schemas.openxmlformats.org/officeDocument/2006/relationships/hyperlink" Target="https://gardensuite.in/w/face-weight-499" TargetMode="External"/><Relationship Id="rId799" Type="http://schemas.openxmlformats.org/officeDocument/2006/relationships/hyperlink" Target="https://wa.me/919435450907" TargetMode="External"/><Relationship Id="rId51" Type="http://schemas.openxmlformats.org/officeDocument/2006/relationships/hyperlink" Target="https://wa.me/919395637154" TargetMode="External"/><Relationship Id="rId561" Type="http://schemas.openxmlformats.org/officeDocument/2006/relationships/hyperlink" Target="https://wa.me/919854368720" TargetMode="External"/><Relationship Id="rId659" Type="http://schemas.openxmlformats.org/officeDocument/2006/relationships/hyperlink" Target="https://wa.me/919401176390" TargetMode="External"/><Relationship Id="rId866" Type="http://schemas.openxmlformats.org/officeDocument/2006/relationships/hyperlink" Target="https://gardensuite.in/w/face-weight-499" TargetMode="External"/><Relationship Id="rId214" Type="http://schemas.openxmlformats.org/officeDocument/2006/relationships/hyperlink" Target="https://gardensuite.in/w/face-weight-499" TargetMode="External"/><Relationship Id="rId298" Type="http://schemas.openxmlformats.org/officeDocument/2006/relationships/hyperlink" Target="https://gardensuite.in/w/face-weight-499" TargetMode="External"/><Relationship Id="rId421" Type="http://schemas.openxmlformats.org/officeDocument/2006/relationships/hyperlink" Target="https://wa.me/918011619836" TargetMode="External"/><Relationship Id="rId519" Type="http://schemas.openxmlformats.org/officeDocument/2006/relationships/hyperlink" Target="https://wa.me/919435474260" TargetMode="External"/><Relationship Id="rId158" Type="http://schemas.openxmlformats.org/officeDocument/2006/relationships/hyperlink" Target="https://gardensuite.in/w/face-weight-499" TargetMode="External"/><Relationship Id="rId726" Type="http://schemas.openxmlformats.org/officeDocument/2006/relationships/hyperlink" Target="https://gardensuite.in/w/face-weight-499" TargetMode="External"/><Relationship Id="rId933" Type="http://schemas.openxmlformats.org/officeDocument/2006/relationships/hyperlink" Target="https://wa.me/919435158429" TargetMode="External"/><Relationship Id="rId1009" Type="http://schemas.openxmlformats.org/officeDocument/2006/relationships/hyperlink" Target="https://wa.me/919864662901" TargetMode="External"/><Relationship Id="rId62" Type="http://schemas.openxmlformats.org/officeDocument/2006/relationships/hyperlink" Target="https://wa.me/916000522700" TargetMode="External"/><Relationship Id="rId365" Type="http://schemas.openxmlformats.org/officeDocument/2006/relationships/hyperlink" Target="https://wa.me/919831171005" TargetMode="External"/><Relationship Id="rId572" Type="http://schemas.openxmlformats.org/officeDocument/2006/relationships/hyperlink" Target="https://gardensuite.in/w/face-weight-499" TargetMode="External"/><Relationship Id="rId225" Type="http://schemas.openxmlformats.org/officeDocument/2006/relationships/hyperlink" Target="https://wa.me/919435149115" TargetMode="External"/><Relationship Id="rId432" Type="http://schemas.openxmlformats.org/officeDocument/2006/relationships/hyperlink" Target="https://gardensuite.in/w/face-weight-499" TargetMode="External"/><Relationship Id="rId877" Type="http://schemas.openxmlformats.org/officeDocument/2006/relationships/hyperlink" Target="https://wa.me/919864041555" TargetMode="External"/><Relationship Id="rId737" Type="http://schemas.openxmlformats.org/officeDocument/2006/relationships/hyperlink" Target="https://wa.me/919954050017" TargetMode="External"/><Relationship Id="rId944" Type="http://schemas.openxmlformats.org/officeDocument/2006/relationships/hyperlink" Target="https://gardensuite.in/w/face-weight-499" TargetMode="External"/><Relationship Id="rId73" Type="http://schemas.openxmlformats.org/officeDocument/2006/relationships/hyperlink" Target="https://wa.me/917002833087" TargetMode="External"/><Relationship Id="rId169" Type="http://schemas.openxmlformats.org/officeDocument/2006/relationships/hyperlink" Target="https://wa.me/918473089763" TargetMode="External"/><Relationship Id="rId376" Type="http://schemas.openxmlformats.org/officeDocument/2006/relationships/hyperlink" Target="https://gardensuite.in/w/face-weight-499" TargetMode="External"/><Relationship Id="rId583" Type="http://schemas.openxmlformats.org/officeDocument/2006/relationships/hyperlink" Target="https://wa.me/919435039582" TargetMode="External"/><Relationship Id="rId790" Type="http://schemas.openxmlformats.org/officeDocument/2006/relationships/hyperlink" Target="https://gardensuite.in/w/face-weight-499" TargetMode="External"/><Relationship Id="rId804" Type="http://schemas.openxmlformats.org/officeDocument/2006/relationships/hyperlink" Target="https://gardensuite.in/w/face-weight-499" TargetMode="External"/><Relationship Id="rId4" Type="http://schemas.openxmlformats.org/officeDocument/2006/relationships/hyperlink" Target="https://wa.me/917002398813" TargetMode="External"/><Relationship Id="rId236" Type="http://schemas.openxmlformats.org/officeDocument/2006/relationships/hyperlink" Target="https://gardensuite.in/w/face-weight-499" TargetMode="External"/><Relationship Id="rId443" Type="http://schemas.openxmlformats.org/officeDocument/2006/relationships/hyperlink" Target="https://wa.me/918011209038" TargetMode="External"/><Relationship Id="rId650" Type="http://schemas.openxmlformats.org/officeDocument/2006/relationships/hyperlink" Target="https://gardensuite.in/w/face-weight-499" TargetMode="External"/><Relationship Id="rId888" Type="http://schemas.openxmlformats.org/officeDocument/2006/relationships/hyperlink" Target="https://gardensuite.in/w/face-weight-499" TargetMode="External"/><Relationship Id="rId303" Type="http://schemas.openxmlformats.org/officeDocument/2006/relationships/hyperlink" Target="https://wa.me/919830040029" TargetMode="External"/><Relationship Id="rId748" Type="http://schemas.openxmlformats.org/officeDocument/2006/relationships/hyperlink" Target="https://gardensuite.in/w/face-weight-499" TargetMode="External"/><Relationship Id="rId955" Type="http://schemas.openxmlformats.org/officeDocument/2006/relationships/hyperlink" Target="https://wa.me/919903950088" TargetMode="External"/><Relationship Id="rId84" Type="http://schemas.openxmlformats.org/officeDocument/2006/relationships/hyperlink" Target="https://gardensuite.in/w/face-weight-499" TargetMode="External"/><Relationship Id="rId387" Type="http://schemas.openxmlformats.org/officeDocument/2006/relationships/hyperlink" Target="https://wa.me/919435053610" TargetMode="External"/><Relationship Id="rId510" Type="http://schemas.openxmlformats.org/officeDocument/2006/relationships/hyperlink" Target="https://gardensuite.in/w/face-weight-499" TargetMode="External"/><Relationship Id="rId594" Type="http://schemas.openxmlformats.org/officeDocument/2006/relationships/hyperlink" Target="https://gardensuite.in/w/face-weight-499" TargetMode="External"/><Relationship Id="rId608" Type="http://schemas.openxmlformats.org/officeDocument/2006/relationships/hyperlink" Target="https://gardensuite.in/w/face-weight-499" TargetMode="External"/><Relationship Id="rId815" Type="http://schemas.openxmlformats.org/officeDocument/2006/relationships/hyperlink" Target="https://wa.me/919435034681" TargetMode="External"/><Relationship Id="rId247" Type="http://schemas.openxmlformats.org/officeDocument/2006/relationships/hyperlink" Target="https://wa.me/919435731854" TargetMode="External"/><Relationship Id="rId899" Type="http://schemas.openxmlformats.org/officeDocument/2006/relationships/hyperlink" Target="https://wa.me/919435092302" TargetMode="External"/><Relationship Id="rId1000" Type="http://schemas.openxmlformats.org/officeDocument/2006/relationships/hyperlink" Target="https://gardensuite.in/w/face-weight-499" TargetMode="External"/><Relationship Id="rId107" Type="http://schemas.openxmlformats.org/officeDocument/2006/relationships/hyperlink" Target="https://wa.me/919613282165" TargetMode="External"/><Relationship Id="rId454" Type="http://schemas.openxmlformats.org/officeDocument/2006/relationships/hyperlink" Target="https://gardensuite.in/w/face-weight-499" TargetMode="External"/><Relationship Id="rId661" Type="http://schemas.openxmlformats.org/officeDocument/2006/relationships/hyperlink" Target="https://wa.me/919435053600" TargetMode="External"/><Relationship Id="rId759" Type="http://schemas.openxmlformats.org/officeDocument/2006/relationships/hyperlink" Target="https://wa.me/919435139702" TargetMode="External"/><Relationship Id="rId966" Type="http://schemas.openxmlformats.org/officeDocument/2006/relationships/hyperlink" Target="https://gardensuite.in/w/face-weight-499" TargetMode="External"/><Relationship Id="rId11" Type="http://schemas.openxmlformats.org/officeDocument/2006/relationships/hyperlink" Target="https://gardensuite.in/w/face-weight-499" TargetMode="External"/><Relationship Id="rId314" Type="http://schemas.openxmlformats.org/officeDocument/2006/relationships/hyperlink" Target="https://gardensuite.in/w/face-weight-499" TargetMode="External"/><Relationship Id="rId398" Type="http://schemas.openxmlformats.org/officeDocument/2006/relationships/hyperlink" Target="https://gardensuite.in/w/face-weight-499" TargetMode="External"/><Relationship Id="rId521" Type="http://schemas.openxmlformats.org/officeDocument/2006/relationships/hyperlink" Target="https://wa.me/919435376241" TargetMode="External"/><Relationship Id="rId619" Type="http://schemas.openxmlformats.org/officeDocument/2006/relationships/hyperlink" Target="https://wa.me/919435040611" TargetMode="External"/><Relationship Id="rId95" Type="http://schemas.openxmlformats.org/officeDocument/2006/relationships/hyperlink" Target="https://wa.me/918486071764" TargetMode="External"/><Relationship Id="rId160" Type="http://schemas.openxmlformats.org/officeDocument/2006/relationships/hyperlink" Target="https://gardensuite.in/w/face-weight-499" TargetMode="External"/><Relationship Id="rId826" Type="http://schemas.openxmlformats.org/officeDocument/2006/relationships/hyperlink" Target="https://gardensuite.in/w/face-weight-499" TargetMode="External"/><Relationship Id="rId1011" Type="http://schemas.openxmlformats.org/officeDocument/2006/relationships/hyperlink" Target="https://wa.me/919613021163" TargetMode="External"/><Relationship Id="rId258" Type="http://schemas.openxmlformats.org/officeDocument/2006/relationships/hyperlink" Target="https://gardensuite.in/w/face-weight-499" TargetMode="External"/><Relationship Id="rId465" Type="http://schemas.openxmlformats.org/officeDocument/2006/relationships/hyperlink" Target="https://wa.me/919435666877" TargetMode="External"/><Relationship Id="rId672" Type="http://schemas.openxmlformats.org/officeDocument/2006/relationships/hyperlink" Target="https://gardensuite.in/w/face-weight-499" TargetMode="External"/><Relationship Id="rId22" Type="http://schemas.openxmlformats.org/officeDocument/2006/relationships/hyperlink" Target="https://wa.me/919435035801" TargetMode="External"/><Relationship Id="rId118" Type="http://schemas.openxmlformats.org/officeDocument/2006/relationships/hyperlink" Target="https://gardensuite.in/w/face-weight-499" TargetMode="External"/><Relationship Id="rId325" Type="http://schemas.openxmlformats.org/officeDocument/2006/relationships/hyperlink" Target="https://wa.me/919435095930" TargetMode="External"/><Relationship Id="rId532" Type="http://schemas.openxmlformats.org/officeDocument/2006/relationships/hyperlink" Target="https://gardensuite.in/w/face-weight-499" TargetMode="External"/><Relationship Id="rId977" Type="http://schemas.openxmlformats.org/officeDocument/2006/relationships/hyperlink" Target="https://wa.me/919435336873" TargetMode="External"/><Relationship Id="rId171" Type="http://schemas.openxmlformats.org/officeDocument/2006/relationships/hyperlink" Target="https://wa.me/916003871124" TargetMode="External"/><Relationship Id="rId837" Type="http://schemas.openxmlformats.org/officeDocument/2006/relationships/hyperlink" Target="https://wa.me/919435727329" TargetMode="External"/><Relationship Id="rId1022" Type="http://schemas.openxmlformats.org/officeDocument/2006/relationships/hyperlink" Target="https://gardensuite.in/w/face-weight-499" TargetMode="External"/><Relationship Id="rId269" Type="http://schemas.openxmlformats.org/officeDocument/2006/relationships/hyperlink" Target="https://wa.me/919435052701" TargetMode="External"/><Relationship Id="rId476" Type="http://schemas.openxmlformats.org/officeDocument/2006/relationships/hyperlink" Target="https://gardensuite.in/w/face-weight-499" TargetMode="External"/><Relationship Id="rId683" Type="http://schemas.openxmlformats.org/officeDocument/2006/relationships/hyperlink" Target="https://wa.me/919435293585" TargetMode="External"/><Relationship Id="rId890" Type="http://schemas.openxmlformats.org/officeDocument/2006/relationships/hyperlink" Target="https://gardensuite.in/w/face-weight-499" TargetMode="External"/><Relationship Id="rId904" Type="http://schemas.openxmlformats.org/officeDocument/2006/relationships/hyperlink" Target="https://gardensuite.in/w/face-weight-499" TargetMode="External"/><Relationship Id="rId33" Type="http://schemas.openxmlformats.org/officeDocument/2006/relationships/hyperlink" Target="https://gardensuite.in/w/face-weight-499" TargetMode="External"/><Relationship Id="rId129" Type="http://schemas.openxmlformats.org/officeDocument/2006/relationships/hyperlink" Target="https://wa.me/919435532002" TargetMode="External"/><Relationship Id="rId336" Type="http://schemas.openxmlformats.org/officeDocument/2006/relationships/hyperlink" Target="https://gardensuite.in/w/face-weight-499" TargetMode="External"/><Relationship Id="rId543" Type="http://schemas.openxmlformats.org/officeDocument/2006/relationships/hyperlink" Target="https://wa.me/919435136191" TargetMode="External"/><Relationship Id="rId988" Type="http://schemas.openxmlformats.org/officeDocument/2006/relationships/hyperlink" Target="https://gardensuite.in/w/face-weight-499" TargetMode="External"/><Relationship Id="rId182" Type="http://schemas.openxmlformats.org/officeDocument/2006/relationships/hyperlink" Target="https://gardensuite.in/w/face-weight-499" TargetMode="External"/><Relationship Id="rId403" Type="http://schemas.openxmlformats.org/officeDocument/2006/relationships/hyperlink" Target="https://wa.me/919831011767" TargetMode="External"/><Relationship Id="rId750" Type="http://schemas.openxmlformats.org/officeDocument/2006/relationships/hyperlink" Target="https://gardensuite.in/w/face-weight-499" TargetMode="External"/><Relationship Id="rId848" Type="http://schemas.openxmlformats.org/officeDocument/2006/relationships/hyperlink" Target="https://gardensuite.in/w/face-weight-499" TargetMode="External"/><Relationship Id="rId1033" Type="http://schemas.openxmlformats.org/officeDocument/2006/relationships/hyperlink" Target="https://wa.me/919435152270" TargetMode="External"/><Relationship Id="rId487" Type="http://schemas.openxmlformats.org/officeDocument/2006/relationships/hyperlink" Target="https://wa.me/919435031680" TargetMode="External"/><Relationship Id="rId610" Type="http://schemas.openxmlformats.org/officeDocument/2006/relationships/hyperlink" Target="https://gardensuite.in/w/face-weight-499" TargetMode="External"/><Relationship Id="rId694" Type="http://schemas.openxmlformats.org/officeDocument/2006/relationships/hyperlink" Target="https://gardensuite.in/w/face-weight-499" TargetMode="External"/><Relationship Id="rId708" Type="http://schemas.openxmlformats.org/officeDocument/2006/relationships/hyperlink" Target="https://gardensuite.in/w/face-weight-499" TargetMode="External"/><Relationship Id="rId915" Type="http://schemas.openxmlformats.org/officeDocument/2006/relationships/hyperlink" Target="https://wa.me/919954225152" TargetMode="External"/><Relationship Id="rId347" Type="http://schemas.openxmlformats.org/officeDocument/2006/relationships/hyperlink" Target="https://wa.me/919435139980" TargetMode="External"/><Relationship Id="rId999" Type="http://schemas.openxmlformats.org/officeDocument/2006/relationships/hyperlink" Target="https://wa.me/919435033998" TargetMode="External"/><Relationship Id="rId44" Type="http://schemas.openxmlformats.org/officeDocument/2006/relationships/hyperlink" Target="https://gardensuite.in/w/face-weight-499" TargetMode="External"/><Relationship Id="rId554" Type="http://schemas.openxmlformats.org/officeDocument/2006/relationships/hyperlink" Target="https://gardensuite.in/w/face-weight-499" TargetMode="External"/><Relationship Id="rId761" Type="http://schemas.openxmlformats.org/officeDocument/2006/relationships/hyperlink" Target="https://wa.me/919435053554" TargetMode="External"/><Relationship Id="rId859" Type="http://schemas.openxmlformats.org/officeDocument/2006/relationships/hyperlink" Target="https://wa.me/918822565079" TargetMode="External"/><Relationship Id="rId193" Type="http://schemas.openxmlformats.org/officeDocument/2006/relationships/hyperlink" Target="https://wa.me/917086061222" TargetMode="External"/><Relationship Id="rId207" Type="http://schemas.openxmlformats.org/officeDocument/2006/relationships/hyperlink" Target="https://wa.me/919954473013" TargetMode="External"/><Relationship Id="rId414" Type="http://schemas.openxmlformats.org/officeDocument/2006/relationships/hyperlink" Target="https://gardensuite.in/w/face-weight-499" TargetMode="External"/><Relationship Id="rId498" Type="http://schemas.openxmlformats.org/officeDocument/2006/relationships/hyperlink" Target="https://gardensuite.in/w/face-weight-499" TargetMode="External"/><Relationship Id="rId621" Type="http://schemas.openxmlformats.org/officeDocument/2006/relationships/hyperlink" Target="https://wa.me/919435735898" TargetMode="External"/><Relationship Id="rId260" Type="http://schemas.openxmlformats.org/officeDocument/2006/relationships/hyperlink" Target="https://gardensuite.in/w/face-weight-499" TargetMode="External"/><Relationship Id="rId719" Type="http://schemas.openxmlformats.org/officeDocument/2006/relationships/hyperlink" Target="https://wa.me/919435745339" TargetMode="External"/><Relationship Id="rId926" Type="http://schemas.openxmlformats.org/officeDocument/2006/relationships/hyperlink" Target="https://gardensuite.in/w/face-weight-499" TargetMode="External"/><Relationship Id="rId55" Type="http://schemas.openxmlformats.org/officeDocument/2006/relationships/hyperlink" Target="https://wa.me/918876321148" TargetMode="External"/><Relationship Id="rId120" Type="http://schemas.openxmlformats.org/officeDocument/2006/relationships/hyperlink" Target="https://gardensuite.in/w/face-weight-499" TargetMode="External"/><Relationship Id="rId358" Type="http://schemas.openxmlformats.org/officeDocument/2006/relationships/hyperlink" Target="https://gardensuite.in/w/face-weight-499" TargetMode="External"/><Relationship Id="rId565" Type="http://schemas.openxmlformats.org/officeDocument/2006/relationships/hyperlink" Target="https://wa.me/919678728218" TargetMode="External"/><Relationship Id="rId772" Type="http://schemas.openxmlformats.org/officeDocument/2006/relationships/hyperlink" Target="https://gardensuite.in/w/face-weight-499" TargetMode="External"/><Relationship Id="rId218" Type="http://schemas.openxmlformats.org/officeDocument/2006/relationships/hyperlink" Target="https://gardensuite.in/w/face-weight-499" TargetMode="External"/><Relationship Id="rId425" Type="http://schemas.openxmlformats.org/officeDocument/2006/relationships/hyperlink" Target="https://wa.me/919957098166" TargetMode="External"/><Relationship Id="rId632" Type="http://schemas.openxmlformats.org/officeDocument/2006/relationships/hyperlink" Target="https://gardensuite.in/w/face-weight-499" TargetMode="External"/><Relationship Id="rId271" Type="http://schemas.openxmlformats.org/officeDocument/2006/relationships/hyperlink" Target="https://wa.me/919954526126" TargetMode="External"/><Relationship Id="rId937" Type="http://schemas.openxmlformats.org/officeDocument/2006/relationships/hyperlink" Target="https://wa.me/919401093553" TargetMode="External"/><Relationship Id="rId66" Type="http://schemas.openxmlformats.org/officeDocument/2006/relationships/hyperlink" Target="https://wa.me/919435476099" TargetMode="External"/><Relationship Id="rId131" Type="http://schemas.openxmlformats.org/officeDocument/2006/relationships/hyperlink" Target="https://wa.me/919954447408" TargetMode="External"/><Relationship Id="rId369" Type="http://schemas.openxmlformats.org/officeDocument/2006/relationships/hyperlink" Target="https://wa.me/919435170877" TargetMode="External"/><Relationship Id="rId576" Type="http://schemas.openxmlformats.org/officeDocument/2006/relationships/hyperlink" Target="https://gardensuite.in/w/face-weight-499" TargetMode="External"/><Relationship Id="rId783" Type="http://schemas.openxmlformats.org/officeDocument/2006/relationships/hyperlink" Target="https://wa.me/919435804926" TargetMode="External"/><Relationship Id="rId990" Type="http://schemas.openxmlformats.org/officeDocument/2006/relationships/hyperlink" Target="https://gardensuite.in/w/face-weight-499" TargetMode="External"/><Relationship Id="rId229" Type="http://schemas.openxmlformats.org/officeDocument/2006/relationships/hyperlink" Target="https://wa.me/919435736180" TargetMode="External"/><Relationship Id="rId436" Type="http://schemas.openxmlformats.org/officeDocument/2006/relationships/hyperlink" Target="https://gardensuite.in/w/face-weight-499" TargetMode="External"/><Relationship Id="rId643" Type="http://schemas.openxmlformats.org/officeDocument/2006/relationships/hyperlink" Target="https://wa.me/919435506388" TargetMode="External"/><Relationship Id="rId850" Type="http://schemas.openxmlformats.org/officeDocument/2006/relationships/hyperlink" Target="https://gardensuite.in/w/face-weight-499" TargetMode="External"/><Relationship Id="rId948" Type="http://schemas.openxmlformats.org/officeDocument/2006/relationships/hyperlink" Target="https://gardensuite.in/w/face-weight-499" TargetMode="External"/><Relationship Id="rId77" Type="http://schemas.openxmlformats.org/officeDocument/2006/relationships/hyperlink" Target="https://wa.me/916000437772" TargetMode="External"/><Relationship Id="rId282" Type="http://schemas.openxmlformats.org/officeDocument/2006/relationships/hyperlink" Target="https://gardensuite.in/w/face-weight-499" TargetMode="External"/><Relationship Id="rId503" Type="http://schemas.openxmlformats.org/officeDocument/2006/relationships/hyperlink" Target="https://wa.me/919577931098" TargetMode="External"/><Relationship Id="rId587" Type="http://schemas.openxmlformats.org/officeDocument/2006/relationships/hyperlink" Target="https://wa.me/919435150295" TargetMode="External"/><Relationship Id="rId710" Type="http://schemas.openxmlformats.org/officeDocument/2006/relationships/hyperlink" Target="https://gardensuite.in/w/face-weight-499" TargetMode="External"/><Relationship Id="rId808" Type="http://schemas.openxmlformats.org/officeDocument/2006/relationships/hyperlink" Target="https://gardensuite.in/w/face-weight-499" TargetMode="External"/><Relationship Id="rId8" Type="http://schemas.openxmlformats.org/officeDocument/2006/relationships/hyperlink" Target="https://wa.me/919435030679" TargetMode="External"/><Relationship Id="rId142" Type="http://schemas.openxmlformats.org/officeDocument/2006/relationships/hyperlink" Target="https://gardensuite.in/w/face-weight-499" TargetMode="External"/><Relationship Id="rId447" Type="http://schemas.openxmlformats.org/officeDocument/2006/relationships/hyperlink" Target="https://wa.me/917896367249" TargetMode="External"/><Relationship Id="rId794" Type="http://schemas.openxmlformats.org/officeDocument/2006/relationships/hyperlink" Target="https://gardensuite.in/w/face-weight-499" TargetMode="External"/><Relationship Id="rId654" Type="http://schemas.openxmlformats.org/officeDocument/2006/relationships/hyperlink" Target="https://gardensuite.in/w/face-weight-499" TargetMode="External"/><Relationship Id="rId861" Type="http://schemas.openxmlformats.org/officeDocument/2006/relationships/hyperlink" Target="https://wa.me/919435135832" TargetMode="External"/><Relationship Id="rId959" Type="http://schemas.openxmlformats.org/officeDocument/2006/relationships/hyperlink" Target="https://wa.me/919401254759" TargetMode="External"/><Relationship Id="rId293" Type="http://schemas.openxmlformats.org/officeDocument/2006/relationships/hyperlink" Target="https://wa.me/919830038969" TargetMode="External"/><Relationship Id="rId307" Type="http://schemas.openxmlformats.org/officeDocument/2006/relationships/hyperlink" Target="https://wa.me/919831011765" TargetMode="External"/><Relationship Id="rId514" Type="http://schemas.openxmlformats.org/officeDocument/2006/relationships/hyperlink" Target="https://gardensuite.in/w/face-weight-499" TargetMode="External"/><Relationship Id="rId721" Type="http://schemas.openxmlformats.org/officeDocument/2006/relationships/hyperlink" Target="https://wa.me/919435908142" TargetMode="External"/><Relationship Id="rId88" Type="http://schemas.openxmlformats.org/officeDocument/2006/relationships/hyperlink" Target="https://gardensuite.in/w/face-weight-499" TargetMode="External"/><Relationship Id="rId153" Type="http://schemas.openxmlformats.org/officeDocument/2006/relationships/hyperlink" Target="https://wa.me/918011017408" TargetMode="External"/><Relationship Id="rId360" Type="http://schemas.openxmlformats.org/officeDocument/2006/relationships/hyperlink" Target="https://gardensuite.in/w/face-weight-499" TargetMode="External"/><Relationship Id="rId598" Type="http://schemas.openxmlformats.org/officeDocument/2006/relationships/hyperlink" Target="https://gardensuite.in/w/face-weight-499" TargetMode="External"/><Relationship Id="rId819" Type="http://schemas.openxmlformats.org/officeDocument/2006/relationships/hyperlink" Target="https://wa.me/919613768651" TargetMode="External"/><Relationship Id="rId1004" Type="http://schemas.openxmlformats.org/officeDocument/2006/relationships/hyperlink" Target="https://gardensuite.in/w/face-weight-499" TargetMode="External"/><Relationship Id="rId220" Type="http://schemas.openxmlformats.org/officeDocument/2006/relationships/hyperlink" Target="https://gardensuite.in/w/face-weight-499" TargetMode="External"/><Relationship Id="rId458" Type="http://schemas.openxmlformats.org/officeDocument/2006/relationships/hyperlink" Target="https://gardensuite.in/w/face-weight-499" TargetMode="External"/><Relationship Id="rId665" Type="http://schemas.openxmlformats.org/officeDocument/2006/relationships/hyperlink" Target="https://wa.me/919903030160" TargetMode="External"/><Relationship Id="rId872" Type="http://schemas.openxmlformats.org/officeDocument/2006/relationships/hyperlink" Target="https://gardensuite.in/w/face-weight-499" TargetMode="External"/><Relationship Id="rId15" Type="http://schemas.openxmlformats.org/officeDocument/2006/relationships/hyperlink" Target="https://gardensuite.in/w/face-weight-499" TargetMode="External"/><Relationship Id="rId318" Type="http://schemas.openxmlformats.org/officeDocument/2006/relationships/hyperlink" Target="https://gardensuite.in/w/face-weight-499" TargetMode="External"/><Relationship Id="rId525" Type="http://schemas.openxmlformats.org/officeDocument/2006/relationships/hyperlink" Target="https://wa.me/919435009285" TargetMode="External"/><Relationship Id="rId732" Type="http://schemas.openxmlformats.org/officeDocument/2006/relationships/hyperlink" Target="https://gardensuite.in/w/face-weight-499" TargetMode="External"/><Relationship Id="rId99" Type="http://schemas.openxmlformats.org/officeDocument/2006/relationships/hyperlink" Target="https://wa.me/919435031397" TargetMode="External"/><Relationship Id="rId164" Type="http://schemas.openxmlformats.org/officeDocument/2006/relationships/hyperlink" Target="https://gardensuite.in/w/face-weight-499" TargetMode="External"/><Relationship Id="rId371" Type="http://schemas.openxmlformats.org/officeDocument/2006/relationships/hyperlink" Target="https://wa.me/919435134829" TargetMode="External"/><Relationship Id="rId1015" Type="http://schemas.openxmlformats.org/officeDocument/2006/relationships/hyperlink" Target="https://wa.me/919854053543" TargetMode="External"/><Relationship Id="rId469" Type="http://schemas.openxmlformats.org/officeDocument/2006/relationships/hyperlink" Target="https://wa.me/919954264263" TargetMode="External"/><Relationship Id="rId676" Type="http://schemas.openxmlformats.org/officeDocument/2006/relationships/hyperlink" Target="https://gardensuite.in/w/face-weight-499" TargetMode="External"/><Relationship Id="rId883" Type="http://schemas.openxmlformats.org/officeDocument/2006/relationships/hyperlink" Target="https://wa.me/919330160950" TargetMode="External"/><Relationship Id="rId26" Type="http://schemas.openxmlformats.org/officeDocument/2006/relationships/hyperlink" Target="https://wa.me/919435738646" TargetMode="External"/><Relationship Id="rId231" Type="http://schemas.openxmlformats.org/officeDocument/2006/relationships/hyperlink" Target="https://wa.me/919435092701" TargetMode="External"/><Relationship Id="rId329" Type="http://schemas.openxmlformats.org/officeDocument/2006/relationships/hyperlink" Target="https://wa.me/919435079915" TargetMode="External"/><Relationship Id="rId536" Type="http://schemas.openxmlformats.org/officeDocument/2006/relationships/hyperlink" Target="https://gardensuite.in/w/face-weight-499" TargetMode="External"/><Relationship Id="rId175" Type="http://schemas.openxmlformats.org/officeDocument/2006/relationships/hyperlink" Target="https://wa.me/918822934910" TargetMode="External"/><Relationship Id="rId743" Type="http://schemas.openxmlformats.org/officeDocument/2006/relationships/hyperlink" Target="https://wa.me/919613850269" TargetMode="External"/><Relationship Id="rId950" Type="http://schemas.openxmlformats.org/officeDocument/2006/relationships/hyperlink" Target="https://gardensuite.in/w/face-weight-499" TargetMode="External"/><Relationship Id="rId1026" Type="http://schemas.openxmlformats.org/officeDocument/2006/relationships/hyperlink" Target="https://gardensuite.in/w/face-weight-499" TargetMode="External"/><Relationship Id="rId382" Type="http://schemas.openxmlformats.org/officeDocument/2006/relationships/hyperlink" Target="https://gardensuite.in/w/face-weight-499" TargetMode="External"/><Relationship Id="rId603" Type="http://schemas.openxmlformats.org/officeDocument/2006/relationships/hyperlink" Target="https://wa.me/919957004641" TargetMode="External"/><Relationship Id="rId687" Type="http://schemas.openxmlformats.org/officeDocument/2006/relationships/hyperlink" Target="https://wa.me/918011821620" TargetMode="External"/><Relationship Id="rId810" Type="http://schemas.openxmlformats.org/officeDocument/2006/relationships/hyperlink" Target="https://gardensuite.in/w/face-weight-499" TargetMode="External"/><Relationship Id="rId908" Type="http://schemas.openxmlformats.org/officeDocument/2006/relationships/hyperlink" Target="https://gardensuite.in/w/face-weight-499" TargetMode="External"/><Relationship Id="rId242" Type="http://schemas.openxmlformats.org/officeDocument/2006/relationships/hyperlink" Target="https://gardensuite.in/w/face-weight-499" TargetMode="External"/><Relationship Id="rId894" Type="http://schemas.openxmlformats.org/officeDocument/2006/relationships/hyperlink" Target="https://gardensuite.in/w/face-weight-499" TargetMode="External"/><Relationship Id="rId37" Type="http://schemas.openxmlformats.org/officeDocument/2006/relationships/hyperlink" Target="https://gardensuite.in/w/face-weight-499" TargetMode="External"/><Relationship Id="rId102" Type="http://schemas.openxmlformats.org/officeDocument/2006/relationships/hyperlink" Target="https://gardensuite.in/w/face-weight-499" TargetMode="External"/><Relationship Id="rId547" Type="http://schemas.openxmlformats.org/officeDocument/2006/relationships/hyperlink" Target="https://wa.me/919435184616" TargetMode="External"/><Relationship Id="rId754" Type="http://schemas.openxmlformats.org/officeDocument/2006/relationships/hyperlink" Target="https://gardensuite.in/w/face-weight-499" TargetMode="External"/><Relationship Id="rId961" Type="http://schemas.openxmlformats.org/officeDocument/2006/relationships/hyperlink" Target="https://wa.me/919435745697" TargetMode="External"/><Relationship Id="rId90" Type="http://schemas.openxmlformats.org/officeDocument/2006/relationships/hyperlink" Target="https://gardensuite.in/w/face-weight-499" TargetMode="External"/><Relationship Id="rId186" Type="http://schemas.openxmlformats.org/officeDocument/2006/relationships/hyperlink" Target="https://gardensuite.in/w/face-weight-499" TargetMode="External"/><Relationship Id="rId393" Type="http://schemas.openxmlformats.org/officeDocument/2006/relationships/hyperlink" Target="https://wa.me/919613732229" TargetMode="External"/><Relationship Id="rId407" Type="http://schemas.openxmlformats.org/officeDocument/2006/relationships/hyperlink" Target="https://wa.me/919435738354" TargetMode="External"/><Relationship Id="rId614" Type="http://schemas.openxmlformats.org/officeDocument/2006/relationships/hyperlink" Target="https://gardensuite.in/w/face-weight-499" TargetMode="External"/><Relationship Id="rId821" Type="http://schemas.openxmlformats.org/officeDocument/2006/relationships/hyperlink" Target="https://wa.me/919435031403" TargetMode="External"/><Relationship Id="rId1037" Type="http://schemas.openxmlformats.org/officeDocument/2006/relationships/hyperlink" Target="https://wa.me/919435053629" TargetMode="External"/><Relationship Id="rId253" Type="http://schemas.openxmlformats.org/officeDocument/2006/relationships/hyperlink" Target="https://wa.me/919831090900" TargetMode="External"/><Relationship Id="rId460" Type="http://schemas.openxmlformats.org/officeDocument/2006/relationships/hyperlink" Target="https://gardensuite.in/w/face-weight-499" TargetMode="External"/><Relationship Id="rId698" Type="http://schemas.openxmlformats.org/officeDocument/2006/relationships/hyperlink" Target="https://gardensuite.in/w/face-weight-499" TargetMode="External"/><Relationship Id="rId919" Type="http://schemas.openxmlformats.org/officeDocument/2006/relationships/hyperlink" Target="https://wa.me/919435085156" TargetMode="External"/><Relationship Id="rId48" Type="http://schemas.openxmlformats.org/officeDocument/2006/relationships/hyperlink" Target="https://gardensuite.in/w/face-weight-499" TargetMode="External"/><Relationship Id="rId113" Type="http://schemas.openxmlformats.org/officeDocument/2006/relationships/hyperlink" Target="https://wa.me/919954430589" TargetMode="External"/><Relationship Id="rId320" Type="http://schemas.openxmlformats.org/officeDocument/2006/relationships/hyperlink" Target="https://gardensuite.in/w/face-weight-499" TargetMode="External"/><Relationship Id="rId558" Type="http://schemas.openxmlformats.org/officeDocument/2006/relationships/hyperlink" Target="https://gardensuite.in/w/face-weight-499" TargetMode="External"/><Relationship Id="rId765" Type="http://schemas.openxmlformats.org/officeDocument/2006/relationships/hyperlink" Target="https://wa.me/919859937195" TargetMode="External"/><Relationship Id="rId972" Type="http://schemas.openxmlformats.org/officeDocument/2006/relationships/hyperlink" Target="https://gardensuite.in/w/face-weight-499" TargetMode="External"/><Relationship Id="rId197" Type="http://schemas.openxmlformats.org/officeDocument/2006/relationships/hyperlink" Target="https://wa.me/919365475668" TargetMode="External"/><Relationship Id="rId418" Type="http://schemas.openxmlformats.org/officeDocument/2006/relationships/hyperlink" Target="https://gardensuite.in/w/face-weight-499" TargetMode="External"/><Relationship Id="rId625" Type="http://schemas.openxmlformats.org/officeDocument/2006/relationships/hyperlink" Target="https://wa.me/919868958425" TargetMode="External"/><Relationship Id="rId832" Type="http://schemas.openxmlformats.org/officeDocument/2006/relationships/hyperlink" Target="https://gardensuite.in/w/face-weight-499" TargetMode="External"/><Relationship Id="rId264" Type="http://schemas.openxmlformats.org/officeDocument/2006/relationships/hyperlink" Target="https://gardensuite.in/w/face-weight-499" TargetMode="External"/><Relationship Id="rId471" Type="http://schemas.openxmlformats.org/officeDocument/2006/relationships/hyperlink" Target="https://wa.me/919435050088" TargetMode="External"/><Relationship Id="rId59" Type="http://schemas.openxmlformats.org/officeDocument/2006/relationships/hyperlink" Target="https://wa.me/918876426227" TargetMode="External"/><Relationship Id="rId124" Type="http://schemas.openxmlformats.org/officeDocument/2006/relationships/hyperlink" Target="https://gardensuite.in/w/face-weight-499" TargetMode="External"/><Relationship Id="rId569" Type="http://schemas.openxmlformats.org/officeDocument/2006/relationships/hyperlink" Target="https://wa.me/919435474454" TargetMode="External"/><Relationship Id="rId776" Type="http://schemas.openxmlformats.org/officeDocument/2006/relationships/hyperlink" Target="https://gardensuite.in/w/face-weight-499" TargetMode="External"/><Relationship Id="rId983" Type="http://schemas.openxmlformats.org/officeDocument/2006/relationships/hyperlink" Target="https://wa.me/919435031097" TargetMode="External"/><Relationship Id="rId331" Type="http://schemas.openxmlformats.org/officeDocument/2006/relationships/hyperlink" Target="https://wa.me/917399882662" TargetMode="External"/><Relationship Id="rId429" Type="http://schemas.openxmlformats.org/officeDocument/2006/relationships/hyperlink" Target="https://wa.me/919435011719" TargetMode="External"/><Relationship Id="rId636" Type="http://schemas.openxmlformats.org/officeDocument/2006/relationships/hyperlink" Target="https://gardensuite.in/w/face-weight-499" TargetMode="External"/><Relationship Id="rId843" Type="http://schemas.openxmlformats.org/officeDocument/2006/relationships/hyperlink" Target="https://wa.me/919854384724" TargetMode="External"/><Relationship Id="rId275" Type="http://schemas.openxmlformats.org/officeDocument/2006/relationships/hyperlink" Target="https://wa.me/919508382398" TargetMode="External"/><Relationship Id="rId482" Type="http://schemas.openxmlformats.org/officeDocument/2006/relationships/hyperlink" Target="https://gardensuite.in/w/face-weight-499" TargetMode="External"/><Relationship Id="rId703" Type="http://schemas.openxmlformats.org/officeDocument/2006/relationships/hyperlink" Target="https://wa.me/918011400425" TargetMode="External"/><Relationship Id="rId910" Type="http://schemas.openxmlformats.org/officeDocument/2006/relationships/hyperlink" Target="https://gardensuite.in/w/face-weight-499" TargetMode="External"/><Relationship Id="rId135" Type="http://schemas.openxmlformats.org/officeDocument/2006/relationships/hyperlink" Target="https://wa.me/918011162497" TargetMode="External"/><Relationship Id="rId342" Type="http://schemas.openxmlformats.org/officeDocument/2006/relationships/hyperlink" Target="https://gardensuite.in/w/face-weight-499" TargetMode="External"/><Relationship Id="rId787" Type="http://schemas.openxmlformats.org/officeDocument/2006/relationships/hyperlink" Target="https://wa.me/919435562634" TargetMode="External"/><Relationship Id="rId994" Type="http://schemas.openxmlformats.org/officeDocument/2006/relationships/hyperlink" Target="https://gardensuite.in/w/face-weight-499" TargetMode="External"/><Relationship Id="rId202" Type="http://schemas.openxmlformats.org/officeDocument/2006/relationships/hyperlink" Target="https://gardensuite.in/w/face-weight-499" TargetMode="External"/><Relationship Id="rId647" Type="http://schemas.openxmlformats.org/officeDocument/2006/relationships/hyperlink" Target="https://wa.me/919435184301" TargetMode="External"/><Relationship Id="rId854" Type="http://schemas.openxmlformats.org/officeDocument/2006/relationships/hyperlink" Target="https://gardensuite.in/w/face-weight-499" TargetMode="External"/><Relationship Id="rId286" Type="http://schemas.openxmlformats.org/officeDocument/2006/relationships/hyperlink" Target="https://gardensuite.in/w/face-weight-499" TargetMode="External"/><Relationship Id="rId493" Type="http://schemas.openxmlformats.org/officeDocument/2006/relationships/hyperlink" Target="https://wa.me/919435012250" TargetMode="External"/><Relationship Id="rId507" Type="http://schemas.openxmlformats.org/officeDocument/2006/relationships/hyperlink" Target="https://wa.me/919854122357" TargetMode="External"/><Relationship Id="rId714" Type="http://schemas.openxmlformats.org/officeDocument/2006/relationships/hyperlink" Target="https://gardensuite.in/w/face-weight-499" TargetMode="External"/><Relationship Id="rId921" Type="http://schemas.openxmlformats.org/officeDocument/2006/relationships/hyperlink" Target="https://wa.me/919435245225" TargetMode="External"/><Relationship Id="rId50" Type="http://schemas.openxmlformats.org/officeDocument/2006/relationships/hyperlink" Target="https://gardensuite.in/w/face-weight-499" TargetMode="External"/><Relationship Id="rId146" Type="http://schemas.openxmlformats.org/officeDocument/2006/relationships/hyperlink" Target="https://gardensuite.in/w/face-weight-499" TargetMode="External"/><Relationship Id="rId353" Type="http://schemas.openxmlformats.org/officeDocument/2006/relationships/hyperlink" Target="https://wa.me/919435032280" TargetMode="External"/><Relationship Id="rId560" Type="http://schemas.openxmlformats.org/officeDocument/2006/relationships/hyperlink" Target="https://gardensuite.in/w/face-weight-499" TargetMode="External"/><Relationship Id="rId798" Type="http://schemas.openxmlformats.org/officeDocument/2006/relationships/hyperlink" Target="https://gardensuite.in/w/face-weight-499" TargetMode="External"/><Relationship Id="rId213" Type="http://schemas.openxmlformats.org/officeDocument/2006/relationships/hyperlink" Target="https://wa.me/919864310254" TargetMode="External"/><Relationship Id="rId420" Type="http://schemas.openxmlformats.org/officeDocument/2006/relationships/hyperlink" Target="https://gardensuite.in/w/face-weight-499" TargetMode="External"/><Relationship Id="rId658" Type="http://schemas.openxmlformats.org/officeDocument/2006/relationships/hyperlink" Target="https://gardensuite.in/w/face-weight-499" TargetMode="External"/><Relationship Id="rId865" Type="http://schemas.openxmlformats.org/officeDocument/2006/relationships/hyperlink" Target="https://wa.me/919435132916" TargetMode="External"/><Relationship Id="rId297" Type="http://schemas.openxmlformats.org/officeDocument/2006/relationships/hyperlink" Target="https://wa.me/919435030526" TargetMode="External"/><Relationship Id="rId518" Type="http://schemas.openxmlformats.org/officeDocument/2006/relationships/hyperlink" Target="https://gardensuite.in/w/face-weight-499" TargetMode="External"/><Relationship Id="rId725" Type="http://schemas.openxmlformats.org/officeDocument/2006/relationships/hyperlink" Target="https://wa.me/919435330119" TargetMode="External"/><Relationship Id="rId932" Type="http://schemas.openxmlformats.org/officeDocument/2006/relationships/hyperlink" Target="https://gardensuite.in/w/face-weight-499" TargetMode="External"/><Relationship Id="rId157" Type="http://schemas.openxmlformats.org/officeDocument/2006/relationships/hyperlink" Target="https://wa.me/917002475029" TargetMode="External"/><Relationship Id="rId364" Type="http://schemas.openxmlformats.org/officeDocument/2006/relationships/hyperlink" Target="https://gardensuite.in/w/face-weight-499" TargetMode="External"/><Relationship Id="rId1008" Type="http://schemas.openxmlformats.org/officeDocument/2006/relationships/hyperlink" Target="https://gardensuite.in/w/face-weight-499" TargetMode="External"/><Relationship Id="rId61" Type="http://schemas.openxmlformats.org/officeDocument/2006/relationships/hyperlink" Target="https://gardensuite.in/w/face-weight-499" TargetMode="External"/><Relationship Id="rId571" Type="http://schemas.openxmlformats.org/officeDocument/2006/relationships/hyperlink" Target="https://wa.me/919435172025" TargetMode="External"/><Relationship Id="rId669" Type="http://schemas.openxmlformats.org/officeDocument/2006/relationships/hyperlink" Target="https://wa.me/919831896643" TargetMode="External"/><Relationship Id="rId876" Type="http://schemas.openxmlformats.org/officeDocument/2006/relationships/hyperlink" Target="https://gardensuite.in/w/face-weight-499" TargetMode="External"/><Relationship Id="rId19" Type="http://schemas.openxmlformats.org/officeDocument/2006/relationships/hyperlink" Target="https://gardensuite.in/w/face-weight-499" TargetMode="External"/><Relationship Id="rId224" Type="http://schemas.openxmlformats.org/officeDocument/2006/relationships/hyperlink" Target="https://gardensuite.in/w/face-weight-499" TargetMode="External"/><Relationship Id="rId431" Type="http://schemas.openxmlformats.org/officeDocument/2006/relationships/hyperlink" Target="https://wa.me/919954193005" TargetMode="External"/><Relationship Id="rId529" Type="http://schemas.openxmlformats.org/officeDocument/2006/relationships/hyperlink" Target="https://wa.me/919435523486" TargetMode="External"/><Relationship Id="rId736" Type="http://schemas.openxmlformats.org/officeDocument/2006/relationships/hyperlink" Target="https://gardensuite.in/w/face-weight-499" TargetMode="External"/><Relationship Id="rId168" Type="http://schemas.openxmlformats.org/officeDocument/2006/relationships/hyperlink" Target="https://gardensuite.in/w/face-weight-499" TargetMode="External"/><Relationship Id="rId943" Type="http://schemas.openxmlformats.org/officeDocument/2006/relationships/hyperlink" Target="https://wa.me/919435090986" TargetMode="External"/><Relationship Id="rId1019" Type="http://schemas.openxmlformats.org/officeDocument/2006/relationships/hyperlink" Target="https://wa.me/919435030618" TargetMode="External"/><Relationship Id="rId72" Type="http://schemas.openxmlformats.org/officeDocument/2006/relationships/hyperlink" Target="https://gardensuite.in/w/face-weight-499" TargetMode="External"/><Relationship Id="rId375" Type="http://schemas.openxmlformats.org/officeDocument/2006/relationships/hyperlink" Target="https://wa.me/918011668091" TargetMode="External"/><Relationship Id="rId582" Type="http://schemas.openxmlformats.org/officeDocument/2006/relationships/hyperlink" Target="https://gardensuite.in/w/face-weight-499" TargetMode="External"/><Relationship Id="rId803" Type="http://schemas.openxmlformats.org/officeDocument/2006/relationships/hyperlink" Target="https://wa.me/919401326308" TargetMode="External"/><Relationship Id="rId3" Type="http://schemas.openxmlformats.org/officeDocument/2006/relationships/hyperlink" Target="https://gardensuite.in/w/face-weight-499" TargetMode="External"/><Relationship Id="rId235" Type="http://schemas.openxmlformats.org/officeDocument/2006/relationships/hyperlink" Target="https://wa.me/919435071111" TargetMode="External"/><Relationship Id="rId442" Type="http://schemas.openxmlformats.org/officeDocument/2006/relationships/hyperlink" Target="https://gardensuite.in/w/face-weight-499" TargetMode="External"/><Relationship Id="rId887" Type="http://schemas.openxmlformats.org/officeDocument/2006/relationships/hyperlink" Target="https://wa.me/919401455862" TargetMode="External"/><Relationship Id="rId302" Type="http://schemas.openxmlformats.org/officeDocument/2006/relationships/hyperlink" Target="https://gardensuite.in/w/face-weight-499" TargetMode="External"/><Relationship Id="rId747" Type="http://schemas.openxmlformats.org/officeDocument/2006/relationships/hyperlink" Target="https://wa.me/919435292315" TargetMode="External"/><Relationship Id="rId954" Type="http://schemas.openxmlformats.org/officeDocument/2006/relationships/hyperlink" Target="https://gardensuite.in/w/face-weight-499" TargetMode="External"/><Relationship Id="rId83" Type="http://schemas.openxmlformats.org/officeDocument/2006/relationships/hyperlink" Target="https://wa.me/916901259873" TargetMode="External"/><Relationship Id="rId179" Type="http://schemas.openxmlformats.org/officeDocument/2006/relationships/hyperlink" Target="https://wa.me/918135975507" TargetMode="External"/><Relationship Id="rId386" Type="http://schemas.openxmlformats.org/officeDocument/2006/relationships/hyperlink" Target="https://gardensuite.in/w/face-weight-499" TargetMode="External"/><Relationship Id="rId593" Type="http://schemas.openxmlformats.org/officeDocument/2006/relationships/hyperlink" Target="https://wa.me/919854093412" TargetMode="External"/><Relationship Id="rId607" Type="http://schemas.openxmlformats.org/officeDocument/2006/relationships/hyperlink" Target="https://wa.me/919435030458" TargetMode="External"/><Relationship Id="rId814" Type="http://schemas.openxmlformats.org/officeDocument/2006/relationships/hyperlink" Target="https://gardensuite.in/w/face-weight-499" TargetMode="External"/><Relationship Id="rId246" Type="http://schemas.openxmlformats.org/officeDocument/2006/relationships/hyperlink" Target="https://gardensuite.in/w/face-weight-499" TargetMode="External"/><Relationship Id="rId453" Type="http://schemas.openxmlformats.org/officeDocument/2006/relationships/hyperlink" Target="https://wa.me/919435054400" TargetMode="External"/><Relationship Id="rId660" Type="http://schemas.openxmlformats.org/officeDocument/2006/relationships/hyperlink" Target="https://gardensuite.in/w/face-weight-499" TargetMode="External"/><Relationship Id="rId898" Type="http://schemas.openxmlformats.org/officeDocument/2006/relationships/hyperlink" Target="https://gardensuite.in/w/face-weight-499" TargetMode="External"/><Relationship Id="rId106" Type="http://schemas.openxmlformats.org/officeDocument/2006/relationships/hyperlink" Target="https://gardensuite.in/w/face-weight-499" TargetMode="External"/><Relationship Id="rId313" Type="http://schemas.openxmlformats.org/officeDocument/2006/relationships/hyperlink" Target="https://wa.me/919954498848" TargetMode="External"/><Relationship Id="rId758" Type="http://schemas.openxmlformats.org/officeDocument/2006/relationships/hyperlink" Target="https://gardensuite.in/w/face-weight-499" TargetMode="External"/><Relationship Id="rId965" Type="http://schemas.openxmlformats.org/officeDocument/2006/relationships/hyperlink" Target="https://wa.me/919954666384" TargetMode="External"/><Relationship Id="rId10" Type="http://schemas.openxmlformats.org/officeDocument/2006/relationships/hyperlink" Target="https://wa.me/919435033780" TargetMode="External"/><Relationship Id="rId94" Type="http://schemas.openxmlformats.org/officeDocument/2006/relationships/hyperlink" Target="https://gardensuite.in/w/face-weight-499" TargetMode="External"/><Relationship Id="rId397" Type="http://schemas.openxmlformats.org/officeDocument/2006/relationships/hyperlink" Target="https://wa.me/919435053849" TargetMode="External"/><Relationship Id="rId520" Type="http://schemas.openxmlformats.org/officeDocument/2006/relationships/hyperlink" Target="https://gardensuite.in/w/face-weight-499" TargetMode="External"/><Relationship Id="rId618" Type="http://schemas.openxmlformats.org/officeDocument/2006/relationships/hyperlink" Target="https://gardensuite.in/w/face-weight-499" TargetMode="External"/><Relationship Id="rId825" Type="http://schemas.openxmlformats.org/officeDocument/2006/relationships/hyperlink" Target="https://wa.me/919435091349" TargetMode="External"/><Relationship Id="rId257" Type="http://schemas.openxmlformats.org/officeDocument/2006/relationships/hyperlink" Target="https://wa.me/919435515703" TargetMode="External"/><Relationship Id="rId464" Type="http://schemas.openxmlformats.org/officeDocument/2006/relationships/hyperlink" Target="https://gardensuite.in/w/face-weight-499" TargetMode="External"/><Relationship Id="rId1010" Type="http://schemas.openxmlformats.org/officeDocument/2006/relationships/hyperlink" Target="https://gardensuite.in/w/face-weight-499" TargetMode="External"/><Relationship Id="rId117" Type="http://schemas.openxmlformats.org/officeDocument/2006/relationships/hyperlink" Target="https://wa.me/919435031577" TargetMode="External"/><Relationship Id="rId671" Type="http://schemas.openxmlformats.org/officeDocument/2006/relationships/hyperlink" Target="https://wa.me/919435091043" TargetMode="External"/><Relationship Id="rId769" Type="http://schemas.openxmlformats.org/officeDocument/2006/relationships/hyperlink" Target="https://wa.me/919435727096" TargetMode="External"/><Relationship Id="rId976" Type="http://schemas.openxmlformats.org/officeDocument/2006/relationships/hyperlink" Target="https://gardensuite.in/w/face-weight-499" TargetMode="External"/><Relationship Id="rId324" Type="http://schemas.openxmlformats.org/officeDocument/2006/relationships/hyperlink" Target="https://gardensuite.in/w/face-weight-499" TargetMode="External"/><Relationship Id="rId531" Type="http://schemas.openxmlformats.org/officeDocument/2006/relationships/hyperlink" Target="https://wa.me/919854012274" TargetMode="External"/><Relationship Id="rId629" Type="http://schemas.openxmlformats.org/officeDocument/2006/relationships/hyperlink" Target="https://wa.me/919435378374" TargetMode="External"/><Relationship Id="rId836" Type="http://schemas.openxmlformats.org/officeDocument/2006/relationships/hyperlink" Target="https://gardensuite.in/w/face-weight-499" TargetMode="External"/><Relationship Id="rId1021" Type="http://schemas.openxmlformats.org/officeDocument/2006/relationships/hyperlink" Target="https://wa.me/919435095718" TargetMode="External"/><Relationship Id="rId903" Type="http://schemas.openxmlformats.org/officeDocument/2006/relationships/hyperlink" Target="https://wa.me/919401037473" TargetMode="External"/><Relationship Id="rId32" Type="http://schemas.openxmlformats.org/officeDocument/2006/relationships/hyperlink" Target="https://wa.me/91943513215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ardensuite.in/og/face-attendance-weight-price-v4.jpg" TargetMode="External"/><Relationship Id="rId1" Type="http://schemas.openxmlformats.org/officeDocument/2006/relationships/hyperlink" Target="https://gardensuite.in/w/face-weight-4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workbookViewId="0">
      <selection sqref="A1:H1"/>
    </sheetView>
  </sheetViews>
  <sheetFormatPr defaultRowHeight="15" x14ac:dyDescent="0.25"/>
  <cols>
    <col min="1" max="8" width="16" customWidth="1"/>
  </cols>
  <sheetData>
    <row r="1" spans="1:8" ht="31.5" customHeight="1" x14ac:dyDescent="0.25">
      <c r="A1" s="73" t="s">
        <v>17</v>
      </c>
      <c r="B1" s="62"/>
      <c r="C1" s="62"/>
      <c r="D1" s="62"/>
      <c r="E1" s="62"/>
      <c r="F1" s="62"/>
      <c r="G1" s="62"/>
      <c r="H1" s="62"/>
    </row>
    <row r="2" spans="1:8" x14ac:dyDescent="0.25">
      <c r="A2" s="72" t="s">
        <v>18</v>
      </c>
      <c r="B2" s="62"/>
      <c r="C2" s="62"/>
      <c r="D2" s="62"/>
      <c r="E2" s="62"/>
      <c r="F2" s="62"/>
      <c r="G2" s="62"/>
      <c r="H2" s="62"/>
    </row>
    <row r="4" spans="1:8" ht="33.950000000000003" customHeigh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23</v>
      </c>
      <c r="G4" s="2" t="s">
        <v>24</v>
      </c>
      <c r="H4" s="3" t="s">
        <v>25</v>
      </c>
    </row>
    <row r="5" spans="1:8" ht="38.1" customHeight="1" x14ac:dyDescent="0.25">
      <c r="A5" s="4">
        <f>COUNTA('WhatsApp Tracker'!A2:A500)</f>
        <v>499</v>
      </c>
      <c r="B5" s="4">
        <f>COUNTIF('WhatsApp Tracker'!L2:L500,"Send")</f>
        <v>115</v>
      </c>
      <c r="C5" s="4">
        <f>COUNTIF('WhatsApp Tracker'!T2:T500,"Sent")+COUNTIF('WhatsApp Tracker'!T2:T500,"Delivered")+COUNTIF('WhatsApp Tracker'!T2:T500,"Read")</f>
        <v>31</v>
      </c>
      <c r="D5" s="4">
        <f>COUNTIF('WhatsApp Tracker'!U2:U500,"Interested")+COUNTIF('WhatsApp Tracker'!U2:U500,"Demo booked")</f>
        <v>1</v>
      </c>
      <c r="E5" s="4">
        <f>COUNTIF('WhatsApp Tracker'!V2:V500,"Yes")</f>
        <v>0</v>
      </c>
      <c r="F5" s="4">
        <f>COUNTIF('WhatsApp Tracker'!W2:W500,"Booked")+COUNTIF('WhatsApp Tracker'!U2:U500,"Demo booked")</f>
        <v>1</v>
      </c>
      <c r="G5" s="5">
        <f ca="1">COUNTIFS('WhatsApp Tracker'!X2:X500,"&lt;="&amp;TODAY(),'WhatsApp Tracker'!X2:X500,"&gt;0",'WhatsApp Tracker'!Y2:Y500,"")</f>
        <v>0</v>
      </c>
      <c r="H5" s="6">
        <f>COUNTIF('WhatsApp Tracker'!K2:K500,"Check")+COUNTIF('WhatsApp Tracker'!U2:U500,"Bad number")</f>
        <v>1</v>
      </c>
    </row>
    <row r="8" spans="1:8" ht="19.5" customHeight="1" x14ac:dyDescent="0.3">
      <c r="A8" s="7" t="s">
        <v>26</v>
      </c>
      <c r="D8" s="7" t="s">
        <v>27</v>
      </c>
      <c r="G8" s="7" t="s">
        <v>28</v>
      </c>
    </row>
    <row r="9" spans="1:8" x14ac:dyDescent="0.25">
      <c r="A9" s="8" t="s">
        <v>29</v>
      </c>
      <c r="B9" s="8" t="s">
        <v>30</v>
      </c>
      <c r="D9" s="8" t="s">
        <v>29</v>
      </c>
      <c r="E9" s="8" t="s">
        <v>30</v>
      </c>
      <c r="G9" s="8" t="s">
        <v>29</v>
      </c>
      <c r="H9" s="8" t="s">
        <v>30</v>
      </c>
    </row>
    <row r="10" spans="1:8" x14ac:dyDescent="0.25">
      <c r="A10" s="9" t="s">
        <v>31</v>
      </c>
      <c r="B10" s="10">
        <f>COUNTIF('WhatsApp Tracker'!T2:T500,"Not sent")</f>
        <v>464</v>
      </c>
      <c r="D10" s="9" t="s">
        <v>32</v>
      </c>
      <c r="E10" s="10">
        <f>COUNTIF('WhatsApp Tracker'!U2:U500,"No reply")</f>
        <v>0</v>
      </c>
      <c r="G10" s="9" t="s">
        <v>33</v>
      </c>
      <c r="H10" s="10">
        <f>COUNTIF('WhatsApp Tracker'!AA2:AA500,"Send WhatsApp")</f>
        <v>80</v>
      </c>
    </row>
    <row r="11" spans="1:8" x14ac:dyDescent="0.25">
      <c r="A11" s="9" t="s">
        <v>21</v>
      </c>
      <c r="B11" s="10">
        <f>COUNTIF('WhatsApp Tracker'!T2:T500,"Sent")</f>
        <v>6</v>
      </c>
      <c r="D11" s="9" t="s">
        <v>34</v>
      </c>
      <c r="E11" s="10">
        <f>COUNTIF('WhatsApp Tracker'!U2:U500,"Replied")</f>
        <v>0</v>
      </c>
      <c r="G11" s="9" t="s">
        <v>35</v>
      </c>
      <c r="H11" s="10">
        <f>COUNTIF('WhatsApp Tracker'!AA2:AA500,"Send follow-up")</f>
        <v>0</v>
      </c>
    </row>
    <row r="12" spans="1:8" x14ac:dyDescent="0.25">
      <c r="A12" s="9" t="s">
        <v>36</v>
      </c>
      <c r="B12" s="10">
        <f>COUNTIF('WhatsApp Tracker'!T2:T500,"Delivered")</f>
        <v>24</v>
      </c>
      <c r="D12" s="9" t="s">
        <v>22</v>
      </c>
      <c r="E12" s="10">
        <f>COUNTIF('WhatsApp Tracker'!U2:U500,"Interested")</f>
        <v>0</v>
      </c>
      <c r="G12" s="9" t="s">
        <v>37</v>
      </c>
      <c r="H12" s="10">
        <f>COUNTIF('WhatsApp Tracker'!AA2:AA500,"Prepare demo")</f>
        <v>1</v>
      </c>
    </row>
    <row r="13" spans="1:8" x14ac:dyDescent="0.25">
      <c r="A13" s="9" t="s">
        <v>38</v>
      </c>
      <c r="B13" s="10">
        <f>COUNTIF('WhatsApp Tracker'!T2:T500,"Read")</f>
        <v>1</v>
      </c>
      <c r="D13" s="9" t="s">
        <v>23</v>
      </c>
      <c r="E13" s="10">
        <f>COUNTIF('WhatsApp Tracker'!U2:U500,"Demo booked")</f>
        <v>1</v>
      </c>
      <c r="G13" s="9" t="s">
        <v>39</v>
      </c>
      <c r="H13" s="10">
        <f>COUNTIF('WhatsApp Tracker'!AA2:AA500,"Review")</f>
        <v>34</v>
      </c>
    </row>
    <row r="14" spans="1:8" x14ac:dyDescent="0.25">
      <c r="A14" s="9" t="s">
        <v>40</v>
      </c>
      <c r="B14" s="10">
        <f>COUNTIF('WhatsApp Tracker'!T2:T500,"Failed")</f>
        <v>4</v>
      </c>
      <c r="D14" s="9" t="s">
        <v>41</v>
      </c>
      <c r="E14" s="10">
        <f>COUNTIF('WhatsApp Tracker'!U2:U500,"Not interested")</f>
        <v>0</v>
      </c>
      <c r="G14" s="9" t="s">
        <v>42</v>
      </c>
      <c r="H14" s="10">
        <f>COUNTIF('WhatsApp Tracker'!AA2:AA500,"Do not send")</f>
        <v>384</v>
      </c>
    </row>
    <row r="17" spans="1:8" ht="19.5" customHeight="1" x14ac:dyDescent="0.25">
      <c r="D17" s="11" t="s">
        <v>43</v>
      </c>
    </row>
    <row r="18" spans="1:8" x14ac:dyDescent="0.25">
      <c r="D18" s="64" t="s">
        <v>44</v>
      </c>
      <c r="E18" s="65"/>
      <c r="F18" s="65"/>
      <c r="G18" s="65"/>
      <c r="H18" s="66"/>
    </row>
    <row r="19" spans="1:8" x14ac:dyDescent="0.25">
      <c r="D19" s="67"/>
      <c r="E19" s="62"/>
      <c r="F19" s="62"/>
      <c r="G19" s="62"/>
      <c r="H19" s="68"/>
    </row>
    <row r="20" spans="1:8" x14ac:dyDescent="0.25">
      <c r="D20" s="67"/>
      <c r="E20" s="62"/>
      <c r="F20" s="62"/>
      <c r="G20" s="62"/>
      <c r="H20" s="68"/>
    </row>
    <row r="21" spans="1:8" x14ac:dyDescent="0.25">
      <c r="D21" s="67"/>
      <c r="E21" s="62"/>
      <c r="F21" s="62"/>
      <c r="G21" s="62"/>
      <c r="H21" s="68"/>
    </row>
    <row r="22" spans="1:8" x14ac:dyDescent="0.25">
      <c r="D22" s="67"/>
      <c r="E22" s="62"/>
      <c r="F22" s="62"/>
      <c r="G22" s="62"/>
      <c r="H22" s="68"/>
    </row>
    <row r="23" spans="1:8" x14ac:dyDescent="0.25">
      <c r="D23" s="69"/>
      <c r="E23" s="70"/>
      <c r="F23" s="70"/>
      <c r="G23" s="70"/>
      <c r="H23" s="71"/>
    </row>
    <row r="25" spans="1:8" ht="18.75" customHeight="1" x14ac:dyDescent="0.3">
      <c r="A25" s="21" t="s">
        <v>45</v>
      </c>
    </row>
    <row r="26" spans="1:8" x14ac:dyDescent="0.25">
      <c r="A26" s="22" t="s">
        <v>46</v>
      </c>
    </row>
    <row r="27" spans="1:8" x14ac:dyDescent="0.25">
      <c r="A27" s="23" t="s">
        <v>47</v>
      </c>
    </row>
    <row r="28" spans="1:8" x14ac:dyDescent="0.25">
      <c r="A28" s="24" t="s">
        <v>48</v>
      </c>
    </row>
    <row r="29" spans="1:8" x14ac:dyDescent="0.25">
      <c r="A29" s="25" t="s">
        <v>49</v>
      </c>
    </row>
    <row r="30" spans="1:8" x14ac:dyDescent="0.25">
      <c r="A30" s="26" t="s">
        <v>32</v>
      </c>
    </row>
  </sheetData>
  <mergeCells count="3">
    <mergeCell ref="D18:H23"/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6"/>
  <sheetViews>
    <sheetView showGridLines="0" workbookViewId="0">
      <pane ySplit="4" topLeftCell="A10" activePane="bottomLeft" state="frozen"/>
      <selection pane="bottomLeft" activeCell="I20" sqref="I20"/>
    </sheetView>
  </sheetViews>
  <sheetFormatPr defaultRowHeight="15" x14ac:dyDescent="0.25"/>
  <cols>
    <col min="1" max="1" width="11" customWidth="1"/>
    <col min="2" max="2" width="18" customWidth="1"/>
    <col min="3" max="4" width="11" customWidth="1"/>
    <col min="5" max="5" width="22" customWidth="1"/>
    <col min="6" max="6" width="24" customWidth="1"/>
    <col min="7" max="7" width="22" customWidth="1"/>
    <col min="8" max="8" width="15" customWidth="1"/>
    <col min="9" max="9" width="13" customWidth="1"/>
    <col min="10" max="10" width="15" customWidth="1"/>
    <col min="11" max="11" width="10" customWidth="1"/>
    <col min="12" max="12" width="13" customWidth="1"/>
    <col min="13" max="13" width="14" customWidth="1"/>
    <col min="14" max="14" width="32" customWidth="1"/>
    <col min="15" max="15" width="34" customWidth="1"/>
  </cols>
  <sheetData>
    <row r="1" spans="1:15" ht="28.5" customHeight="1" x14ac:dyDescent="0.4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x14ac:dyDescent="0.25">
      <c r="A2" s="63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4" spans="1:15" ht="27" customHeight="1" x14ac:dyDescent="0.25">
      <c r="A4" s="49" t="s">
        <v>2</v>
      </c>
      <c r="B4" s="49" t="s">
        <v>3</v>
      </c>
      <c r="C4" s="49" t="s">
        <v>4</v>
      </c>
      <c r="D4" s="49" t="s">
        <v>5</v>
      </c>
      <c r="E4" s="49" t="s">
        <v>6</v>
      </c>
      <c r="F4" s="49" t="s">
        <v>7</v>
      </c>
      <c r="G4" s="49" t="s">
        <v>8</v>
      </c>
      <c r="H4" s="49" t="s">
        <v>9</v>
      </c>
      <c r="I4" s="49" t="s">
        <v>10</v>
      </c>
      <c r="J4" s="49" t="s">
        <v>11</v>
      </c>
      <c r="K4" s="49" t="s">
        <v>12</v>
      </c>
      <c r="L4" s="49" t="s">
        <v>13</v>
      </c>
      <c r="M4" s="49" t="s">
        <v>14</v>
      </c>
      <c r="N4" s="49" t="s">
        <v>15</v>
      </c>
      <c r="O4" s="49" t="s">
        <v>16</v>
      </c>
    </row>
    <row r="5" spans="1:15" ht="27" customHeight="1" x14ac:dyDescent="0.25">
      <c r="A5" s="50">
        <f>'WhatsApp Tracker'!AH3</f>
        <v>4136</v>
      </c>
      <c r="B5" s="50" t="str">
        <f>'WhatsApp Tracker'!AA3</f>
        <v>Review</v>
      </c>
      <c r="C5" s="50" t="str">
        <f>'WhatsApp Tracker'!M3</f>
        <v>Normal</v>
      </c>
      <c r="D5" s="50">
        <f>'WhatsApp Tracker'!AN3</f>
        <v>1</v>
      </c>
      <c r="E5" s="50" t="str">
        <f>'WhatsApp Tracker'!AL3</f>
        <v>Original CRM/manual campaign tracker</v>
      </c>
      <c r="F5" s="50" t="str">
        <f>'WhatsApp Tracker'!B3</f>
        <v>Sarojini Tea Company P.V.T L.MD</v>
      </c>
      <c r="G5" s="50" t="str">
        <f>'WhatsApp Tracker'!C3</f>
        <v>p baruah</v>
      </c>
      <c r="H5" s="74" t="str">
        <f>'WhatsApp Tracker'!D3</f>
        <v>7002483957</v>
      </c>
      <c r="I5" s="50" t="str">
        <f>'WhatsApp Tracker'!T3</f>
        <v>Sent</v>
      </c>
      <c r="J5" s="50" t="str">
        <f>'WhatsApp Tracker'!U3</f>
        <v>Unknown</v>
      </c>
      <c r="K5" s="50" t="str">
        <f>'WhatsApp Tracker'!V3</f>
        <v>Unknown</v>
      </c>
      <c r="L5" s="50" t="str">
        <f>'WhatsApp Tracker'!W3</f>
        <v>Not offered</v>
      </c>
      <c r="M5" s="51" t="str">
        <f>'WhatsApp Tracker'!X3</f>
        <v/>
      </c>
      <c r="N5" s="50" t="str">
        <f>'WhatsApp Tracker'!AM3</f>
        <v>Existing CRM lead</v>
      </c>
      <c r="O5" s="50">
        <f>'WhatsApp Tracker'!AC3</f>
        <v>0</v>
      </c>
    </row>
    <row r="6" spans="1:15" ht="27" customHeight="1" x14ac:dyDescent="0.25">
      <c r="A6" s="50">
        <f>'WhatsApp Tracker'!AH9</f>
        <v>3136</v>
      </c>
      <c r="B6" s="50" t="str">
        <f>'WhatsApp Tracker'!AA9</f>
        <v>Send WhatsApp</v>
      </c>
      <c r="C6" s="50" t="str">
        <f>'WhatsApp Tracker'!M9</f>
        <v>Normal</v>
      </c>
      <c r="D6" s="50">
        <f>'WhatsApp Tracker'!AN9</f>
        <v>1</v>
      </c>
      <c r="E6" s="50" t="str">
        <f>'WhatsApp Tracker'!AL9</f>
        <v>Original CRM/manual campaign tracker</v>
      </c>
      <c r="F6" s="50" t="str">
        <f>'WhatsApp Tracker'!B9</f>
        <v>Dekhari T.E ( unit 1 )</v>
      </c>
      <c r="G6" s="50">
        <f>'WhatsApp Tracker'!C9</f>
        <v>0</v>
      </c>
      <c r="H6" s="74" t="str">
        <f>'WhatsApp Tracker'!D9</f>
        <v>6001684868</v>
      </c>
      <c r="I6" s="50" t="str">
        <f>'WhatsApp Tracker'!T9</f>
        <v>Not sent</v>
      </c>
      <c r="J6" s="50" t="str">
        <f>'WhatsApp Tracker'!U9</f>
        <v>Unknown</v>
      </c>
      <c r="K6" s="50" t="str">
        <f>'WhatsApp Tracker'!V9</f>
        <v>Unknown</v>
      </c>
      <c r="L6" s="50" t="str">
        <f>'WhatsApp Tracker'!W9</f>
        <v>Not offered</v>
      </c>
      <c r="M6" s="51" t="str">
        <f>'WhatsApp Tracker'!X9</f>
        <v/>
      </c>
      <c r="N6" s="50" t="str">
        <f>'WhatsApp Tracker'!AM9</f>
        <v>Existing CRM lead</v>
      </c>
      <c r="O6" s="50">
        <f>'WhatsApp Tracker'!AC9</f>
        <v>0</v>
      </c>
    </row>
    <row r="7" spans="1:15" ht="27" customHeight="1" x14ac:dyDescent="0.25">
      <c r="A7" s="50">
        <f>'WhatsApp Tracker'!AH13</f>
        <v>3136</v>
      </c>
      <c r="B7" s="50" t="str">
        <f>'WhatsApp Tracker'!AA13</f>
        <v>Send WhatsApp</v>
      </c>
      <c r="C7" s="50" t="str">
        <f>'WhatsApp Tracker'!M13</f>
        <v>Normal</v>
      </c>
      <c r="D7" s="50">
        <f>'WhatsApp Tracker'!AN13</f>
        <v>1</v>
      </c>
      <c r="E7" s="50" t="str">
        <f>'WhatsApp Tracker'!AL13</f>
        <v>Original CRM/manual campaign tracker</v>
      </c>
      <c r="F7" s="50" t="str">
        <f>'WhatsApp Tracker'!B13</f>
        <v>Madhuting T.E</v>
      </c>
      <c r="G7" s="50">
        <f>'WhatsApp Tracker'!C13</f>
        <v>0</v>
      </c>
      <c r="H7" s="74" t="str">
        <f>'WhatsApp Tracker'!D13</f>
        <v>8876321148</v>
      </c>
      <c r="I7" s="50" t="str">
        <f>'WhatsApp Tracker'!T13</f>
        <v>Not sent</v>
      </c>
      <c r="J7" s="50" t="str">
        <f>'WhatsApp Tracker'!U13</f>
        <v>Unknown</v>
      </c>
      <c r="K7" s="50" t="str">
        <f>'WhatsApp Tracker'!V13</f>
        <v>Unknown</v>
      </c>
      <c r="L7" s="50" t="str">
        <f>'WhatsApp Tracker'!W13</f>
        <v>Not offered</v>
      </c>
      <c r="M7" s="51" t="str">
        <f>'WhatsApp Tracker'!X13</f>
        <v/>
      </c>
      <c r="N7" s="50" t="str">
        <f>'WhatsApp Tracker'!AM13</f>
        <v>Existing CRM lead</v>
      </c>
      <c r="O7" s="50">
        <f>'WhatsApp Tracker'!AC13</f>
        <v>0</v>
      </c>
    </row>
    <row r="8" spans="1:15" ht="27" customHeight="1" x14ac:dyDescent="0.25">
      <c r="A8" s="50">
        <f>'WhatsApp Tracker'!AH14</f>
        <v>3136</v>
      </c>
      <c r="B8" s="50" t="str">
        <f>'WhatsApp Tracker'!AA14</f>
        <v>Send WhatsApp</v>
      </c>
      <c r="C8" s="50" t="str">
        <f>'WhatsApp Tracker'!M14</f>
        <v>Normal</v>
      </c>
      <c r="D8" s="50">
        <f>'WhatsApp Tracker'!AN14</f>
        <v>1</v>
      </c>
      <c r="E8" s="50" t="str">
        <f>'WhatsApp Tracker'!AL14</f>
        <v>Original CRM/manual campaign tracker</v>
      </c>
      <c r="F8" s="50" t="str">
        <f>'WhatsApp Tracker'!B14</f>
        <v xml:space="preserve">Mayajan T.E </v>
      </c>
      <c r="G8" s="50">
        <f>'WhatsApp Tracker'!C14</f>
        <v>0</v>
      </c>
      <c r="H8" s="74" t="str">
        <f>'WhatsApp Tracker'!D14</f>
        <v>8876426227</v>
      </c>
      <c r="I8" s="50" t="str">
        <f>'WhatsApp Tracker'!T14</f>
        <v>Not sent</v>
      </c>
      <c r="J8" s="50" t="str">
        <f>'WhatsApp Tracker'!U14</f>
        <v>Unknown</v>
      </c>
      <c r="K8" s="50" t="str">
        <f>'WhatsApp Tracker'!V14</f>
        <v>Unknown</v>
      </c>
      <c r="L8" s="50" t="str">
        <f>'WhatsApp Tracker'!W14</f>
        <v>Not offered</v>
      </c>
      <c r="M8" s="51" t="str">
        <f>'WhatsApp Tracker'!X14</f>
        <v/>
      </c>
      <c r="N8" s="50" t="str">
        <f>'WhatsApp Tracker'!AM14</f>
        <v>Existing CRM lead</v>
      </c>
      <c r="O8" s="50">
        <f>'WhatsApp Tracker'!AC14</f>
        <v>0</v>
      </c>
    </row>
    <row r="9" spans="1:15" ht="27" customHeight="1" x14ac:dyDescent="0.25">
      <c r="A9" s="50">
        <f>'WhatsApp Tracker'!AH16</f>
        <v>4436</v>
      </c>
      <c r="B9" s="50" t="str">
        <f>'WhatsApp Tracker'!AA16</f>
        <v>Review</v>
      </c>
      <c r="C9" s="50" t="str">
        <f>'WhatsApp Tracker'!M16</f>
        <v>Normal</v>
      </c>
      <c r="D9" s="50">
        <f>'WhatsApp Tracker'!AN16</f>
        <v>4</v>
      </c>
      <c r="E9" s="50" t="str">
        <f>'WhatsApp Tracker'!AL16</f>
        <v>Google Maps enrichment</v>
      </c>
      <c r="F9" s="50" t="str">
        <f>'WhatsApp Tracker'!B16</f>
        <v>Amulguri T.E.</v>
      </c>
      <c r="G9" s="50" t="str">
        <f>'WhatsApp Tracker'!C16</f>
        <v>Amulguri T.E.</v>
      </c>
      <c r="H9" s="74" t="str">
        <f>'WhatsApp Tracker'!D16</f>
        <v>8011322474</v>
      </c>
      <c r="I9" s="50" t="str">
        <f>'WhatsApp Tracker'!T16</f>
        <v>Delivered</v>
      </c>
      <c r="J9" s="50" t="str">
        <f>'WhatsApp Tracker'!U16</f>
        <v>Unknown</v>
      </c>
      <c r="K9" s="50" t="str">
        <f>'WhatsApp Tracker'!V16</f>
        <v>Unknown</v>
      </c>
      <c r="L9" s="50" t="str">
        <f>'WhatsApp Tracker'!W16</f>
        <v>Not offered</v>
      </c>
      <c r="M9" s="51" t="str">
        <f>'WhatsApp Tracker'!X16</f>
        <v/>
      </c>
      <c r="N9" s="50" t="str">
        <f>'WhatsApp Tracker'!AM16</f>
        <v>Lower priority: Maps result cannot be verified without manual check</v>
      </c>
      <c r="O9" s="50" t="str">
        <f>'WhatsApp Tracker'!AC16</f>
        <v>Imported from extract_garden. Confidence: High. Direct estate number list; Generated garden export. District: Dibrugarh State: Assam; Original personal number. Phone type: Other. In original list: Yes</v>
      </c>
    </row>
    <row r="10" spans="1:15" ht="27" customHeight="1" x14ac:dyDescent="0.25">
      <c r="A10" s="50">
        <f>'WhatsApp Tracker'!AH19</f>
        <v>4436</v>
      </c>
      <c r="B10" s="50" t="str">
        <f>'WhatsApp Tracker'!AA19</f>
        <v>Review</v>
      </c>
      <c r="C10" s="50" t="str">
        <f>'WhatsApp Tracker'!M19</f>
        <v>Normal</v>
      </c>
      <c r="D10" s="50">
        <f>'WhatsApp Tracker'!AN19</f>
        <v>4</v>
      </c>
      <c r="E10" s="50" t="str">
        <f>'WhatsApp Tracker'!AL19</f>
        <v>Google Maps enrichment</v>
      </c>
      <c r="F10" s="50" t="str">
        <f>'WhatsApp Tracker'!B19</f>
        <v>Asitpur T.E.</v>
      </c>
      <c r="G10" s="50" t="str">
        <f>'WhatsApp Tracker'!C19</f>
        <v>Asitpur T.E.</v>
      </c>
      <c r="H10" s="74" t="str">
        <f>'WhatsApp Tracker'!D19</f>
        <v>9954446448</v>
      </c>
      <c r="I10" s="50" t="str">
        <f>'WhatsApp Tracker'!T19</f>
        <v>Failed</v>
      </c>
      <c r="J10" s="50" t="str">
        <f>'WhatsApp Tracker'!U19</f>
        <v>Unknown</v>
      </c>
      <c r="K10" s="50" t="str">
        <f>'WhatsApp Tracker'!V19</f>
        <v>Unknown</v>
      </c>
      <c r="L10" s="50" t="str">
        <f>'WhatsApp Tracker'!W19</f>
        <v>Not offered</v>
      </c>
      <c r="M10" s="51" t="str">
        <f>'WhatsApp Tracker'!X19</f>
        <v/>
      </c>
      <c r="N10" s="50" t="str">
        <f>'WhatsApp Tracker'!AM19</f>
        <v>Lower priority: Maps result cannot be verified without manual check</v>
      </c>
      <c r="O10" s="50" t="str">
        <f>'WhatsApp Tracker'!AC19</f>
        <v>NOT WHATSAPP NO</v>
      </c>
    </row>
    <row r="11" spans="1:15" ht="27" customHeight="1" x14ac:dyDescent="0.25">
      <c r="A11" s="50">
        <f>'WhatsApp Tracker'!AH20</f>
        <v>4436</v>
      </c>
      <c r="B11" s="50" t="str">
        <f>'WhatsApp Tracker'!AA20</f>
        <v>Review</v>
      </c>
      <c r="C11" s="50" t="str">
        <f>'WhatsApp Tracker'!M20</f>
        <v>Normal</v>
      </c>
      <c r="D11" s="50">
        <f>'WhatsApp Tracker'!AN20</f>
        <v>4</v>
      </c>
      <c r="E11" s="50" t="str">
        <f>'WhatsApp Tracker'!AL20</f>
        <v>Google Maps enrichment</v>
      </c>
      <c r="F11" s="50" t="str">
        <f>'WhatsApp Tracker'!B20</f>
        <v>Bipinbag T.E.</v>
      </c>
      <c r="G11" s="50" t="str">
        <f>'WhatsApp Tracker'!C20</f>
        <v>Bipinbag T.E.</v>
      </c>
      <c r="H11" s="74" t="str">
        <f>'WhatsApp Tracker'!D20</f>
        <v>6901259873</v>
      </c>
      <c r="I11" s="50" t="str">
        <f>'WhatsApp Tracker'!T20</f>
        <v>Failed</v>
      </c>
      <c r="J11" s="50" t="str">
        <f>'WhatsApp Tracker'!U20</f>
        <v>Unknown</v>
      </c>
      <c r="K11" s="50" t="str">
        <f>'WhatsApp Tracker'!V20</f>
        <v>Unknown</v>
      </c>
      <c r="L11" s="50" t="str">
        <f>'WhatsApp Tracker'!W20</f>
        <v>Not offered</v>
      </c>
      <c r="M11" s="51" t="str">
        <f>'WhatsApp Tracker'!X20</f>
        <v/>
      </c>
      <c r="N11" s="50" t="str">
        <f>'WhatsApp Tracker'!AM20</f>
        <v>Lower priority: Maps result cannot be verified without manual check</v>
      </c>
      <c r="O11" s="50" t="str">
        <f>'WhatsApp Tracker'!AC20</f>
        <v>NOT WHATSAPP NO</v>
      </c>
    </row>
    <row r="12" spans="1:15" ht="27" customHeight="1" x14ac:dyDescent="0.25">
      <c r="A12" s="50">
        <f>'WhatsApp Tracker'!AH22</f>
        <v>4436</v>
      </c>
      <c r="B12" s="50" t="str">
        <f>'WhatsApp Tracker'!AA22</f>
        <v>Review</v>
      </c>
      <c r="C12" s="50" t="str">
        <f>'WhatsApp Tracker'!M22</f>
        <v>Normal</v>
      </c>
      <c r="D12" s="50">
        <f>'WhatsApp Tracker'!AN22</f>
        <v>4</v>
      </c>
      <c r="E12" s="50" t="str">
        <f>'WhatsApp Tracker'!AL22</f>
        <v>Google Maps enrichment</v>
      </c>
      <c r="F12" s="50" t="str">
        <f>'WhatsApp Tracker'!B22</f>
        <v>Dinjan T.E.</v>
      </c>
      <c r="G12" s="50" t="str">
        <f>'WhatsApp Tracker'!C22</f>
        <v>Dinjan T.E.</v>
      </c>
      <c r="H12" s="74" t="str">
        <f>'WhatsApp Tracker'!D22</f>
        <v>9954440448</v>
      </c>
      <c r="I12" s="50" t="str">
        <f>'WhatsApp Tracker'!T22</f>
        <v>Delivered</v>
      </c>
      <c r="J12" s="50" t="str">
        <f>'WhatsApp Tracker'!U22</f>
        <v>Unknown</v>
      </c>
      <c r="K12" s="50" t="str">
        <f>'WhatsApp Tracker'!V22</f>
        <v>Unknown</v>
      </c>
      <c r="L12" s="50" t="str">
        <f>'WhatsApp Tracker'!W22</f>
        <v>Not offered</v>
      </c>
      <c r="M12" s="51" t="str">
        <f>'WhatsApp Tracker'!X22</f>
        <v/>
      </c>
      <c r="N12" s="50" t="str">
        <f>'WhatsApp Tracker'!AM22</f>
        <v>Lower priority: Maps result cannot be verified without manual check</v>
      </c>
      <c r="O12" s="50" t="str">
        <f>'WhatsApp Tracker'!AC22</f>
        <v>Imported from extract_garden. Confidence: High. Direct estate number list; Generated garden export. District: Dibrugarh State: Assam; Original personal number. Phone type: . In original list: Yes</v>
      </c>
    </row>
    <row r="13" spans="1:15" ht="27" customHeight="1" x14ac:dyDescent="0.25">
      <c r="A13" s="50">
        <f>'WhatsApp Tracker'!AH26</f>
        <v>1431</v>
      </c>
      <c r="B13" s="50" t="str">
        <f>'WhatsApp Tracker'!AA26</f>
        <v>Prepare demo</v>
      </c>
      <c r="C13" s="50" t="str">
        <f>'WhatsApp Tracker'!M26</f>
        <v>Normal</v>
      </c>
      <c r="D13" s="50">
        <f>'WhatsApp Tracker'!AN26</f>
        <v>4</v>
      </c>
      <c r="E13" s="50" t="str">
        <f>'WhatsApp Tracker'!AL26</f>
        <v>Google Maps enrichment</v>
      </c>
      <c r="F13" s="50" t="str">
        <f>'WhatsApp Tracker'!B26</f>
        <v>Harishpur T.E.</v>
      </c>
      <c r="G13" s="50" t="str">
        <f>'WhatsApp Tracker'!C26</f>
        <v>Harishpur T.E.</v>
      </c>
      <c r="H13" s="74" t="str">
        <f>'WhatsApp Tracker'!D26</f>
        <v>8486071764</v>
      </c>
      <c r="I13" s="50" t="str">
        <f>'WhatsApp Tracker'!T26</f>
        <v>Read</v>
      </c>
      <c r="J13" s="50" t="str">
        <f>'WhatsApp Tracker'!U26</f>
        <v>Demo booked</v>
      </c>
      <c r="K13" s="50" t="str">
        <f>'WhatsApp Tracker'!V26</f>
        <v>Unknown</v>
      </c>
      <c r="L13" s="50" t="str">
        <f>'WhatsApp Tracker'!W26</f>
        <v>Completed</v>
      </c>
      <c r="M13" s="51" t="str">
        <f>'WhatsApp Tracker'!X26</f>
        <v/>
      </c>
      <c r="N13" s="50" t="str">
        <f>'WhatsApp Tracker'!AM26</f>
        <v>Lower priority: Maps result cannot be verified without manual check</v>
      </c>
      <c r="O13" s="50" t="str">
        <f>'WhatsApp Tracker'!AC26</f>
        <v>Imported from extract_garden. Confidence: High. Direct estate number list; Generated garden export. District: Dibrugarh State: Assam; Original personal number. Phone type: Other. In original list: Yes</v>
      </c>
    </row>
    <row r="14" spans="1:15" ht="27" customHeight="1" x14ac:dyDescent="0.25">
      <c r="A14" s="50">
        <f>'WhatsApp Tracker'!AH27</f>
        <v>4436</v>
      </c>
      <c r="B14" s="50" t="str">
        <f>'WhatsApp Tracker'!AA27</f>
        <v>Review</v>
      </c>
      <c r="C14" s="50" t="str">
        <f>'WhatsApp Tracker'!M27</f>
        <v>Normal</v>
      </c>
      <c r="D14" s="50">
        <f>'WhatsApp Tracker'!AN27</f>
        <v>4</v>
      </c>
      <c r="E14" s="50" t="str">
        <f>'WhatsApp Tracker'!AL27</f>
        <v>Google Maps enrichment</v>
      </c>
      <c r="F14" s="50" t="str">
        <f>'WhatsApp Tracker'!B27</f>
        <v>Ida T.E.</v>
      </c>
      <c r="G14" s="50" t="str">
        <f>'WhatsApp Tracker'!C27</f>
        <v>Ida T.E.</v>
      </c>
      <c r="H14" s="74" t="str">
        <f>'WhatsApp Tracker'!D27</f>
        <v>9365878796</v>
      </c>
      <c r="I14" s="50" t="str">
        <f>'WhatsApp Tracker'!T27</f>
        <v>Failed</v>
      </c>
      <c r="J14" s="50" t="str">
        <f>'WhatsApp Tracker'!U27</f>
        <v>Unknown</v>
      </c>
      <c r="K14" s="50" t="str">
        <f>'WhatsApp Tracker'!V27</f>
        <v>Unknown</v>
      </c>
      <c r="L14" s="50" t="str">
        <f>'WhatsApp Tracker'!W27</f>
        <v>Not offered</v>
      </c>
      <c r="M14" s="51" t="str">
        <f>'WhatsApp Tracker'!X27</f>
        <v/>
      </c>
      <c r="N14" s="50" t="str">
        <f>'WhatsApp Tracker'!AM27</f>
        <v>Lower priority: Maps result cannot be verified without manual check</v>
      </c>
      <c r="O14" s="50" t="str">
        <f>'WhatsApp Tracker'!AC27</f>
        <v>Imported from extract_garden. Confidence: High. Direct estate number list; Generated garden export. District: Dibrugarh State: Assam; Original personal number. Phone type: Other. In original list: Yes</v>
      </c>
    </row>
    <row r="15" spans="1:15" ht="27" customHeight="1" x14ac:dyDescent="0.25">
      <c r="A15" s="50">
        <f>'WhatsApp Tracker'!AH29</f>
        <v>4436</v>
      </c>
      <c r="B15" s="50" t="str">
        <f>'WhatsApp Tracker'!AA29</f>
        <v>Review</v>
      </c>
      <c r="C15" s="50" t="str">
        <f>'WhatsApp Tracker'!M29</f>
        <v>Normal</v>
      </c>
      <c r="D15" s="50">
        <f>'WhatsApp Tracker'!AN29</f>
        <v>4</v>
      </c>
      <c r="E15" s="50" t="str">
        <f>'WhatsApp Tracker'!AL29</f>
        <v>Google Maps enrichment</v>
      </c>
      <c r="F15" s="50" t="str">
        <f>'WhatsApp Tracker'!B29</f>
        <v>Kaliapani T.E.</v>
      </c>
      <c r="G15" s="50" t="str">
        <f>'WhatsApp Tracker'!C29</f>
        <v>Kaliapani T.E.</v>
      </c>
      <c r="H15" s="74" t="str">
        <f>'WhatsApp Tracker'!D29</f>
        <v>7002201299</v>
      </c>
      <c r="I15" s="50" t="str">
        <f>'WhatsApp Tracker'!T29</f>
        <v>Delivered</v>
      </c>
      <c r="J15" s="50" t="str">
        <f>'WhatsApp Tracker'!U29</f>
        <v>Unknown</v>
      </c>
      <c r="K15" s="50" t="str">
        <f>'WhatsApp Tracker'!V29</f>
        <v>Unknown</v>
      </c>
      <c r="L15" s="50" t="str">
        <f>'WhatsApp Tracker'!W29</f>
        <v>Not offered</v>
      </c>
      <c r="M15" s="51" t="str">
        <f>'WhatsApp Tracker'!X29</f>
        <v/>
      </c>
      <c r="N15" s="50" t="str">
        <f>'WhatsApp Tracker'!AM29</f>
        <v>Lower priority: Maps result cannot be verified without manual check</v>
      </c>
      <c r="O15" s="50" t="str">
        <f>'WhatsApp Tracker'!AC29</f>
        <v>Imported from extract_garden. Confidence: High. Direct estate number list; Generated garden export. District: Dibrugarh State: Assam; Original personal number. Phone type: . In original list: Yes</v>
      </c>
    </row>
    <row r="16" spans="1:15" ht="27" customHeight="1" x14ac:dyDescent="0.25">
      <c r="A16" s="50">
        <f>'WhatsApp Tracker'!AH30</f>
        <v>4436</v>
      </c>
      <c r="B16" s="50" t="str">
        <f>'WhatsApp Tracker'!AA30</f>
        <v>Review</v>
      </c>
      <c r="C16" s="50" t="str">
        <f>'WhatsApp Tracker'!M30</f>
        <v>Normal</v>
      </c>
      <c r="D16" s="50">
        <f>'WhatsApp Tracker'!AN30</f>
        <v>4</v>
      </c>
      <c r="E16" s="50" t="str">
        <f>'WhatsApp Tracker'!AL30</f>
        <v>Google Maps enrichment</v>
      </c>
      <c r="F16" s="50" t="str">
        <f>'WhatsApp Tracker'!B30</f>
        <v>L. K. Tea Company Pvt. Ltd.</v>
      </c>
      <c r="G16" s="50" t="str">
        <f>'WhatsApp Tracker'!C30</f>
        <v>L. K. Tea Company Pvt. Ltd.</v>
      </c>
      <c r="H16" s="74" t="str">
        <f>'WhatsApp Tracker'!D30</f>
        <v>9101799542</v>
      </c>
      <c r="I16" s="50" t="str">
        <f>'WhatsApp Tracker'!T30</f>
        <v>Sent</v>
      </c>
      <c r="J16" s="50" t="str">
        <f>'WhatsApp Tracker'!U30</f>
        <v>Unknown</v>
      </c>
      <c r="K16" s="50" t="str">
        <f>'WhatsApp Tracker'!V30</f>
        <v>Unknown</v>
      </c>
      <c r="L16" s="50" t="str">
        <f>'WhatsApp Tracker'!W30</f>
        <v>Not offered</v>
      </c>
      <c r="M16" s="51" t="str">
        <f>'WhatsApp Tracker'!X30</f>
        <v/>
      </c>
      <c r="N16" s="50" t="str">
        <f>'WhatsApp Tracker'!AM30</f>
        <v>Lower priority: Maps result cannot be verified without manual check</v>
      </c>
      <c r="O16" s="50" t="str">
        <f>'WhatsApp Tracker'!AC30</f>
        <v>Imported from extract_garden. Confidence: High. Direct estate number list; Generated garden export. District: Dibrugarh State: Assam; Original personal number. Phone type: Landline (Dibrugarh). In original list: Yes</v>
      </c>
    </row>
    <row r="17" spans="1:15" ht="27" customHeight="1" x14ac:dyDescent="0.25">
      <c r="A17" s="50">
        <f>'WhatsApp Tracker'!AH31</f>
        <v>4436</v>
      </c>
      <c r="B17" s="50" t="str">
        <f>'WhatsApp Tracker'!AA31</f>
        <v>Review</v>
      </c>
      <c r="C17" s="50" t="str">
        <f>'WhatsApp Tracker'!M31</f>
        <v>Normal</v>
      </c>
      <c r="D17" s="50">
        <f>'WhatsApp Tracker'!AN31</f>
        <v>4</v>
      </c>
      <c r="E17" s="50" t="str">
        <f>'WhatsApp Tracker'!AL31</f>
        <v>Google Maps enrichment</v>
      </c>
      <c r="F17" s="50" t="str">
        <f>'WhatsApp Tracker'!B31</f>
        <v>Madhuban T.E.</v>
      </c>
      <c r="G17" s="50" t="str">
        <f>'WhatsApp Tracker'!C31</f>
        <v>Madhuban T.E.</v>
      </c>
      <c r="H17" s="74" t="str">
        <f>'WhatsApp Tracker'!D31</f>
        <v>9707897688</v>
      </c>
      <c r="I17" s="50" t="str">
        <f>'WhatsApp Tracker'!T31</f>
        <v>Delivered</v>
      </c>
      <c r="J17" s="50" t="str">
        <f>'WhatsApp Tracker'!U31</f>
        <v>Unknown</v>
      </c>
      <c r="K17" s="50" t="str">
        <f>'WhatsApp Tracker'!V31</f>
        <v>Unknown</v>
      </c>
      <c r="L17" s="50" t="str">
        <f>'WhatsApp Tracker'!W31</f>
        <v>Not offered</v>
      </c>
      <c r="M17" s="51" t="str">
        <f>'WhatsApp Tracker'!X31</f>
        <v/>
      </c>
      <c r="N17" s="50" t="str">
        <f>'WhatsApp Tracker'!AM31</f>
        <v>Lower priority: Maps result cannot be verified without manual check</v>
      </c>
      <c r="O17" s="50" t="str">
        <f>'WhatsApp Tracker'!AC31</f>
        <v>Imported from extract_garden. Confidence: High. Direct estate number list; Generated garden export. District: Dibrugarh State: Assam; Original personal number. Phone type: Other. In original list: Yes</v>
      </c>
    </row>
    <row r="18" spans="1:15" ht="27" customHeight="1" x14ac:dyDescent="0.25">
      <c r="A18" s="50">
        <f>'WhatsApp Tracker'!AH32</f>
        <v>4436</v>
      </c>
      <c r="B18" s="50" t="str">
        <f>'WhatsApp Tracker'!AA32</f>
        <v>Review</v>
      </c>
      <c r="C18" s="50" t="str">
        <f>'WhatsApp Tracker'!M32</f>
        <v>Normal</v>
      </c>
      <c r="D18" s="50">
        <f>'WhatsApp Tracker'!AN32</f>
        <v>4</v>
      </c>
      <c r="E18" s="50" t="str">
        <f>'WhatsApp Tracker'!AL32</f>
        <v>Google Maps enrichment</v>
      </c>
      <c r="F18" s="50" t="str">
        <f>'WhatsApp Tracker'!B32</f>
        <v>Moud Tea &amp; Seed Co. Ltd.</v>
      </c>
      <c r="G18" s="50" t="str">
        <f>'WhatsApp Tracker'!C32</f>
        <v>Moud Tea &amp; Seed Co. Ltd.</v>
      </c>
      <c r="H18" s="74" t="str">
        <f>'WhatsApp Tracker'!D32</f>
        <v>9613282165</v>
      </c>
      <c r="I18" s="50" t="str">
        <f>'WhatsApp Tracker'!T32</f>
        <v>Delivered</v>
      </c>
      <c r="J18" s="50" t="str">
        <f>'WhatsApp Tracker'!U32</f>
        <v>Unknown</v>
      </c>
      <c r="K18" s="50" t="str">
        <f>'WhatsApp Tracker'!V32</f>
        <v>Unknown</v>
      </c>
      <c r="L18" s="50" t="str">
        <f>'WhatsApp Tracker'!W32</f>
        <v>Not offered</v>
      </c>
      <c r="M18" s="51" t="str">
        <f>'WhatsApp Tracker'!X32</f>
        <v/>
      </c>
      <c r="N18" s="50" t="str">
        <f>'WhatsApp Tracker'!AM32</f>
        <v>Lower priority: Maps result cannot be verified without manual check</v>
      </c>
      <c r="O18" s="50" t="str">
        <f>'WhatsApp Tracker'!AC32</f>
        <v>Imported from extract_garden. Confidence: High. Direct estate number list; Generated garden export. District: Dibrugarh State: Assam; Original personal number. Phone type: Other. In original list: Yes</v>
      </c>
    </row>
    <row r="19" spans="1:15" ht="27" customHeight="1" x14ac:dyDescent="0.25">
      <c r="A19" s="50">
        <f>'WhatsApp Tracker'!AH37</f>
        <v>4436</v>
      </c>
      <c r="B19" s="50" t="str">
        <f>'WhatsApp Tracker'!AA37</f>
        <v>Review</v>
      </c>
      <c r="C19" s="50" t="str">
        <f>'WhatsApp Tracker'!M37</f>
        <v>Normal</v>
      </c>
      <c r="D19" s="50">
        <f>'WhatsApp Tracker'!AN37</f>
        <v>4</v>
      </c>
      <c r="E19" s="50" t="str">
        <f>'WhatsApp Tracker'!AL37</f>
        <v>Google Maps enrichment</v>
      </c>
      <c r="F19" s="50" t="str">
        <f>'WhatsApp Tracker'!B37</f>
        <v>Sadasiva T.E.</v>
      </c>
      <c r="G19" s="50" t="str">
        <f>'WhatsApp Tracker'!C37</f>
        <v>Sadasiva T.E.</v>
      </c>
      <c r="H19" s="74" t="str">
        <f>'WhatsApp Tracker'!D37</f>
        <v>9435031577</v>
      </c>
      <c r="I19" s="50" t="str">
        <f>'WhatsApp Tracker'!T37</f>
        <v>Delivered</v>
      </c>
      <c r="J19" s="50" t="str">
        <f>'WhatsApp Tracker'!U37</f>
        <v>Unknown</v>
      </c>
      <c r="K19" s="50" t="str">
        <f>'WhatsApp Tracker'!V37</f>
        <v>Unknown</v>
      </c>
      <c r="L19" s="50" t="str">
        <f>'WhatsApp Tracker'!W37</f>
        <v>Not offered</v>
      </c>
      <c r="M19" s="51" t="str">
        <f>'WhatsApp Tracker'!X37</f>
        <v/>
      </c>
      <c r="N19" s="50" t="str">
        <f>'WhatsApp Tracker'!AM37</f>
        <v>Lower priority: Maps result cannot be verified without manual check</v>
      </c>
      <c r="O19" s="50" t="str">
        <f>'WhatsApp Tracker'!AC37</f>
        <v>Imported from extract_garden. Confidence: High. Direct estate number list; Generated garden export. District: Dibrugarh State: Assam; Original personal number. Phone type: Landline (Dibrugarh). In original list: Yes; Parsed from Assam Tea Directory row, verify before sending</v>
      </c>
    </row>
    <row r="20" spans="1:15" ht="67.5" customHeight="1" x14ac:dyDescent="0.25">
      <c r="A20" s="50">
        <f>'WhatsApp Tracker'!AH103</f>
        <v>3336</v>
      </c>
      <c r="B20" s="50" t="str">
        <f>'WhatsApp Tracker'!AA103</f>
        <v>Send WhatsApp</v>
      </c>
      <c r="C20" s="50" t="str">
        <f>'WhatsApp Tracker'!M103</f>
        <v>Normal</v>
      </c>
      <c r="D20" s="50">
        <f>'WhatsApp Tracker'!AN103</f>
        <v>3</v>
      </c>
      <c r="E20" s="50" t="str">
        <f>'WhatsApp Tracker'!AL103</f>
        <v>Email/telephone workbook</v>
      </c>
      <c r="F20" s="50" t="str">
        <f>'WhatsApp Tracker'!B103</f>
        <v>NEETINNAGAR</v>
      </c>
      <c r="G20" s="50" t="str">
        <f>'WhatsApp Tracker'!C103</f>
        <v>NEETINNAGAR</v>
      </c>
      <c r="H20" s="50" t="str">
        <f>'WhatsApp Tracker'!D103</f>
        <v>9435053486</v>
      </c>
      <c r="I20" s="50" t="str">
        <f>'WhatsApp Tracker'!T103</f>
        <v>Not sent</v>
      </c>
      <c r="J20" s="50" t="str">
        <f>'WhatsApp Tracker'!U103</f>
        <v>Unknown</v>
      </c>
      <c r="K20" s="50" t="str">
        <f>'WhatsApp Tracker'!V103</f>
        <v>Unknown</v>
      </c>
      <c r="L20" s="50" t="str">
        <f>'WhatsApp Tracker'!W103</f>
        <v>Not offered</v>
      </c>
      <c r="M20" s="51" t="str">
        <f>'WhatsApp Tracker'!X103</f>
        <v/>
      </c>
      <c r="N20" s="50" t="str">
        <f>'WhatsApp Tracker'!AM103</f>
        <v>Medium confidence, parsed from text block</v>
      </c>
      <c r="O20" s="50" t="str">
        <f>'WhatsApp Tracker'!AC103</f>
        <v>Imported from extract_garden. Confidence: Medium. Parsed from text block in email/telephone workbook; Parsed from Assam Tea Directory row, verify before sending</v>
      </c>
    </row>
    <row r="21" spans="1:15" ht="67.5" customHeight="1" x14ac:dyDescent="0.25">
      <c r="A21" s="50">
        <f>'WhatsApp Tracker'!AH104</f>
        <v>3336</v>
      </c>
      <c r="B21" s="50" t="str">
        <f>'WhatsApp Tracker'!AA104</f>
        <v>Send WhatsApp</v>
      </c>
      <c r="C21" s="50" t="str">
        <f>'WhatsApp Tracker'!M104</f>
        <v>Normal</v>
      </c>
      <c r="D21" s="50">
        <f>'WhatsApp Tracker'!AN104</f>
        <v>3</v>
      </c>
      <c r="E21" s="50" t="str">
        <f>'WhatsApp Tracker'!AL104</f>
        <v>Email/telephone workbook</v>
      </c>
      <c r="F21" s="50" t="str">
        <f>'WhatsApp Tracker'!B104</f>
        <v>PRABHAT</v>
      </c>
      <c r="G21" s="50" t="str">
        <f>'WhatsApp Tracker'!C104</f>
        <v>PRABHAT</v>
      </c>
      <c r="H21" s="50" t="str">
        <f>'WhatsApp Tracker'!D104</f>
        <v>9435567873</v>
      </c>
      <c r="I21" s="50" t="str">
        <f>'WhatsApp Tracker'!T104</f>
        <v>Not sent</v>
      </c>
      <c r="J21" s="50" t="str">
        <f>'WhatsApp Tracker'!U104</f>
        <v>Unknown</v>
      </c>
      <c r="K21" s="50" t="str">
        <f>'WhatsApp Tracker'!V104</f>
        <v>Unknown</v>
      </c>
      <c r="L21" s="50" t="str">
        <f>'WhatsApp Tracker'!W104</f>
        <v>Not offered</v>
      </c>
      <c r="M21" s="51" t="str">
        <f>'WhatsApp Tracker'!X104</f>
        <v/>
      </c>
      <c r="N21" s="50" t="str">
        <f>'WhatsApp Tracker'!AM104</f>
        <v>Medium confidence, parsed from text block</v>
      </c>
      <c r="O21" s="50" t="str">
        <f>'WhatsApp Tracker'!AC104</f>
        <v>Imported from extract_garden. Confidence: Medium. Parsed from text block in email/telephone workbook; Parsed from Assam Tea Directory row, verify before sending</v>
      </c>
    </row>
    <row r="22" spans="1:15" ht="67.5" customHeight="1" x14ac:dyDescent="0.25">
      <c r="A22" s="50">
        <f>'WhatsApp Tracker'!AH105</f>
        <v>3336</v>
      </c>
      <c r="B22" s="50" t="str">
        <f>'WhatsApp Tracker'!AA105</f>
        <v>Send WhatsApp</v>
      </c>
      <c r="C22" s="50" t="str">
        <f>'WhatsApp Tracker'!M105</f>
        <v>Normal</v>
      </c>
      <c r="D22" s="50">
        <f>'WhatsApp Tracker'!AN105</f>
        <v>3</v>
      </c>
      <c r="E22" s="50" t="str">
        <f>'WhatsApp Tracker'!AL105</f>
        <v>Email/telephone workbook</v>
      </c>
      <c r="F22" s="50" t="str">
        <f>'WhatsApp Tracker'!B105</f>
        <v>PRABHAT</v>
      </c>
      <c r="G22" s="50" t="str">
        <f>'WhatsApp Tracker'!C105</f>
        <v>PRABHAT</v>
      </c>
      <c r="H22" s="50" t="str">
        <f>'WhatsApp Tracker'!D105</f>
        <v>9831090900</v>
      </c>
      <c r="I22" s="50" t="str">
        <f>'WhatsApp Tracker'!T105</f>
        <v>Not sent</v>
      </c>
      <c r="J22" s="50" t="str">
        <f>'WhatsApp Tracker'!U105</f>
        <v>Unknown</v>
      </c>
      <c r="K22" s="50" t="str">
        <f>'WhatsApp Tracker'!V105</f>
        <v>Unknown</v>
      </c>
      <c r="L22" s="50" t="str">
        <f>'WhatsApp Tracker'!W105</f>
        <v>Not offered</v>
      </c>
      <c r="M22" s="51" t="str">
        <f>'WhatsApp Tracker'!X105</f>
        <v/>
      </c>
      <c r="N22" s="50" t="str">
        <f>'WhatsApp Tracker'!AM105</f>
        <v>Medium confidence, parsed from text block</v>
      </c>
      <c r="O22" s="50" t="str">
        <f>'WhatsApp Tracker'!AC105</f>
        <v>Imported from extract_garden. Confidence: Medium. Parsed from text block in email/telephone workbook; Parsed from Assam Tea Directory row, verify before sending</v>
      </c>
    </row>
    <row r="23" spans="1:15" ht="67.5" customHeight="1" x14ac:dyDescent="0.25">
      <c r="A23" s="50">
        <f>'WhatsApp Tracker'!AH106</f>
        <v>3336</v>
      </c>
      <c r="B23" s="50" t="str">
        <f>'WhatsApp Tracker'!AA106</f>
        <v>Send WhatsApp</v>
      </c>
      <c r="C23" s="50" t="str">
        <f>'WhatsApp Tracker'!M106</f>
        <v>Normal</v>
      </c>
      <c r="D23" s="50">
        <f>'WhatsApp Tracker'!AN106</f>
        <v>3</v>
      </c>
      <c r="E23" s="50" t="str">
        <f>'WhatsApp Tracker'!AL106</f>
        <v>Email/telephone workbook</v>
      </c>
      <c r="F23" s="50" t="str">
        <f>'WhatsApp Tracker'!B106</f>
        <v>SOTAI</v>
      </c>
      <c r="G23" s="50" t="str">
        <f>'WhatsApp Tracker'!C106</f>
        <v>SOTAI</v>
      </c>
      <c r="H23" s="50" t="str">
        <f>'WhatsApp Tracker'!D106</f>
        <v>9864049079</v>
      </c>
      <c r="I23" s="50" t="str">
        <f>'WhatsApp Tracker'!T106</f>
        <v>Not sent</v>
      </c>
      <c r="J23" s="50" t="str">
        <f>'WhatsApp Tracker'!U106</f>
        <v>Unknown</v>
      </c>
      <c r="K23" s="50" t="str">
        <f>'WhatsApp Tracker'!V106</f>
        <v>Unknown</v>
      </c>
      <c r="L23" s="50" t="str">
        <f>'WhatsApp Tracker'!W106</f>
        <v>Not offered</v>
      </c>
      <c r="M23" s="51" t="str">
        <f>'WhatsApp Tracker'!X106</f>
        <v/>
      </c>
      <c r="N23" s="50" t="str">
        <f>'WhatsApp Tracker'!AM106</f>
        <v>Medium confidence, parsed from text block</v>
      </c>
      <c r="O23" s="50" t="str">
        <f>'WhatsApp Tracker'!AC106</f>
        <v>Imported from extract_garden. Confidence: Medium. Parsed from text block in email/telephone workbook; Parsed from Assam Tea Directory row, verify before sending</v>
      </c>
    </row>
    <row r="24" spans="1:15" ht="67.5" customHeight="1" x14ac:dyDescent="0.25">
      <c r="A24" s="50">
        <f>'WhatsApp Tracker'!AH107</f>
        <v>3336</v>
      </c>
      <c r="B24" s="50" t="str">
        <f>'WhatsApp Tracker'!AA107</f>
        <v>Send WhatsApp</v>
      </c>
      <c r="C24" s="50" t="str">
        <f>'WhatsApp Tracker'!M107</f>
        <v>Normal</v>
      </c>
      <c r="D24" s="50">
        <f>'WhatsApp Tracker'!AN107</f>
        <v>3</v>
      </c>
      <c r="E24" s="50" t="str">
        <f>'WhatsApp Tracker'!AL107</f>
        <v>Email/telephone workbook</v>
      </c>
      <c r="F24" s="50" t="str">
        <f>'WhatsApp Tracker'!B107</f>
        <v>DALOWJAN</v>
      </c>
      <c r="G24" s="50" t="str">
        <f>'WhatsApp Tracker'!C107</f>
        <v>DALOWJAN</v>
      </c>
      <c r="H24" s="50" t="str">
        <f>'WhatsApp Tracker'!D107</f>
        <v>9435515703</v>
      </c>
      <c r="I24" s="50" t="str">
        <f>'WhatsApp Tracker'!T107</f>
        <v>Not sent</v>
      </c>
      <c r="J24" s="50" t="str">
        <f>'WhatsApp Tracker'!U107</f>
        <v>Unknown</v>
      </c>
      <c r="K24" s="50" t="str">
        <f>'WhatsApp Tracker'!V107</f>
        <v>Unknown</v>
      </c>
      <c r="L24" s="50" t="str">
        <f>'WhatsApp Tracker'!W107</f>
        <v>Not offered</v>
      </c>
      <c r="M24" s="51" t="str">
        <f>'WhatsApp Tracker'!X107</f>
        <v/>
      </c>
      <c r="N24" s="50" t="str">
        <f>'WhatsApp Tracker'!AM107</f>
        <v>Medium confidence, parsed from text block</v>
      </c>
      <c r="O24" s="50" t="str">
        <f>'WhatsApp Tracker'!AC107</f>
        <v>Imported from extract_garden. Confidence: Medium. Parsed from text block in email/telephone workbook; Parsed from Assam Tea Directory row, verify before sending</v>
      </c>
    </row>
    <row r="25" spans="1:15" ht="67.5" customHeight="1" x14ac:dyDescent="0.25">
      <c r="A25" s="50">
        <f>'WhatsApp Tracker'!AH108</f>
        <v>3336</v>
      </c>
      <c r="B25" s="50" t="str">
        <f>'WhatsApp Tracker'!AA108</f>
        <v>Send WhatsApp</v>
      </c>
      <c r="C25" s="50" t="str">
        <f>'WhatsApp Tracker'!M108</f>
        <v>Normal</v>
      </c>
      <c r="D25" s="50">
        <f>'WhatsApp Tracker'!AN108</f>
        <v>3</v>
      </c>
      <c r="E25" s="50" t="str">
        <f>'WhatsApp Tracker'!AL108</f>
        <v>Email/telephone workbook</v>
      </c>
      <c r="F25" s="50" t="str">
        <f>'WhatsApp Tracker'!B108</f>
        <v>GREEN VIEW</v>
      </c>
      <c r="G25" s="50" t="str">
        <f>'WhatsApp Tracker'!C108</f>
        <v>GREEN VIEW</v>
      </c>
      <c r="H25" s="50" t="str">
        <f>'WhatsApp Tracker'!D108</f>
        <v>9678053864</v>
      </c>
      <c r="I25" s="50" t="str">
        <f>'WhatsApp Tracker'!T108</f>
        <v>Not sent</v>
      </c>
      <c r="J25" s="50" t="str">
        <f>'WhatsApp Tracker'!U108</f>
        <v>Unknown</v>
      </c>
      <c r="K25" s="50" t="str">
        <f>'WhatsApp Tracker'!V108</f>
        <v>Unknown</v>
      </c>
      <c r="L25" s="50" t="str">
        <f>'WhatsApp Tracker'!W108</f>
        <v>Not offered</v>
      </c>
      <c r="M25" s="51" t="str">
        <f>'WhatsApp Tracker'!X108</f>
        <v/>
      </c>
      <c r="N25" s="50" t="str">
        <f>'WhatsApp Tracker'!AM108</f>
        <v>Medium confidence, parsed from text block</v>
      </c>
      <c r="O25" s="50" t="str">
        <f>'WhatsApp Tracker'!AC108</f>
        <v>Imported from extract_garden. Confidence: Medium. Parsed from text block in email/telephone workbook; Parsed from Assam Tea Directory row, verify before sending</v>
      </c>
    </row>
    <row r="26" spans="1:15" ht="67.5" customHeight="1" x14ac:dyDescent="0.25">
      <c r="A26" s="50">
        <f>'WhatsApp Tracker'!AH109</f>
        <v>3336</v>
      </c>
      <c r="B26" s="50" t="str">
        <f>'WhatsApp Tracker'!AA109</f>
        <v>Send WhatsApp</v>
      </c>
      <c r="C26" s="50" t="str">
        <f>'WhatsApp Tracker'!M109</f>
        <v>Normal</v>
      </c>
      <c r="D26" s="50">
        <f>'WhatsApp Tracker'!AN109</f>
        <v>3</v>
      </c>
      <c r="E26" s="50" t="str">
        <f>'WhatsApp Tracker'!AL109</f>
        <v>Email/telephone workbook</v>
      </c>
      <c r="F26" s="50" t="str">
        <f>'WhatsApp Tracker'!B109</f>
        <v>GREEN VIEW</v>
      </c>
      <c r="G26" s="50" t="str">
        <f>'WhatsApp Tracker'!C109</f>
        <v>GREEN VIEW</v>
      </c>
      <c r="H26" s="50" t="str">
        <f>'WhatsApp Tracker'!D109</f>
        <v>9678053082</v>
      </c>
      <c r="I26" s="50" t="str">
        <f>'WhatsApp Tracker'!T109</f>
        <v>Not sent</v>
      </c>
      <c r="J26" s="50" t="str">
        <f>'WhatsApp Tracker'!U109</f>
        <v>Unknown</v>
      </c>
      <c r="K26" s="50" t="str">
        <f>'WhatsApp Tracker'!V109</f>
        <v>Unknown</v>
      </c>
      <c r="L26" s="50" t="str">
        <f>'WhatsApp Tracker'!W109</f>
        <v>Not offered</v>
      </c>
      <c r="M26" s="51" t="str">
        <f>'WhatsApp Tracker'!X109</f>
        <v/>
      </c>
      <c r="N26" s="50" t="str">
        <f>'WhatsApp Tracker'!AM109</f>
        <v>Medium confidence, parsed from text block</v>
      </c>
      <c r="O26" s="50" t="str">
        <f>'WhatsApp Tracker'!AC109</f>
        <v>Imported from extract_garden. Confidence: Medium. Parsed from text block in email/telephone workbook; Parsed from Assam Tea Directory row, verify before sending</v>
      </c>
    </row>
    <row r="27" spans="1:15" ht="67.5" customHeight="1" x14ac:dyDescent="0.25">
      <c r="A27" s="50">
        <f>'WhatsApp Tracker'!AH110</f>
        <v>3336</v>
      </c>
      <c r="B27" s="50" t="str">
        <f>'WhatsApp Tracker'!AA110</f>
        <v>Send WhatsApp</v>
      </c>
      <c r="C27" s="50" t="str">
        <f>'WhatsApp Tracker'!M110</f>
        <v>Normal</v>
      </c>
      <c r="D27" s="50">
        <f>'WhatsApp Tracker'!AN110</f>
        <v>3</v>
      </c>
      <c r="E27" s="50" t="str">
        <f>'WhatsApp Tracker'!AL110</f>
        <v>Email/telephone workbook</v>
      </c>
      <c r="F27" s="50" t="str">
        <f>'WhatsApp Tracker'!B110</f>
        <v>HARISHPUR</v>
      </c>
      <c r="G27" s="50" t="str">
        <f>'WhatsApp Tracker'!C110</f>
        <v>HARISHPUR</v>
      </c>
      <c r="H27" s="50" t="str">
        <f>'WhatsApp Tracker'!D110</f>
        <v>9435030713</v>
      </c>
      <c r="I27" s="50" t="str">
        <f>'WhatsApp Tracker'!T110</f>
        <v>Not sent</v>
      </c>
      <c r="J27" s="50" t="str">
        <f>'WhatsApp Tracker'!U110</f>
        <v>Unknown</v>
      </c>
      <c r="K27" s="50" t="str">
        <f>'WhatsApp Tracker'!V110</f>
        <v>Unknown</v>
      </c>
      <c r="L27" s="50" t="str">
        <f>'WhatsApp Tracker'!W110</f>
        <v>Not offered</v>
      </c>
      <c r="M27" s="51" t="str">
        <f>'WhatsApp Tracker'!X110</f>
        <v/>
      </c>
      <c r="N27" s="50" t="str">
        <f>'WhatsApp Tracker'!AM110</f>
        <v>Medium confidence, parsed from text block</v>
      </c>
      <c r="O27" s="50" t="str">
        <f>'WhatsApp Tracker'!AC110</f>
        <v>Imported from extract_garden. Confidence: Medium. Parsed from text block in email/telephone workbook; Parsed from Assam Tea Directory row, verify before sending</v>
      </c>
    </row>
    <row r="28" spans="1:15" ht="67.5" customHeight="1" x14ac:dyDescent="0.25">
      <c r="A28" s="50">
        <f>'WhatsApp Tracker'!AH111</f>
        <v>3336</v>
      </c>
      <c r="B28" s="50" t="str">
        <f>'WhatsApp Tracker'!AA111</f>
        <v>Send WhatsApp</v>
      </c>
      <c r="C28" s="50" t="str">
        <f>'WhatsApp Tracker'!M111</f>
        <v>Normal</v>
      </c>
      <c r="D28" s="50">
        <f>'WhatsApp Tracker'!AN111</f>
        <v>3</v>
      </c>
      <c r="E28" s="50" t="str">
        <f>'WhatsApp Tracker'!AL111</f>
        <v>Email/telephone workbook</v>
      </c>
      <c r="F28" s="50" t="str">
        <f>'WhatsApp Tracker'!B111</f>
        <v>MOTHOLA</v>
      </c>
      <c r="G28" s="50" t="str">
        <f>'WhatsApp Tracker'!C111</f>
        <v>MOTHOLA</v>
      </c>
      <c r="H28" s="50" t="str">
        <f>'WhatsApp Tracker'!D111</f>
        <v>9435032117</v>
      </c>
      <c r="I28" s="50" t="str">
        <f>'WhatsApp Tracker'!T111</f>
        <v>Not sent</v>
      </c>
      <c r="J28" s="50" t="str">
        <f>'WhatsApp Tracker'!U111</f>
        <v>Unknown</v>
      </c>
      <c r="K28" s="50" t="str">
        <f>'WhatsApp Tracker'!V111</f>
        <v>Unknown</v>
      </c>
      <c r="L28" s="50" t="str">
        <f>'WhatsApp Tracker'!W111</f>
        <v>Not offered</v>
      </c>
      <c r="M28" s="51" t="str">
        <f>'WhatsApp Tracker'!X111</f>
        <v/>
      </c>
      <c r="N28" s="50" t="str">
        <f>'WhatsApp Tracker'!AM111</f>
        <v>Medium confidence, parsed from text block</v>
      </c>
      <c r="O28" s="50" t="str">
        <f>'WhatsApp Tracker'!AC111</f>
        <v>Imported from extract_garden. Confidence: Medium. Parsed from text block in email/telephone workbook; Parsed from Assam Tea Directory row, verify before sending</v>
      </c>
    </row>
    <row r="29" spans="1:15" ht="67.5" customHeight="1" x14ac:dyDescent="0.25">
      <c r="A29" s="50">
        <f>'WhatsApp Tracker'!AH112</f>
        <v>3336</v>
      </c>
      <c r="B29" s="50" t="str">
        <f>'WhatsApp Tracker'!AA112</f>
        <v>Send WhatsApp</v>
      </c>
      <c r="C29" s="50" t="str">
        <f>'WhatsApp Tracker'!M112</f>
        <v>Normal</v>
      </c>
      <c r="D29" s="50">
        <f>'WhatsApp Tracker'!AN112</f>
        <v>3</v>
      </c>
      <c r="E29" s="50" t="str">
        <f>'WhatsApp Tracker'!AL112</f>
        <v>Email/telephone workbook</v>
      </c>
      <c r="F29" s="50" t="str">
        <f>'WhatsApp Tracker'!B112</f>
        <v>RADHABARI</v>
      </c>
      <c r="G29" s="50" t="str">
        <f>'WhatsApp Tracker'!C112</f>
        <v>RADHABARI</v>
      </c>
      <c r="H29" s="50" t="str">
        <f>'WhatsApp Tracker'!D112</f>
        <v>9954471732</v>
      </c>
      <c r="I29" s="50" t="str">
        <f>'WhatsApp Tracker'!T112</f>
        <v>Not sent</v>
      </c>
      <c r="J29" s="50" t="str">
        <f>'WhatsApp Tracker'!U112</f>
        <v>Unknown</v>
      </c>
      <c r="K29" s="50" t="str">
        <f>'WhatsApp Tracker'!V112</f>
        <v>Unknown</v>
      </c>
      <c r="L29" s="50" t="str">
        <f>'WhatsApp Tracker'!W112</f>
        <v>Not offered</v>
      </c>
      <c r="M29" s="51" t="str">
        <f>'WhatsApp Tracker'!X112</f>
        <v/>
      </c>
      <c r="N29" s="50" t="str">
        <f>'WhatsApp Tracker'!AM112</f>
        <v>Medium confidence, parsed from text block</v>
      </c>
      <c r="O29" s="50" t="str">
        <f>'WhatsApp Tracker'!AC112</f>
        <v>Imported from extract_garden. Confidence: Medium. Parsed from text block in email/telephone workbook; Parsed from Assam Tea Directory row, verify before sending</v>
      </c>
    </row>
    <row r="30" spans="1:15" ht="67.5" customHeight="1" x14ac:dyDescent="0.25">
      <c r="A30" s="50">
        <f>'WhatsApp Tracker'!AH113</f>
        <v>3336</v>
      </c>
      <c r="B30" s="50" t="str">
        <f>'WhatsApp Tracker'!AA113</f>
        <v>Send WhatsApp</v>
      </c>
      <c r="C30" s="50" t="str">
        <f>'WhatsApp Tracker'!M113</f>
        <v>Normal</v>
      </c>
      <c r="D30" s="50">
        <f>'WhatsApp Tracker'!AN113</f>
        <v>3</v>
      </c>
      <c r="E30" s="50" t="str">
        <f>'WhatsApp Tracker'!AL113</f>
        <v>Email/telephone workbook</v>
      </c>
      <c r="F30" s="50" t="str">
        <f>'WhatsApp Tracker'!B113</f>
        <v>RADHABARI</v>
      </c>
      <c r="G30" s="50" t="str">
        <f>'WhatsApp Tracker'!C113</f>
        <v>RADHABARI</v>
      </c>
      <c r="H30" s="50" t="str">
        <f>'WhatsApp Tracker'!D113</f>
        <v>9435052701</v>
      </c>
      <c r="I30" s="50" t="str">
        <f>'WhatsApp Tracker'!T113</f>
        <v>Not sent</v>
      </c>
      <c r="J30" s="50" t="str">
        <f>'WhatsApp Tracker'!U113</f>
        <v>Unknown</v>
      </c>
      <c r="K30" s="50" t="str">
        <f>'WhatsApp Tracker'!V113</f>
        <v>Unknown</v>
      </c>
      <c r="L30" s="50" t="str">
        <f>'WhatsApp Tracker'!W113</f>
        <v>Not offered</v>
      </c>
      <c r="M30" s="51" t="str">
        <f>'WhatsApp Tracker'!X113</f>
        <v/>
      </c>
      <c r="N30" s="50" t="str">
        <f>'WhatsApp Tracker'!AM113</f>
        <v>Medium confidence, parsed from text block</v>
      </c>
      <c r="O30" s="50" t="str">
        <f>'WhatsApp Tracker'!AC113</f>
        <v>Imported from extract_garden. Confidence: Medium. Parsed from text block in email/telephone workbook; Parsed from Assam Tea Directory row, verify before sending</v>
      </c>
    </row>
    <row r="31" spans="1:15" ht="67.5" customHeight="1" x14ac:dyDescent="0.25">
      <c r="A31" s="50">
        <f>'WhatsApp Tracker'!AH114</f>
        <v>3336</v>
      </c>
      <c r="B31" s="50" t="str">
        <f>'WhatsApp Tracker'!AA114</f>
        <v>Send WhatsApp</v>
      </c>
      <c r="C31" s="50" t="str">
        <f>'WhatsApp Tracker'!M114</f>
        <v>Normal</v>
      </c>
      <c r="D31" s="50">
        <f>'WhatsApp Tracker'!AN114</f>
        <v>3</v>
      </c>
      <c r="E31" s="50" t="str">
        <f>'WhatsApp Tracker'!AL114</f>
        <v>Email/telephone workbook</v>
      </c>
      <c r="F31" s="50" t="str">
        <f>'WhatsApp Tracker'!B114</f>
        <v>SONARIE</v>
      </c>
      <c r="G31" s="50" t="str">
        <f>'WhatsApp Tracker'!C114</f>
        <v>SONARIE</v>
      </c>
      <c r="H31" s="50" t="str">
        <f>'WhatsApp Tracker'!D114</f>
        <v>9954526126</v>
      </c>
      <c r="I31" s="50" t="str">
        <f>'WhatsApp Tracker'!T114</f>
        <v>Not sent</v>
      </c>
      <c r="J31" s="50" t="str">
        <f>'WhatsApp Tracker'!U114</f>
        <v>Unknown</v>
      </c>
      <c r="K31" s="50" t="str">
        <f>'WhatsApp Tracker'!V114</f>
        <v>Unknown</v>
      </c>
      <c r="L31" s="50" t="str">
        <f>'WhatsApp Tracker'!W114</f>
        <v>Not offered</v>
      </c>
      <c r="M31" s="51" t="str">
        <f>'WhatsApp Tracker'!X114</f>
        <v/>
      </c>
      <c r="N31" s="50" t="str">
        <f>'WhatsApp Tracker'!AM114</f>
        <v>Medium confidence, parsed from text block</v>
      </c>
      <c r="O31" s="50" t="str">
        <f>'WhatsApp Tracker'!AC114</f>
        <v>Imported from extract_garden. Confidence: Medium. Parsed from text block in email/telephone workbook; Parsed from Assam Tea Directory row, verify before sending</v>
      </c>
    </row>
    <row r="32" spans="1:15" ht="67.5" customHeight="1" x14ac:dyDescent="0.25">
      <c r="A32" s="50">
        <f>'WhatsApp Tracker'!AH115</f>
        <v>3336</v>
      </c>
      <c r="B32" s="50" t="str">
        <f>'WhatsApp Tracker'!AA115</f>
        <v>Send WhatsApp</v>
      </c>
      <c r="C32" s="50" t="str">
        <f>'WhatsApp Tracker'!M115</f>
        <v>Normal</v>
      </c>
      <c r="D32" s="50">
        <f>'WhatsApp Tracker'!AN115</f>
        <v>3</v>
      </c>
      <c r="E32" s="50" t="str">
        <f>'WhatsApp Tracker'!AL115</f>
        <v>Email/telephone workbook</v>
      </c>
      <c r="F32" s="50" t="str">
        <f>'WhatsApp Tracker'!B115</f>
        <v>SONARIE</v>
      </c>
      <c r="G32" s="50" t="str">
        <f>'WhatsApp Tracker'!C115</f>
        <v>SONARIE</v>
      </c>
      <c r="H32" s="50" t="str">
        <f>'WhatsApp Tracker'!D115</f>
        <v>9707015809</v>
      </c>
      <c r="I32" s="50" t="str">
        <f>'WhatsApp Tracker'!T115</f>
        <v>Not sent</v>
      </c>
      <c r="J32" s="50" t="str">
        <f>'WhatsApp Tracker'!U115</f>
        <v>Unknown</v>
      </c>
      <c r="K32" s="50" t="str">
        <f>'WhatsApp Tracker'!V115</f>
        <v>Unknown</v>
      </c>
      <c r="L32" s="50" t="str">
        <f>'WhatsApp Tracker'!W115</f>
        <v>Not offered</v>
      </c>
      <c r="M32" s="51" t="str">
        <f>'WhatsApp Tracker'!X115</f>
        <v/>
      </c>
      <c r="N32" s="50" t="str">
        <f>'WhatsApp Tracker'!AM115</f>
        <v>Medium confidence, parsed from text block</v>
      </c>
      <c r="O32" s="50" t="str">
        <f>'WhatsApp Tracker'!AC115</f>
        <v>Imported from extract_garden. Confidence: Medium. Parsed from text block in email/telephone workbook; Parsed from Assam Tea Directory row, verify before sending</v>
      </c>
    </row>
    <row r="33" spans="1:15" ht="67.5" customHeight="1" x14ac:dyDescent="0.25">
      <c r="A33" s="50">
        <f>'WhatsApp Tracker'!AH116</f>
        <v>9596</v>
      </c>
      <c r="B33" s="50" t="str">
        <f>'WhatsApp Tracker'!AA116</f>
        <v>Do not send</v>
      </c>
      <c r="C33" s="50" t="str">
        <f>'WhatsApp Tracker'!M116</f>
        <v>Hold</v>
      </c>
      <c r="D33" s="50">
        <f>'WhatsApp Tracker'!AN116</f>
        <v>5</v>
      </c>
      <c r="E33" s="50" t="str">
        <f>'WhatsApp Tracker'!AL116</f>
        <v>Parsed directory row</v>
      </c>
      <c r="F33" s="50" t="str">
        <f>'WhatsApp Tracker'!B116</f>
        <v>1</v>
      </c>
      <c r="G33" s="50" t="str">
        <f>'WhatsApp Tracker'!C116</f>
        <v>1</v>
      </c>
      <c r="H33" s="50" t="str">
        <f>'WhatsApp Tracker'!D116</f>
        <v>9508382398</v>
      </c>
      <c r="I33" s="50" t="str">
        <f>'WhatsApp Tracker'!T116</f>
        <v>Not sent</v>
      </c>
      <c r="J33" s="50" t="str">
        <f>'WhatsApp Tracker'!U116</f>
        <v>Unknown</v>
      </c>
      <c r="K33" s="50" t="str">
        <f>'WhatsApp Tracker'!V116</f>
        <v>Unknown</v>
      </c>
      <c r="L33" s="50" t="str">
        <f>'WhatsApp Tracker'!W116</f>
        <v>Not offered</v>
      </c>
      <c r="M33" s="51" t="str">
        <f>'WhatsApp Tracker'!X116</f>
        <v/>
      </c>
      <c r="N33" s="50" t="str">
        <f>'WhatsApp Tracker'!AM116</f>
        <v>Low confidence: verify before sending</v>
      </c>
      <c r="O33" s="50" t="str">
        <f>'WhatsApp Tracker'!AC116</f>
        <v>Imported from extract_garden. Confidence: Low. Parsed from Assam Tea Directory row, verify before sending</v>
      </c>
    </row>
    <row r="34" spans="1:15" ht="67.5" customHeight="1" x14ac:dyDescent="0.25">
      <c r="A34" s="50">
        <f>'WhatsApp Tracker'!AH117</f>
        <v>9596</v>
      </c>
      <c r="B34" s="50" t="str">
        <f>'WhatsApp Tracker'!AA117</f>
        <v>Do not send</v>
      </c>
      <c r="C34" s="50" t="str">
        <f>'WhatsApp Tracker'!M117</f>
        <v>Hold</v>
      </c>
      <c r="D34" s="50">
        <f>'WhatsApp Tracker'!AN117</f>
        <v>5</v>
      </c>
      <c r="E34" s="50" t="str">
        <f>'WhatsApp Tracker'!AL117</f>
        <v>Parsed directory row</v>
      </c>
      <c r="F34" s="50" t="str">
        <f>'WhatsApp Tracker'!B117</f>
        <v>1</v>
      </c>
      <c r="G34" s="50" t="str">
        <f>'WhatsApp Tracker'!C117</f>
        <v>1</v>
      </c>
      <c r="H34" s="50" t="str">
        <f>'WhatsApp Tracker'!D117</f>
        <v>9435053511</v>
      </c>
      <c r="I34" s="50" t="str">
        <f>'WhatsApp Tracker'!T117</f>
        <v>Not sent</v>
      </c>
      <c r="J34" s="50" t="str">
        <f>'WhatsApp Tracker'!U117</f>
        <v>Unknown</v>
      </c>
      <c r="K34" s="50" t="str">
        <f>'WhatsApp Tracker'!V117</f>
        <v>Unknown</v>
      </c>
      <c r="L34" s="50" t="str">
        <f>'WhatsApp Tracker'!W117</f>
        <v>Not offered</v>
      </c>
      <c r="M34" s="51" t="str">
        <f>'WhatsApp Tracker'!X117</f>
        <v/>
      </c>
      <c r="N34" s="50" t="str">
        <f>'WhatsApp Tracker'!AM117</f>
        <v>Low confidence: verify before sending</v>
      </c>
      <c r="O34" s="50" t="str">
        <f>'WhatsApp Tracker'!AC117</f>
        <v>Imported from extract_garden. Confidence: Low. Parsed from Assam Tea Directory row, verify before sending</v>
      </c>
    </row>
    <row r="35" spans="1:15" ht="67.5" customHeight="1" x14ac:dyDescent="0.25">
      <c r="A35" s="50">
        <f>'WhatsApp Tracker'!AH118</f>
        <v>9596</v>
      </c>
      <c r="B35" s="50" t="str">
        <f>'WhatsApp Tracker'!AA118</f>
        <v>Do not send</v>
      </c>
      <c r="C35" s="50" t="str">
        <f>'WhatsApp Tracker'!M118</f>
        <v>Hold</v>
      </c>
      <c r="D35" s="50">
        <f>'WhatsApp Tracker'!AN118</f>
        <v>5</v>
      </c>
      <c r="E35" s="50" t="str">
        <f>'WhatsApp Tracker'!AL118</f>
        <v>Parsed directory row</v>
      </c>
      <c r="F35" s="50" t="str">
        <f>'WhatsApp Tracker'!B118</f>
        <v>Sl. Name of the Estate, and Address Regd. No. Status of the Total area Area unde</v>
      </c>
      <c r="G35" s="50" t="str">
        <f>'WhatsApp Tracker'!C118</f>
        <v>Sl. Name of the Estate, and Address Regd. No. Status of the Total area Area unde</v>
      </c>
      <c r="H35" s="50" t="str">
        <f>'WhatsApp Tracker'!D118</f>
        <v>9957172140</v>
      </c>
      <c r="I35" s="50" t="str">
        <f>'WhatsApp Tracker'!T118</f>
        <v>Not sent</v>
      </c>
      <c r="J35" s="50" t="str">
        <f>'WhatsApp Tracker'!U118</f>
        <v>Unknown</v>
      </c>
      <c r="K35" s="50" t="str">
        <f>'WhatsApp Tracker'!V118</f>
        <v>Unknown</v>
      </c>
      <c r="L35" s="50" t="str">
        <f>'WhatsApp Tracker'!W118</f>
        <v>Not offered</v>
      </c>
      <c r="M35" s="51" t="str">
        <f>'WhatsApp Tracker'!X118</f>
        <v/>
      </c>
      <c r="N35" s="50" t="str">
        <f>'WhatsApp Tracker'!AM118</f>
        <v>Low confidence: verify before sending</v>
      </c>
      <c r="O35" s="50" t="str">
        <f>'WhatsApp Tracker'!AC118</f>
        <v>Imported from extract_garden. Confidence: Low. Parsed from Assam Tea Directory row, verify before sending</v>
      </c>
    </row>
    <row r="36" spans="1:15" ht="67.5" customHeight="1" x14ac:dyDescent="0.25">
      <c r="A36" s="50">
        <f>'WhatsApp Tracker'!AH119</f>
        <v>9596</v>
      </c>
      <c r="B36" s="50" t="str">
        <f>'WhatsApp Tracker'!AA119</f>
        <v>Do not send</v>
      </c>
      <c r="C36" s="50" t="str">
        <f>'WhatsApp Tracker'!M119</f>
        <v>Hold</v>
      </c>
      <c r="D36" s="50">
        <f>'WhatsApp Tracker'!AN119</f>
        <v>5</v>
      </c>
      <c r="E36" s="50" t="str">
        <f>'WhatsApp Tracker'!AL119</f>
        <v>Parsed directory row</v>
      </c>
      <c r="F36" s="50" t="str">
        <f>'WhatsApp Tracker'!B119</f>
        <v>(grant area) reported by 2010 as during 2010</v>
      </c>
      <c r="G36" s="50" t="str">
        <f>'WhatsApp Tracker'!C119</f>
        <v>(grant area) reported by 2010 as during 2010</v>
      </c>
      <c r="H36" s="50" t="str">
        <f>'WhatsApp Tracker'!D119</f>
        <v>9859939161</v>
      </c>
      <c r="I36" s="50" t="str">
        <f>'WhatsApp Tracker'!T119</f>
        <v>Not sent</v>
      </c>
      <c r="J36" s="50" t="str">
        <f>'WhatsApp Tracker'!U119</f>
        <v>Unknown</v>
      </c>
      <c r="K36" s="50" t="str">
        <f>'WhatsApp Tracker'!V119</f>
        <v>Unknown</v>
      </c>
      <c r="L36" s="50" t="str">
        <f>'WhatsApp Tracker'!W119</f>
        <v>Not offered</v>
      </c>
      <c r="M36" s="51" t="str">
        <f>'WhatsApp Tracker'!X119</f>
        <v/>
      </c>
      <c r="N36" s="50" t="str">
        <f>'WhatsApp Tracker'!AM119</f>
        <v>Low confidence: verify before sending</v>
      </c>
      <c r="O36" s="50" t="str">
        <f>'WhatsApp Tracker'!AC119</f>
        <v>Imported from extract_garden. Confidence: Low. Parsed from Assam Tea Directory row, verify before sending</v>
      </c>
    </row>
    <row r="37" spans="1:15" ht="67.5" customHeight="1" x14ac:dyDescent="0.25">
      <c r="A37" s="50">
        <f>'WhatsApp Tracker'!AH120</f>
        <v>9596</v>
      </c>
      <c r="B37" s="50" t="str">
        <f>'WhatsApp Tracker'!AA120</f>
        <v>Do not send</v>
      </c>
      <c r="C37" s="50" t="str">
        <f>'WhatsApp Tracker'!M120</f>
        <v>Hold</v>
      </c>
      <c r="D37" s="50">
        <f>'WhatsApp Tracker'!AN120</f>
        <v>5</v>
      </c>
      <c r="E37" s="50" t="str">
        <f>'WhatsApp Tracker'!AL120</f>
        <v>Parsed directory row</v>
      </c>
      <c r="F37" s="50" t="str">
        <f>'WhatsApp Tracker'!B120</f>
        <v>2 ASHOOBAG* 2723 Partnership 11.64 11.56 35202 0 ITA SUBHASH KUMAR BHARTIA SUBHA</v>
      </c>
      <c r="G37" s="50" t="str">
        <f>'WhatsApp Tracker'!C120</f>
        <v>2 ASHOOBAG* 2723 Partnership 11.64 11.56 35202 0 ITA SUBHASH KUMAR BHARTIA SUBHA</v>
      </c>
      <c r="H37" s="50" t="str">
        <f>'WhatsApp Tracker'!D120</f>
        <v>9678001792</v>
      </c>
      <c r="I37" s="50" t="str">
        <f>'WhatsApp Tracker'!T120</f>
        <v>Not sent</v>
      </c>
      <c r="J37" s="50" t="str">
        <f>'WhatsApp Tracker'!U120</f>
        <v>Unknown</v>
      </c>
      <c r="K37" s="50" t="str">
        <f>'WhatsApp Tracker'!V120</f>
        <v>Unknown</v>
      </c>
      <c r="L37" s="50" t="str">
        <f>'WhatsApp Tracker'!W120</f>
        <v>Not offered</v>
      </c>
      <c r="M37" s="51" t="str">
        <f>'WhatsApp Tracker'!X120</f>
        <v/>
      </c>
      <c r="N37" s="50" t="str">
        <f>'WhatsApp Tracker'!AM120</f>
        <v>Low confidence: verify before sending</v>
      </c>
      <c r="O37" s="50" t="str">
        <f>'WhatsApp Tracker'!AC120</f>
        <v>Imported from extract_garden. Confidence: Low. Parsed from Assam Tea Directory row, verify before sending</v>
      </c>
    </row>
    <row r="38" spans="1:15" ht="67.5" customHeight="1" x14ac:dyDescent="0.25">
      <c r="A38" s="50">
        <f>'WhatsApp Tracker'!AH121</f>
        <v>9596</v>
      </c>
      <c r="B38" s="50" t="str">
        <f>'WhatsApp Tracker'!AA121</f>
        <v>Do not send</v>
      </c>
      <c r="C38" s="50" t="str">
        <f>'WhatsApp Tracker'!M121</f>
        <v>Hold</v>
      </c>
      <c r="D38" s="50">
        <f>'WhatsApp Tracker'!AN121</f>
        <v>5</v>
      </c>
      <c r="E38" s="50" t="str">
        <f>'WhatsApp Tracker'!AL121</f>
        <v>Parsed directory row</v>
      </c>
      <c r="F38" s="50" t="str">
        <f>'WhatsApp Tracker'!B121</f>
        <v>39</v>
      </c>
      <c r="G38" s="50" t="str">
        <f>'WhatsApp Tracker'!C121</f>
        <v>39</v>
      </c>
      <c r="H38" s="50" t="str">
        <f>'WhatsApp Tracker'!D121</f>
        <v>9435376259</v>
      </c>
      <c r="I38" s="50" t="str">
        <f>'WhatsApp Tracker'!T121</f>
        <v>Not sent</v>
      </c>
      <c r="J38" s="50" t="str">
        <f>'WhatsApp Tracker'!U121</f>
        <v>Unknown</v>
      </c>
      <c r="K38" s="50" t="str">
        <f>'WhatsApp Tracker'!V121</f>
        <v>Unknown</v>
      </c>
      <c r="L38" s="50" t="str">
        <f>'WhatsApp Tracker'!W121</f>
        <v>Not offered</v>
      </c>
      <c r="M38" s="51" t="str">
        <f>'WhatsApp Tracker'!X121</f>
        <v/>
      </c>
      <c r="N38" s="50" t="str">
        <f>'WhatsApp Tracker'!AM121</f>
        <v>Low confidence: verify before sending</v>
      </c>
      <c r="O38" s="50" t="str">
        <f>'WhatsApp Tracker'!AC121</f>
        <v>Imported from extract_garden. Confidence: Low. Parsed from Assam Tea Directory row, verify before sending</v>
      </c>
    </row>
    <row r="39" spans="1:15" ht="67.5" customHeight="1" x14ac:dyDescent="0.25">
      <c r="A39" s="50">
        <f>'WhatsApp Tracker'!AH122</f>
        <v>9596</v>
      </c>
      <c r="B39" s="50" t="str">
        <f>'WhatsApp Tracker'!AA122</f>
        <v>Do not send</v>
      </c>
      <c r="C39" s="50" t="str">
        <f>'WhatsApp Tracker'!M122</f>
        <v>Hold</v>
      </c>
      <c r="D39" s="50">
        <f>'WhatsApp Tracker'!AN122</f>
        <v>5</v>
      </c>
      <c r="E39" s="50" t="str">
        <f>'WhatsApp Tracker'!AL122</f>
        <v>Parsed directory row</v>
      </c>
      <c r="F39" s="50" t="str">
        <f>'WhatsApp Tracker'!B122</f>
        <v>ASSAM. C SIVSAGAR, ASSAM. SIVSAGAR, ASSAM.</v>
      </c>
      <c r="G39" s="50" t="str">
        <f>'WhatsApp Tracker'!C122</f>
        <v>ASSAM. C SIVSAGAR, ASSAM. SIVSAGAR, ASSAM.</v>
      </c>
      <c r="H39" s="50" t="str">
        <f>'WhatsApp Tracker'!D122</f>
        <v>9435134066</v>
      </c>
      <c r="I39" s="50" t="str">
        <f>'WhatsApp Tracker'!T122</f>
        <v>Not sent</v>
      </c>
      <c r="J39" s="50" t="str">
        <f>'WhatsApp Tracker'!U122</f>
        <v>Unknown</v>
      </c>
      <c r="K39" s="50" t="str">
        <f>'WhatsApp Tracker'!V122</f>
        <v>Unknown</v>
      </c>
      <c r="L39" s="50" t="str">
        <f>'WhatsApp Tracker'!W122</f>
        <v>Not offered</v>
      </c>
      <c r="M39" s="51" t="str">
        <f>'WhatsApp Tracker'!X122</f>
        <v/>
      </c>
      <c r="N39" s="50" t="str">
        <f>'WhatsApp Tracker'!AM122</f>
        <v>Low confidence: verify before sending</v>
      </c>
      <c r="O39" s="50" t="str">
        <f>'WhatsApp Tracker'!AC122</f>
        <v>Imported from extract_garden. Confidence: Low. Parsed from Assam Tea Directory row, verify before sending</v>
      </c>
    </row>
    <row r="40" spans="1:15" ht="67.5" customHeight="1" x14ac:dyDescent="0.25">
      <c r="A40" s="50">
        <f>'WhatsApp Tracker'!AH123</f>
        <v>9596</v>
      </c>
      <c r="B40" s="50" t="str">
        <f>'WhatsApp Tracker'!AA123</f>
        <v>Do not send</v>
      </c>
      <c r="C40" s="50" t="str">
        <f>'WhatsApp Tracker'!M123</f>
        <v>Hold</v>
      </c>
      <c r="D40" s="50">
        <f>'WhatsApp Tracker'!AN123</f>
        <v>5</v>
      </c>
      <c r="E40" s="50" t="str">
        <f>'WhatsApp Tracker'!AL123</f>
        <v>Parsed directory row</v>
      </c>
      <c r="F40" s="50" t="str">
        <f>'WhatsApp Tracker'!B123</f>
        <v>58</v>
      </c>
      <c r="G40" s="50" t="str">
        <f>'WhatsApp Tracker'!C123</f>
        <v>58</v>
      </c>
      <c r="H40" s="50" t="str">
        <f>'WhatsApp Tracker'!D123</f>
        <v>9831815555</v>
      </c>
      <c r="I40" s="50" t="str">
        <f>'WhatsApp Tracker'!T123</f>
        <v>Not sent</v>
      </c>
      <c r="J40" s="50" t="str">
        <f>'WhatsApp Tracker'!U123</f>
        <v>Unknown</v>
      </c>
      <c r="K40" s="50" t="str">
        <f>'WhatsApp Tracker'!V123</f>
        <v>Unknown</v>
      </c>
      <c r="L40" s="50" t="str">
        <f>'WhatsApp Tracker'!W123</f>
        <v>Not offered</v>
      </c>
      <c r="M40" s="51" t="str">
        <f>'WhatsApp Tracker'!X123</f>
        <v/>
      </c>
      <c r="N40" s="50" t="str">
        <f>'WhatsApp Tracker'!AM123</f>
        <v>Low confidence: verify before sending</v>
      </c>
      <c r="O40" s="50" t="str">
        <f>'WhatsApp Tracker'!AC123</f>
        <v>Imported from extract_garden. Confidence: Low. Parsed from Assam Tea Directory row, verify before sending</v>
      </c>
    </row>
    <row r="41" spans="1:15" ht="67.5" customHeight="1" x14ac:dyDescent="0.25">
      <c r="A41" s="50">
        <f>'WhatsApp Tracker'!AH124</f>
        <v>9596</v>
      </c>
      <c r="B41" s="50" t="str">
        <f>'WhatsApp Tracker'!AA124</f>
        <v>Do not send</v>
      </c>
      <c r="C41" s="50" t="str">
        <f>'WhatsApp Tracker'!M124</f>
        <v>Hold</v>
      </c>
      <c r="D41" s="50">
        <f>'WhatsApp Tracker'!AN124</f>
        <v>5</v>
      </c>
      <c r="E41" s="50" t="str">
        <f>'WhatsApp Tracker'!AL124</f>
        <v>Parsed directory row</v>
      </c>
      <c r="F41" s="50" t="str">
        <f>'WhatsApp Tracker'!B124</f>
        <v>81</v>
      </c>
      <c r="G41" s="50" t="str">
        <f>'WhatsApp Tracker'!C124</f>
        <v>81</v>
      </c>
      <c r="H41" s="50" t="str">
        <f>'WhatsApp Tracker'!D124</f>
        <v>9830040025</v>
      </c>
      <c r="I41" s="50" t="str">
        <f>'WhatsApp Tracker'!T124</f>
        <v>Not sent</v>
      </c>
      <c r="J41" s="50" t="str">
        <f>'WhatsApp Tracker'!U124</f>
        <v>Unknown</v>
      </c>
      <c r="K41" s="50" t="str">
        <f>'WhatsApp Tracker'!V124</f>
        <v>Unknown</v>
      </c>
      <c r="L41" s="50" t="str">
        <f>'WhatsApp Tracker'!W124</f>
        <v>Not offered</v>
      </c>
      <c r="M41" s="51" t="str">
        <f>'WhatsApp Tracker'!X124</f>
        <v/>
      </c>
      <c r="N41" s="50" t="str">
        <f>'WhatsApp Tracker'!AM124</f>
        <v>Low confidence: verify before sending</v>
      </c>
      <c r="O41" s="50" t="str">
        <f>'WhatsApp Tracker'!AC124</f>
        <v>Imported from extract_garden. Confidence: Low. Parsed from Assam Tea Directory row, verify before sending</v>
      </c>
    </row>
    <row r="42" spans="1:15" ht="67.5" customHeight="1" x14ac:dyDescent="0.25">
      <c r="A42" s="50">
        <f>'WhatsApp Tracker'!AH125</f>
        <v>9596</v>
      </c>
      <c r="B42" s="50" t="str">
        <f>'WhatsApp Tracker'!AA125</f>
        <v>Do not send</v>
      </c>
      <c r="C42" s="50" t="str">
        <f>'WhatsApp Tracker'!M125</f>
        <v>Hold</v>
      </c>
      <c r="D42" s="50">
        <f>'WhatsApp Tracker'!AN125</f>
        <v>5</v>
      </c>
      <c r="E42" s="50" t="str">
        <f>'WhatsApp Tracker'!AL125</f>
        <v>Parsed directory row</v>
      </c>
      <c r="F42" s="50" t="str">
        <f>'WhatsApp Tracker'!B125</f>
        <v>117</v>
      </c>
      <c r="G42" s="50" t="str">
        <f>'WhatsApp Tracker'!C125</f>
        <v>117</v>
      </c>
      <c r="H42" s="50" t="str">
        <f>'WhatsApp Tracker'!D125</f>
        <v>9830038969</v>
      </c>
      <c r="I42" s="50" t="str">
        <f>'WhatsApp Tracker'!T125</f>
        <v>Not sent</v>
      </c>
      <c r="J42" s="50" t="str">
        <f>'WhatsApp Tracker'!U125</f>
        <v>Unknown</v>
      </c>
      <c r="K42" s="50" t="str">
        <f>'WhatsApp Tracker'!V125</f>
        <v>Unknown</v>
      </c>
      <c r="L42" s="50" t="str">
        <f>'WhatsApp Tracker'!W125</f>
        <v>Not offered</v>
      </c>
      <c r="M42" s="51" t="str">
        <f>'WhatsApp Tracker'!X125</f>
        <v/>
      </c>
      <c r="N42" s="50" t="str">
        <f>'WhatsApp Tracker'!AM125</f>
        <v>Low confidence: verify before sending</v>
      </c>
      <c r="O42" s="50" t="str">
        <f>'WhatsApp Tracker'!AC125</f>
        <v>Imported from extract_garden. Confidence: Low. Parsed from Assam Tea Directory row, verify before sending</v>
      </c>
    </row>
    <row r="43" spans="1:15" ht="67.5" customHeight="1" x14ac:dyDescent="0.25">
      <c r="A43" s="50">
        <f>'WhatsApp Tracker'!AH126</f>
        <v>9596</v>
      </c>
      <c r="B43" s="50" t="str">
        <f>'WhatsApp Tracker'!AA126</f>
        <v>Do not send</v>
      </c>
      <c r="C43" s="50" t="str">
        <f>'WhatsApp Tracker'!M126</f>
        <v>Hold</v>
      </c>
      <c r="D43" s="50">
        <f>'WhatsApp Tracker'!AN126</f>
        <v>5</v>
      </c>
      <c r="E43" s="50" t="str">
        <f>'WhatsApp Tracker'!AL126</f>
        <v>Parsed directory row</v>
      </c>
      <c r="F43" s="50" t="str">
        <f>'WhatsApp Tracker'!B126</f>
        <v>143</v>
      </c>
      <c r="G43" s="50" t="str">
        <f>'WhatsApp Tracker'!C126</f>
        <v>143</v>
      </c>
      <c r="H43" s="50" t="str">
        <f>'WhatsApp Tracker'!D126</f>
        <v>9435035779</v>
      </c>
      <c r="I43" s="50" t="str">
        <f>'WhatsApp Tracker'!T126</f>
        <v>Not sent</v>
      </c>
      <c r="J43" s="50" t="str">
        <f>'WhatsApp Tracker'!U126</f>
        <v>Unknown</v>
      </c>
      <c r="K43" s="50" t="str">
        <f>'WhatsApp Tracker'!V126</f>
        <v>Unknown</v>
      </c>
      <c r="L43" s="50" t="str">
        <f>'WhatsApp Tracker'!W126</f>
        <v>Not offered</v>
      </c>
      <c r="M43" s="51" t="str">
        <f>'WhatsApp Tracker'!X126</f>
        <v/>
      </c>
      <c r="N43" s="50" t="str">
        <f>'WhatsApp Tracker'!AM126</f>
        <v>Low confidence: verify before sending</v>
      </c>
      <c r="O43" s="50" t="str">
        <f>'WhatsApp Tracker'!AC126</f>
        <v>Imported from extract_garden. Confidence: Low. Parsed from Assam Tea Directory row, verify before sending</v>
      </c>
    </row>
    <row r="44" spans="1:15" ht="67.5" customHeight="1" x14ac:dyDescent="0.25">
      <c r="A44" s="50">
        <f>'WhatsApp Tracker'!AH127</f>
        <v>9596</v>
      </c>
      <c r="B44" s="50" t="str">
        <f>'WhatsApp Tracker'!AA127</f>
        <v>Do not send</v>
      </c>
      <c r="C44" s="50" t="str">
        <f>'WhatsApp Tracker'!M127</f>
        <v>Hold</v>
      </c>
      <c r="D44" s="50">
        <f>'WhatsApp Tracker'!AN127</f>
        <v>5</v>
      </c>
      <c r="E44" s="50" t="str">
        <f>'WhatsApp Tracker'!AL127</f>
        <v>Parsed directory row</v>
      </c>
      <c r="F44" s="50" t="str">
        <f>'WhatsApp Tracker'!B127</f>
        <v>213</v>
      </c>
      <c r="G44" s="50" t="str">
        <f>'WhatsApp Tracker'!C127</f>
        <v>213</v>
      </c>
      <c r="H44" s="50" t="str">
        <f>'WhatsApp Tracker'!D127</f>
        <v>9435030526</v>
      </c>
      <c r="I44" s="50" t="str">
        <f>'WhatsApp Tracker'!T127</f>
        <v>Not sent</v>
      </c>
      <c r="J44" s="50" t="str">
        <f>'WhatsApp Tracker'!U127</f>
        <v>Unknown</v>
      </c>
      <c r="K44" s="50" t="str">
        <f>'WhatsApp Tracker'!V127</f>
        <v>Unknown</v>
      </c>
      <c r="L44" s="50" t="str">
        <f>'WhatsApp Tracker'!W127</f>
        <v>Not offered</v>
      </c>
      <c r="M44" s="51" t="str">
        <f>'WhatsApp Tracker'!X127</f>
        <v/>
      </c>
      <c r="N44" s="50" t="str">
        <f>'WhatsApp Tracker'!AM127</f>
        <v>Low confidence: verify before sending</v>
      </c>
      <c r="O44" s="50" t="str">
        <f>'WhatsApp Tracker'!AC127</f>
        <v>Imported from extract_garden. Confidence: Low. Parsed from Assam Tea Directory row, verify before sending</v>
      </c>
    </row>
    <row r="45" spans="1:15" ht="67.5" customHeight="1" x14ac:dyDescent="0.25">
      <c r="A45" s="50">
        <f>'WhatsApp Tracker'!AH128</f>
        <v>9596</v>
      </c>
      <c r="B45" s="50" t="str">
        <f>'WhatsApp Tracker'!AA128</f>
        <v>Do not send</v>
      </c>
      <c r="C45" s="50" t="str">
        <f>'WhatsApp Tracker'!M128</f>
        <v>Hold</v>
      </c>
      <c r="D45" s="50">
        <f>'WhatsApp Tracker'!AN128</f>
        <v>5</v>
      </c>
      <c r="E45" s="50" t="str">
        <f>'WhatsApp Tracker'!AL128</f>
        <v>Parsed directory row</v>
      </c>
      <c r="F45" s="50" t="str">
        <f>'WhatsApp Tracker'!B128</f>
        <v>233</v>
      </c>
      <c r="G45" s="50" t="str">
        <f>'WhatsApp Tracker'!C128</f>
        <v>233</v>
      </c>
      <c r="H45" s="50" t="str">
        <f>'WhatsApp Tracker'!D128</f>
        <v>9435017972</v>
      </c>
      <c r="I45" s="50" t="str">
        <f>'WhatsApp Tracker'!T128</f>
        <v>Not sent</v>
      </c>
      <c r="J45" s="50" t="str">
        <f>'WhatsApp Tracker'!U128</f>
        <v>Unknown</v>
      </c>
      <c r="K45" s="50" t="str">
        <f>'WhatsApp Tracker'!V128</f>
        <v>Unknown</v>
      </c>
      <c r="L45" s="50" t="str">
        <f>'WhatsApp Tracker'!W128</f>
        <v>Not offered</v>
      </c>
      <c r="M45" s="51" t="str">
        <f>'WhatsApp Tracker'!X128</f>
        <v/>
      </c>
      <c r="N45" s="50" t="str">
        <f>'WhatsApp Tracker'!AM128</f>
        <v>Low confidence: verify before sending</v>
      </c>
      <c r="O45" s="50" t="str">
        <f>'WhatsApp Tracker'!AC128</f>
        <v>Imported from extract_garden. Confidence: Low. Parsed from Assam Tea Directory row, verify before sending</v>
      </c>
    </row>
    <row r="46" spans="1:15" ht="67.5" customHeight="1" x14ac:dyDescent="0.25">
      <c r="A46" s="50">
        <f>'WhatsApp Tracker'!AH129</f>
        <v>9596</v>
      </c>
      <c r="B46" s="50" t="str">
        <f>'WhatsApp Tracker'!AA129</f>
        <v>Do not send</v>
      </c>
      <c r="C46" s="50" t="str">
        <f>'WhatsApp Tracker'!M129</f>
        <v>Hold</v>
      </c>
      <c r="D46" s="50">
        <f>'WhatsApp Tracker'!AN129</f>
        <v>5</v>
      </c>
      <c r="E46" s="50" t="str">
        <f>'WhatsApp Tracker'!AL129</f>
        <v>Parsed directory row</v>
      </c>
      <c r="F46" s="50" t="str">
        <f>'WhatsApp Tracker'!B129</f>
        <v>290</v>
      </c>
      <c r="G46" s="50" t="str">
        <f>'WhatsApp Tracker'!C129</f>
        <v>290</v>
      </c>
      <c r="H46" s="50" t="str">
        <f>'WhatsApp Tracker'!D129</f>
        <v>9954477332</v>
      </c>
      <c r="I46" s="50" t="str">
        <f>'WhatsApp Tracker'!T129</f>
        <v>Not sent</v>
      </c>
      <c r="J46" s="50" t="str">
        <f>'WhatsApp Tracker'!U129</f>
        <v>Unknown</v>
      </c>
      <c r="K46" s="50" t="str">
        <f>'WhatsApp Tracker'!V129</f>
        <v>Unknown</v>
      </c>
      <c r="L46" s="50" t="str">
        <f>'WhatsApp Tracker'!W129</f>
        <v>Not offered</v>
      </c>
      <c r="M46" s="51" t="str">
        <f>'WhatsApp Tracker'!X129</f>
        <v/>
      </c>
      <c r="N46" s="50" t="str">
        <f>'WhatsApp Tracker'!AM129</f>
        <v>Low confidence: verify before sending</v>
      </c>
      <c r="O46" s="50" t="str">
        <f>'WhatsApp Tracker'!AC129</f>
        <v>Imported from extract_garden. Confidence: Low. Parsed from Assam Tea Directory row, verify before sending</v>
      </c>
    </row>
    <row r="47" spans="1:15" ht="67.5" customHeight="1" x14ac:dyDescent="0.25">
      <c r="A47" s="50">
        <f>'WhatsApp Tracker'!AH130</f>
        <v>9596</v>
      </c>
      <c r="B47" s="50" t="str">
        <f>'WhatsApp Tracker'!AA130</f>
        <v>Do not send</v>
      </c>
      <c r="C47" s="50" t="str">
        <f>'WhatsApp Tracker'!M130</f>
        <v>Hold</v>
      </c>
      <c r="D47" s="50">
        <f>'WhatsApp Tracker'!AN130</f>
        <v>5</v>
      </c>
      <c r="E47" s="50" t="str">
        <f>'WhatsApp Tracker'!AL130</f>
        <v>Parsed directory row</v>
      </c>
      <c r="F47" s="50" t="str">
        <f>'WhatsApp Tracker'!B130</f>
        <v>Imported contact</v>
      </c>
      <c r="G47" s="50">
        <f>'WhatsApp Tracker'!C130</f>
        <v>0</v>
      </c>
      <c r="H47" s="50" t="str">
        <f>'WhatsApp Tracker'!D130</f>
        <v>9830040029</v>
      </c>
      <c r="I47" s="50" t="str">
        <f>'WhatsApp Tracker'!T130</f>
        <v>Not sent</v>
      </c>
      <c r="J47" s="50" t="str">
        <f>'WhatsApp Tracker'!U130</f>
        <v>Unknown</v>
      </c>
      <c r="K47" s="50" t="str">
        <f>'WhatsApp Tracker'!V130</f>
        <v>Unknown</v>
      </c>
      <c r="L47" s="50" t="str">
        <f>'WhatsApp Tracker'!W130</f>
        <v>Not offered</v>
      </c>
      <c r="M47" s="51" t="str">
        <f>'WhatsApp Tracker'!X130</f>
        <v/>
      </c>
      <c r="N47" s="50" t="str">
        <f>'WhatsApp Tracker'!AM130</f>
        <v>Low confidence: verify before sending</v>
      </c>
      <c r="O47" s="50" t="str">
        <f>'WhatsApp Tracker'!AC130</f>
        <v>Imported from extract_garden. Confidence: Low. Parsed from Assam Tea Directory row, verify before sending</v>
      </c>
    </row>
    <row r="48" spans="1:15" ht="67.5" customHeight="1" x14ac:dyDescent="0.25">
      <c r="A48" s="50">
        <f>'WhatsApp Tracker'!AH131</f>
        <v>9596</v>
      </c>
      <c r="B48" s="50" t="str">
        <f>'WhatsApp Tracker'!AA131</f>
        <v>Do not send</v>
      </c>
      <c r="C48" s="50" t="str">
        <f>'WhatsApp Tracker'!M131</f>
        <v>Hold</v>
      </c>
      <c r="D48" s="50">
        <f>'WhatsApp Tracker'!AN131</f>
        <v>5</v>
      </c>
      <c r="E48" s="50" t="str">
        <f>'WhatsApp Tracker'!AL131</f>
        <v>Parsed directory row</v>
      </c>
      <c r="F48" s="50" t="str">
        <f>'WhatsApp Tracker'!B131</f>
        <v>Imported contact</v>
      </c>
      <c r="G48" s="50">
        <f>'WhatsApp Tracker'!C131</f>
        <v>0</v>
      </c>
      <c r="H48" s="50" t="str">
        <f>'WhatsApp Tracker'!D131</f>
        <v>9435136563</v>
      </c>
      <c r="I48" s="50" t="str">
        <f>'WhatsApp Tracker'!T131</f>
        <v>Not sent</v>
      </c>
      <c r="J48" s="50" t="str">
        <f>'WhatsApp Tracker'!U131</f>
        <v>Unknown</v>
      </c>
      <c r="K48" s="50" t="str">
        <f>'WhatsApp Tracker'!V131</f>
        <v>Unknown</v>
      </c>
      <c r="L48" s="50" t="str">
        <f>'WhatsApp Tracker'!W131</f>
        <v>Not offered</v>
      </c>
      <c r="M48" s="51" t="str">
        <f>'WhatsApp Tracker'!X131</f>
        <v/>
      </c>
      <c r="N48" s="50" t="str">
        <f>'WhatsApp Tracker'!AM131</f>
        <v>Low confidence: verify before sending</v>
      </c>
      <c r="O48" s="50" t="str">
        <f>'WhatsApp Tracker'!AC131</f>
        <v>Imported from extract_garden. Confidence: Low. Parsed from Assam Tea Directory row, verify before sending</v>
      </c>
    </row>
    <row r="49" spans="1:15" ht="67.5" customHeight="1" x14ac:dyDescent="0.25">
      <c r="A49" s="50">
        <f>'WhatsApp Tracker'!AH132</f>
        <v>9596</v>
      </c>
      <c r="B49" s="50" t="str">
        <f>'WhatsApp Tracker'!AA132</f>
        <v>Do not send</v>
      </c>
      <c r="C49" s="50" t="str">
        <f>'WhatsApp Tracker'!M132</f>
        <v>Hold</v>
      </c>
      <c r="D49" s="50">
        <f>'WhatsApp Tracker'!AN132</f>
        <v>5</v>
      </c>
      <c r="E49" s="50" t="str">
        <f>'WhatsApp Tracker'!AL132</f>
        <v>Parsed directory row</v>
      </c>
      <c r="F49" s="50" t="str">
        <f>'WhatsApp Tracker'!B132</f>
        <v>Imported contact</v>
      </c>
      <c r="G49" s="50">
        <f>'WhatsApp Tracker'!C132</f>
        <v>0</v>
      </c>
      <c r="H49" s="50" t="str">
        <f>'WhatsApp Tracker'!D132</f>
        <v>9831011765</v>
      </c>
      <c r="I49" s="50" t="str">
        <f>'WhatsApp Tracker'!T132</f>
        <v>Not sent</v>
      </c>
      <c r="J49" s="50" t="str">
        <f>'WhatsApp Tracker'!U132</f>
        <v>Unknown</v>
      </c>
      <c r="K49" s="50" t="str">
        <f>'WhatsApp Tracker'!V132</f>
        <v>Unknown</v>
      </c>
      <c r="L49" s="50" t="str">
        <f>'WhatsApp Tracker'!W132</f>
        <v>Not offered</v>
      </c>
      <c r="M49" s="51" t="str">
        <f>'WhatsApp Tracker'!X132</f>
        <v/>
      </c>
      <c r="N49" s="50" t="str">
        <f>'WhatsApp Tracker'!AM132</f>
        <v>Low confidence: verify before sending</v>
      </c>
      <c r="O49" s="50" t="str">
        <f>'WhatsApp Tracker'!AC132</f>
        <v>Imported from extract_garden. Confidence: Low. Parsed from Assam Tea Directory row, verify before sending</v>
      </c>
    </row>
    <row r="50" spans="1:15" ht="67.5" customHeight="1" x14ac:dyDescent="0.25">
      <c r="A50" s="50">
        <f>'WhatsApp Tracker'!AH133</f>
        <v>9596</v>
      </c>
      <c r="B50" s="50" t="str">
        <f>'WhatsApp Tracker'!AA133</f>
        <v>Do not send</v>
      </c>
      <c r="C50" s="50" t="str">
        <f>'WhatsApp Tracker'!M133</f>
        <v>Hold</v>
      </c>
      <c r="D50" s="50">
        <f>'WhatsApp Tracker'!AN133</f>
        <v>5</v>
      </c>
      <c r="E50" s="50" t="str">
        <f>'WhatsApp Tracker'!AL133</f>
        <v>Parsed directory row</v>
      </c>
      <c r="F50" s="50" t="str">
        <f>'WhatsApp Tracker'!B133</f>
        <v>Imported contact</v>
      </c>
      <c r="G50" s="50">
        <f>'WhatsApp Tracker'!C133</f>
        <v>0</v>
      </c>
      <c r="H50" s="50" t="str">
        <f>'WhatsApp Tracker'!D133</f>
        <v>9435333314</v>
      </c>
      <c r="I50" s="50" t="str">
        <f>'WhatsApp Tracker'!T133</f>
        <v>Not sent</v>
      </c>
      <c r="J50" s="50" t="str">
        <f>'WhatsApp Tracker'!U133</f>
        <v>Unknown</v>
      </c>
      <c r="K50" s="50" t="str">
        <f>'WhatsApp Tracker'!V133</f>
        <v>Unknown</v>
      </c>
      <c r="L50" s="50" t="str">
        <f>'WhatsApp Tracker'!W133</f>
        <v>Not offered</v>
      </c>
      <c r="M50" s="51" t="str">
        <f>'WhatsApp Tracker'!X133</f>
        <v/>
      </c>
      <c r="N50" s="50" t="str">
        <f>'WhatsApp Tracker'!AM133</f>
        <v>Low confidence: verify before sending</v>
      </c>
      <c r="O50" s="50" t="str">
        <f>'WhatsApp Tracker'!AC133</f>
        <v>Imported from extract_garden. Confidence: Low. Parsed from Assam Tea Directory row, verify before sending</v>
      </c>
    </row>
    <row r="51" spans="1:15" ht="67.5" customHeight="1" x14ac:dyDescent="0.25">
      <c r="A51" s="50">
        <f>'WhatsApp Tracker'!AH134</f>
        <v>9596</v>
      </c>
      <c r="B51" s="50" t="str">
        <f>'WhatsApp Tracker'!AA134</f>
        <v>Do not send</v>
      </c>
      <c r="C51" s="50" t="str">
        <f>'WhatsApp Tracker'!M134</f>
        <v>Hold</v>
      </c>
      <c r="D51" s="50">
        <f>'WhatsApp Tracker'!AN134</f>
        <v>5</v>
      </c>
      <c r="E51" s="50" t="str">
        <f>'WhatsApp Tracker'!AL134</f>
        <v>Parsed directory row</v>
      </c>
      <c r="F51" s="50" t="str">
        <f>'WhatsApp Tracker'!B134</f>
        <v>Imported contact</v>
      </c>
      <c r="G51" s="50">
        <f>'WhatsApp Tracker'!C134</f>
        <v>0</v>
      </c>
      <c r="H51" s="50" t="str">
        <f>'WhatsApp Tracker'!D134</f>
        <v>9435158668</v>
      </c>
      <c r="I51" s="50" t="str">
        <f>'WhatsApp Tracker'!T134</f>
        <v>Not sent</v>
      </c>
      <c r="J51" s="50" t="str">
        <f>'WhatsApp Tracker'!U134</f>
        <v>Unknown</v>
      </c>
      <c r="K51" s="50" t="str">
        <f>'WhatsApp Tracker'!V134</f>
        <v>Unknown</v>
      </c>
      <c r="L51" s="50" t="str">
        <f>'WhatsApp Tracker'!W134</f>
        <v>Not offered</v>
      </c>
      <c r="M51" s="51" t="str">
        <f>'WhatsApp Tracker'!X134</f>
        <v/>
      </c>
      <c r="N51" s="50" t="str">
        <f>'WhatsApp Tracker'!AM134</f>
        <v>Low confidence: verify before sending</v>
      </c>
      <c r="O51" s="50" t="str">
        <f>'WhatsApp Tracker'!AC134</f>
        <v>Imported from extract_garden. Confidence: Low. Parsed from Assam Tea Directory row, verify before sending</v>
      </c>
    </row>
    <row r="52" spans="1:15" ht="67.5" customHeight="1" x14ac:dyDescent="0.25">
      <c r="A52" s="50">
        <f>'WhatsApp Tracker'!AH135</f>
        <v>9596</v>
      </c>
      <c r="B52" s="50" t="str">
        <f>'WhatsApp Tracker'!AA135</f>
        <v>Do not send</v>
      </c>
      <c r="C52" s="50" t="str">
        <f>'WhatsApp Tracker'!M135</f>
        <v>Hold</v>
      </c>
      <c r="D52" s="50">
        <f>'WhatsApp Tracker'!AN135</f>
        <v>5</v>
      </c>
      <c r="E52" s="50" t="str">
        <f>'WhatsApp Tracker'!AL135</f>
        <v>Parsed directory row</v>
      </c>
      <c r="F52" s="50" t="str">
        <f>'WhatsApp Tracker'!B135</f>
        <v>Imported contact</v>
      </c>
      <c r="G52" s="50">
        <f>'WhatsApp Tracker'!C135</f>
        <v>0</v>
      </c>
      <c r="H52" s="50" t="str">
        <f>'WhatsApp Tracker'!D135</f>
        <v>9954498848</v>
      </c>
      <c r="I52" s="50" t="str">
        <f>'WhatsApp Tracker'!T135</f>
        <v>Not sent</v>
      </c>
      <c r="J52" s="50" t="str">
        <f>'WhatsApp Tracker'!U135</f>
        <v>Unknown</v>
      </c>
      <c r="K52" s="50" t="str">
        <f>'WhatsApp Tracker'!V135</f>
        <v>Unknown</v>
      </c>
      <c r="L52" s="50" t="str">
        <f>'WhatsApp Tracker'!W135</f>
        <v>Not offered</v>
      </c>
      <c r="M52" s="51" t="str">
        <f>'WhatsApp Tracker'!X135</f>
        <v/>
      </c>
      <c r="N52" s="50" t="str">
        <f>'WhatsApp Tracker'!AM135</f>
        <v>Low confidence: verify before sending</v>
      </c>
      <c r="O52" s="50" t="str">
        <f>'WhatsApp Tracker'!AC135</f>
        <v>Imported from extract_garden. Confidence: Low. Parsed from Assam Tea Directory row, verify before sending</v>
      </c>
    </row>
    <row r="53" spans="1:15" ht="67.5" customHeight="1" x14ac:dyDescent="0.25">
      <c r="A53" s="50">
        <f>'WhatsApp Tracker'!AH136</f>
        <v>9596</v>
      </c>
      <c r="B53" s="50" t="str">
        <f>'WhatsApp Tracker'!AA136</f>
        <v>Do not send</v>
      </c>
      <c r="C53" s="50" t="str">
        <f>'WhatsApp Tracker'!M136</f>
        <v>Hold</v>
      </c>
      <c r="D53" s="50">
        <f>'WhatsApp Tracker'!AN136</f>
        <v>5</v>
      </c>
      <c r="E53" s="50" t="str">
        <f>'WhatsApp Tracker'!AL136</f>
        <v>Parsed directory row</v>
      </c>
      <c r="F53" s="50" t="str">
        <f>'WhatsApp Tracker'!B136</f>
        <v>Imported contact</v>
      </c>
      <c r="G53" s="50">
        <f>'WhatsApp Tracker'!C136</f>
        <v>0</v>
      </c>
      <c r="H53" s="50" t="str">
        <f>'WhatsApp Tracker'!D136</f>
        <v>9836343222</v>
      </c>
      <c r="I53" s="50" t="str">
        <f>'WhatsApp Tracker'!T136</f>
        <v>Not sent</v>
      </c>
      <c r="J53" s="50" t="str">
        <f>'WhatsApp Tracker'!U136</f>
        <v>Unknown</v>
      </c>
      <c r="K53" s="50" t="str">
        <f>'WhatsApp Tracker'!V136</f>
        <v>Unknown</v>
      </c>
      <c r="L53" s="50" t="str">
        <f>'WhatsApp Tracker'!W136</f>
        <v>Not offered</v>
      </c>
      <c r="M53" s="51" t="str">
        <f>'WhatsApp Tracker'!X136</f>
        <v/>
      </c>
      <c r="N53" s="50" t="str">
        <f>'WhatsApp Tracker'!AM136</f>
        <v>Low confidence: verify before sending</v>
      </c>
      <c r="O53" s="50" t="str">
        <f>'WhatsApp Tracker'!AC136</f>
        <v>Imported from extract_garden. Confidence: Low. Parsed from Assam Tea Directory row, verify before sending</v>
      </c>
    </row>
    <row r="54" spans="1:15" ht="67.5" customHeight="1" x14ac:dyDescent="0.25">
      <c r="A54" s="50">
        <f>'WhatsApp Tracker'!AH137</f>
        <v>9596</v>
      </c>
      <c r="B54" s="50" t="str">
        <f>'WhatsApp Tracker'!AA137</f>
        <v>Do not send</v>
      </c>
      <c r="C54" s="50" t="str">
        <f>'WhatsApp Tracker'!M137</f>
        <v>Hold</v>
      </c>
      <c r="D54" s="50">
        <f>'WhatsApp Tracker'!AN137</f>
        <v>5</v>
      </c>
      <c r="E54" s="50" t="str">
        <f>'WhatsApp Tracker'!AL137</f>
        <v>Parsed directory row</v>
      </c>
      <c r="F54" s="50" t="str">
        <f>'WhatsApp Tracker'!B137</f>
        <v>Imported contact</v>
      </c>
      <c r="G54" s="50">
        <f>'WhatsApp Tracker'!C137</f>
        <v>0</v>
      </c>
      <c r="H54" s="50" t="str">
        <f>'WhatsApp Tracker'!D137</f>
        <v>9435173033</v>
      </c>
      <c r="I54" s="50" t="str">
        <f>'WhatsApp Tracker'!T137</f>
        <v>Not sent</v>
      </c>
      <c r="J54" s="50" t="str">
        <f>'WhatsApp Tracker'!U137</f>
        <v>Unknown</v>
      </c>
      <c r="K54" s="50" t="str">
        <f>'WhatsApp Tracker'!V137</f>
        <v>Unknown</v>
      </c>
      <c r="L54" s="50" t="str">
        <f>'WhatsApp Tracker'!W137</f>
        <v>Not offered</v>
      </c>
      <c r="M54" s="51" t="str">
        <f>'WhatsApp Tracker'!X137</f>
        <v/>
      </c>
      <c r="N54" s="50" t="str">
        <f>'WhatsApp Tracker'!AM137</f>
        <v>Low confidence: verify before sending</v>
      </c>
      <c r="O54" s="50" t="str">
        <f>'WhatsApp Tracker'!AC137</f>
        <v>Imported from extract_garden. Confidence: Low. Parsed from Assam Tea Directory row, verify before sending</v>
      </c>
    </row>
    <row r="55" spans="1:15" ht="67.5" customHeight="1" x14ac:dyDescent="0.25">
      <c r="A55" s="50">
        <f>'WhatsApp Tracker'!AH138</f>
        <v>9596</v>
      </c>
      <c r="B55" s="50" t="str">
        <f>'WhatsApp Tracker'!AA138</f>
        <v>Do not send</v>
      </c>
      <c r="C55" s="50" t="str">
        <f>'WhatsApp Tracker'!M138</f>
        <v>Hold</v>
      </c>
      <c r="D55" s="50">
        <f>'WhatsApp Tracker'!AN138</f>
        <v>5</v>
      </c>
      <c r="E55" s="50" t="str">
        <f>'WhatsApp Tracker'!AL138</f>
        <v>Parsed directory row</v>
      </c>
      <c r="F55" s="50" t="str">
        <f>'WhatsApp Tracker'!B138</f>
        <v>Imported contact</v>
      </c>
      <c r="G55" s="50">
        <f>'WhatsApp Tracker'!C138</f>
        <v>0</v>
      </c>
      <c r="H55" s="50" t="str">
        <f>'WhatsApp Tracker'!D138</f>
        <v>9435184537</v>
      </c>
      <c r="I55" s="50" t="str">
        <f>'WhatsApp Tracker'!T138</f>
        <v>Not sent</v>
      </c>
      <c r="J55" s="50" t="str">
        <f>'WhatsApp Tracker'!U138</f>
        <v>Unknown</v>
      </c>
      <c r="K55" s="50" t="str">
        <f>'WhatsApp Tracker'!V138</f>
        <v>Unknown</v>
      </c>
      <c r="L55" s="50" t="str">
        <f>'WhatsApp Tracker'!W138</f>
        <v>Not offered</v>
      </c>
      <c r="M55" s="51" t="str">
        <f>'WhatsApp Tracker'!X138</f>
        <v/>
      </c>
      <c r="N55" s="50" t="str">
        <f>'WhatsApp Tracker'!AM138</f>
        <v>Low confidence: verify before sending</v>
      </c>
      <c r="O55" s="50" t="str">
        <f>'WhatsApp Tracker'!AC138</f>
        <v>Imported from extract_garden. Confidence: Low. Parsed from Assam Tea Directory row, verify before sending</v>
      </c>
    </row>
    <row r="56" spans="1:15" ht="67.5" customHeight="1" x14ac:dyDescent="0.25">
      <c r="A56" s="50">
        <f>'WhatsApp Tracker'!AH139</f>
        <v>9596</v>
      </c>
      <c r="B56" s="50" t="str">
        <f>'WhatsApp Tracker'!AA139</f>
        <v>Do not send</v>
      </c>
      <c r="C56" s="50" t="str">
        <f>'WhatsApp Tracker'!M139</f>
        <v>Hold</v>
      </c>
      <c r="D56" s="50">
        <f>'WhatsApp Tracker'!AN139</f>
        <v>5</v>
      </c>
      <c r="E56" s="50" t="str">
        <f>'WhatsApp Tracker'!AL139</f>
        <v>Parsed directory row</v>
      </c>
      <c r="F56" s="50" t="str">
        <f>'WhatsApp Tracker'!B139</f>
        <v>Imported contact</v>
      </c>
      <c r="G56" s="50">
        <f>'WhatsApp Tracker'!C139</f>
        <v>0</v>
      </c>
      <c r="H56" s="50" t="str">
        <f>'WhatsApp Tracker'!D139</f>
        <v>9830250055</v>
      </c>
      <c r="I56" s="50" t="str">
        <f>'WhatsApp Tracker'!T139</f>
        <v>Not sent</v>
      </c>
      <c r="J56" s="50" t="str">
        <f>'WhatsApp Tracker'!U139</f>
        <v>Unknown</v>
      </c>
      <c r="K56" s="50" t="str">
        <f>'WhatsApp Tracker'!V139</f>
        <v>Unknown</v>
      </c>
      <c r="L56" s="50" t="str">
        <f>'WhatsApp Tracker'!W139</f>
        <v>Not offered</v>
      </c>
      <c r="M56" s="51" t="str">
        <f>'WhatsApp Tracker'!X139</f>
        <v/>
      </c>
      <c r="N56" s="50" t="str">
        <f>'WhatsApp Tracker'!AM139</f>
        <v>Low confidence: verify before sending</v>
      </c>
      <c r="O56" s="50" t="str">
        <f>'WhatsApp Tracker'!AC139</f>
        <v>Imported from extract_garden. Confidence: Low. Parsed from Assam Tea Directory row, verify before sending</v>
      </c>
    </row>
    <row r="57" spans="1:15" ht="81" customHeight="1" x14ac:dyDescent="0.25">
      <c r="A57" s="50">
        <f>'WhatsApp Tracker'!AH40</f>
        <v>4436</v>
      </c>
      <c r="B57" s="50" t="str">
        <f>'WhatsApp Tracker'!AA40</f>
        <v>Review</v>
      </c>
      <c r="C57" s="50" t="str">
        <f>'WhatsApp Tracker'!M40</f>
        <v>Normal</v>
      </c>
      <c r="D57" s="50">
        <f>'WhatsApp Tracker'!AN40</f>
        <v>4</v>
      </c>
      <c r="E57" s="50" t="str">
        <f>'WhatsApp Tracker'!AL40</f>
        <v>Google Maps enrichment</v>
      </c>
      <c r="F57" s="50" t="str">
        <f>'WhatsApp Tracker'!B40</f>
        <v>Satkarter T.E.</v>
      </c>
      <c r="G57" s="50" t="str">
        <f>'WhatsApp Tracker'!C40</f>
        <v>Satkarter T.E.</v>
      </c>
      <c r="H57" s="50" t="str">
        <f>'WhatsApp Tracker'!D40</f>
        <v>9435033023</v>
      </c>
      <c r="I57" s="50" t="str">
        <f>'WhatsApp Tracker'!T40</f>
        <v>Delivered</v>
      </c>
      <c r="J57" s="50" t="str">
        <f>'WhatsApp Tracker'!U40</f>
        <v>Unknown</v>
      </c>
      <c r="K57" s="50" t="str">
        <f>'WhatsApp Tracker'!V40</f>
        <v>Unknown</v>
      </c>
      <c r="L57" s="50" t="str">
        <f>'WhatsApp Tracker'!W40</f>
        <v>Not offered</v>
      </c>
      <c r="M57" s="51" t="str">
        <f>'WhatsApp Tracker'!X40</f>
        <v/>
      </c>
      <c r="N57" s="50" t="str">
        <f>'WhatsApp Tracker'!AM40</f>
        <v>Lower priority: Maps result cannot be verified without manual check</v>
      </c>
      <c r="O57" s="50" t="str">
        <f>'WhatsApp Tracker'!AC40</f>
        <v>Imported from extract_garden. Confidence: High. Direct estate number list; Generated garden export. District: Dibrugarh State: Assam; Original personal number. Phone type: Other. In original list: Yes</v>
      </c>
    </row>
    <row r="58" spans="1:15" ht="81" customHeight="1" x14ac:dyDescent="0.25">
      <c r="A58" s="50">
        <f>'WhatsApp Tracker'!AH41</f>
        <v>4436</v>
      </c>
      <c r="B58" s="50" t="str">
        <f>'WhatsApp Tracker'!AA41</f>
        <v>Review</v>
      </c>
      <c r="C58" s="50" t="str">
        <f>'WhatsApp Tracker'!M41</f>
        <v>Normal</v>
      </c>
      <c r="D58" s="50">
        <f>'WhatsApp Tracker'!AN41</f>
        <v>4</v>
      </c>
      <c r="E58" s="50" t="str">
        <f>'WhatsApp Tracker'!AL41</f>
        <v>Google Maps enrichment</v>
      </c>
      <c r="F58" s="50" t="str">
        <f>'WhatsApp Tracker'!B41</f>
        <v>Satyanarayana T.E.</v>
      </c>
      <c r="G58" s="50" t="str">
        <f>'WhatsApp Tracker'!C41</f>
        <v>Satyanarayana T.E.</v>
      </c>
      <c r="H58" s="50" t="str">
        <f>'WhatsApp Tracker'!D41</f>
        <v>8011018074</v>
      </c>
      <c r="I58" s="50" t="str">
        <f>'WhatsApp Tracker'!T41</f>
        <v>Delivered</v>
      </c>
      <c r="J58" s="50" t="str">
        <f>'WhatsApp Tracker'!U41</f>
        <v>Unknown</v>
      </c>
      <c r="K58" s="50" t="str">
        <f>'WhatsApp Tracker'!V41</f>
        <v>Unknown</v>
      </c>
      <c r="L58" s="50" t="str">
        <f>'WhatsApp Tracker'!W41</f>
        <v>Not offered</v>
      </c>
      <c r="M58" s="51" t="str">
        <f>'WhatsApp Tracker'!X41</f>
        <v/>
      </c>
      <c r="N58" s="50" t="str">
        <f>'WhatsApp Tracker'!AM41</f>
        <v>Lower priority: Maps result cannot be verified without manual check</v>
      </c>
      <c r="O58" s="50" t="str">
        <f>'WhatsApp Tracker'!AC41</f>
        <v>Imported from extract_garden. Confidence: High. Direct estate number list; Generated garden export. District: Dibrugarh State: Assam; Original personal number. Phone type: Other. In original list: Yes</v>
      </c>
    </row>
    <row r="59" spans="1:15" ht="81" customHeight="1" x14ac:dyDescent="0.25">
      <c r="A59" s="50">
        <f>'WhatsApp Tracker'!AH42</f>
        <v>4436</v>
      </c>
      <c r="B59" s="50" t="str">
        <f>'WhatsApp Tracker'!AA42</f>
        <v>Review</v>
      </c>
      <c r="C59" s="50" t="str">
        <f>'WhatsApp Tracker'!M42</f>
        <v>Normal</v>
      </c>
      <c r="D59" s="50">
        <f>'WhatsApp Tracker'!AN42</f>
        <v>4</v>
      </c>
      <c r="E59" s="50" t="str">
        <f>'WhatsApp Tracker'!AL42</f>
        <v>Google Maps enrichment</v>
      </c>
      <c r="F59" s="50" t="str">
        <f>'WhatsApp Tracker'!B42</f>
        <v>Suraj T.E.</v>
      </c>
      <c r="G59" s="50" t="str">
        <f>'WhatsApp Tracker'!C42</f>
        <v>Suraj T.E.</v>
      </c>
      <c r="H59" s="50" t="str">
        <f>'WhatsApp Tracker'!D42</f>
        <v>9401129574</v>
      </c>
      <c r="I59" s="50" t="str">
        <f>'WhatsApp Tracker'!T42</f>
        <v>Delivered</v>
      </c>
      <c r="J59" s="50" t="str">
        <f>'WhatsApp Tracker'!U42</f>
        <v>Unknown</v>
      </c>
      <c r="K59" s="50" t="str">
        <f>'WhatsApp Tracker'!V42</f>
        <v>Unknown</v>
      </c>
      <c r="L59" s="50" t="str">
        <f>'WhatsApp Tracker'!W42</f>
        <v>Not offered</v>
      </c>
      <c r="M59" s="51" t="str">
        <f>'WhatsApp Tracker'!X42</f>
        <v/>
      </c>
      <c r="N59" s="50" t="str">
        <f>'WhatsApp Tracker'!AM42</f>
        <v>Lower priority: Maps result cannot be verified without manual check</v>
      </c>
      <c r="O59" s="50" t="str">
        <f>'WhatsApp Tracker'!AC42</f>
        <v>Imported from extract_garden. Confidence: High. Direct estate number list; Generated garden export. District: Dibrugarh State: Assam; Original personal number. Phone type: Other. In original list: Yes</v>
      </c>
    </row>
    <row r="60" spans="1:15" ht="81" customHeight="1" x14ac:dyDescent="0.25">
      <c r="A60" s="50">
        <f>'WhatsApp Tracker'!AH43</f>
        <v>4436</v>
      </c>
      <c r="B60" s="50" t="str">
        <f>'WhatsApp Tracker'!AA43</f>
        <v>Review</v>
      </c>
      <c r="C60" s="50" t="str">
        <f>'WhatsApp Tracker'!M43</f>
        <v>Normal</v>
      </c>
      <c r="D60" s="50">
        <f>'WhatsApp Tracker'!AN43</f>
        <v>4</v>
      </c>
      <c r="E60" s="50" t="str">
        <f>'WhatsApp Tracker'!AL43</f>
        <v>Google Maps enrichment</v>
      </c>
      <c r="F60" s="50" t="str">
        <f>'WhatsApp Tracker'!B43</f>
        <v>Triveni T.E.</v>
      </c>
      <c r="G60" s="50" t="str">
        <f>'WhatsApp Tracker'!C43</f>
        <v>Triveni T.E.</v>
      </c>
      <c r="H60" s="50" t="str">
        <f>'WhatsApp Tracker'!D43</f>
        <v>9435532002</v>
      </c>
      <c r="I60" s="50" t="str">
        <f>'WhatsApp Tracker'!T43</f>
        <v>Delivered</v>
      </c>
      <c r="J60" s="50" t="str">
        <f>'WhatsApp Tracker'!U43</f>
        <v>Unknown</v>
      </c>
      <c r="K60" s="50" t="str">
        <f>'WhatsApp Tracker'!V43</f>
        <v>Unknown</v>
      </c>
      <c r="L60" s="50" t="str">
        <f>'WhatsApp Tracker'!W43</f>
        <v>Not offered</v>
      </c>
      <c r="M60" s="51" t="str">
        <f>'WhatsApp Tracker'!X43</f>
        <v/>
      </c>
      <c r="N60" s="50" t="str">
        <f>'WhatsApp Tracker'!AM43</f>
        <v>Lower priority: Maps result cannot be verified without manual check</v>
      </c>
      <c r="O60" s="50" t="str">
        <f>'WhatsApp Tracker'!AC43</f>
        <v>Imported from extract_garden. Confidence: High. Direct estate number list; Generated garden export. District: Dibrugarh State: Assam; Original personal number. Phone type: Other. In original list: Yes</v>
      </c>
    </row>
    <row r="61" spans="1:15" ht="81" customHeight="1" x14ac:dyDescent="0.25">
      <c r="A61" s="50">
        <f>'WhatsApp Tracker'!AH44</f>
        <v>4436</v>
      </c>
      <c r="B61" s="50" t="str">
        <f>'WhatsApp Tracker'!AA44</f>
        <v>Review</v>
      </c>
      <c r="C61" s="50" t="str">
        <f>'WhatsApp Tracker'!M44</f>
        <v>Normal</v>
      </c>
      <c r="D61" s="50">
        <f>'WhatsApp Tracker'!AN44</f>
        <v>4</v>
      </c>
      <c r="E61" s="50" t="str">
        <f>'WhatsApp Tracker'!AL44</f>
        <v>Google Maps enrichment</v>
      </c>
      <c r="F61" s="50" t="str">
        <f>'WhatsApp Tracker'!B44</f>
        <v>Udalguri T.E.</v>
      </c>
      <c r="G61" s="50" t="str">
        <f>'WhatsApp Tracker'!C44</f>
        <v>Udalguri T.E.</v>
      </c>
      <c r="H61" s="50" t="str">
        <f>'WhatsApp Tracker'!D44</f>
        <v>9954447408</v>
      </c>
      <c r="I61" s="50" t="str">
        <f>'WhatsApp Tracker'!T44</f>
        <v>Sent</v>
      </c>
      <c r="J61" s="50" t="str">
        <f>'WhatsApp Tracker'!U44</f>
        <v>Unknown</v>
      </c>
      <c r="K61" s="50" t="str">
        <f>'WhatsApp Tracker'!V44</f>
        <v>Unknown</v>
      </c>
      <c r="L61" s="50" t="str">
        <f>'WhatsApp Tracker'!W44</f>
        <v>Not offered</v>
      </c>
      <c r="M61" s="51" t="str">
        <f>'WhatsApp Tracker'!X44</f>
        <v/>
      </c>
      <c r="N61" s="50" t="str">
        <f>'WhatsApp Tracker'!AM44</f>
        <v>Lower priority: Maps result cannot be verified without manual check</v>
      </c>
      <c r="O61" s="50" t="str">
        <f>'WhatsApp Tracker'!AC44</f>
        <v>Imported from extract_garden. Confidence: High. Direct estate number list; Generated garden export. District: Dibrugarh State: Assam; Original personal number. Phone type: . In original list: Yes</v>
      </c>
    </row>
    <row r="62" spans="1:15" ht="81" customHeight="1" x14ac:dyDescent="0.25">
      <c r="A62" s="50">
        <f>'WhatsApp Tracker'!AH45</f>
        <v>4436</v>
      </c>
      <c r="B62" s="50" t="str">
        <f>'WhatsApp Tracker'!AA45</f>
        <v>Review</v>
      </c>
      <c r="C62" s="50" t="str">
        <f>'WhatsApp Tracker'!M45</f>
        <v>Normal</v>
      </c>
      <c r="D62" s="50">
        <f>'WhatsApp Tracker'!AN45</f>
        <v>4</v>
      </c>
      <c r="E62" s="50" t="str">
        <f>'WhatsApp Tracker'!AL45</f>
        <v>Google Maps enrichment</v>
      </c>
      <c r="F62" s="50" t="str">
        <f>'WhatsApp Tracker'!B45</f>
        <v>Homestay by the Tea Garden, Dibrugarh</v>
      </c>
      <c r="G62" s="50" t="str">
        <f>'WhatsApp Tracker'!C45</f>
        <v>Ahmedy T.E.</v>
      </c>
      <c r="H62" s="50" t="str">
        <f>'WhatsApp Tracker'!D45</f>
        <v>9899997370</v>
      </c>
      <c r="I62" s="50" t="str">
        <f>'WhatsApp Tracker'!T45</f>
        <v>Delivered</v>
      </c>
      <c r="J62" s="50" t="str">
        <f>'WhatsApp Tracker'!U45</f>
        <v>Unknown</v>
      </c>
      <c r="K62" s="50" t="str">
        <f>'WhatsApp Tracker'!V45</f>
        <v>Unknown</v>
      </c>
      <c r="L62" s="50" t="str">
        <f>'WhatsApp Tracker'!W45</f>
        <v>Not offered</v>
      </c>
      <c r="M62" s="51" t="str">
        <f>'WhatsApp Tracker'!X45</f>
        <v/>
      </c>
      <c r="N62" s="50" t="str">
        <f>'WhatsApp Tracker'!AM45</f>
        <v>Lower priority: Maps result cannot be verified without manual check</v>
      </c>
      <c r="O62" s="50" t="str">
        <f>'WhatsApp Tracker'!AC45</f>
        <v>Imported from extract_garden. Confidence: Medium. Google Maps phone. Phone type: Other. In original list: No; Google Maps phone. Phone type: Other. In original list: Yes</v>
      </c>
    </row>
    <row r="63" spans="1:15" ht="81" customHeight="1" x14ac:dyDescent="0.25">
      <c r="A63" s="50">
        <f>'WhatsApp Tracker'!AH46</f>
        <v>4436</v>
      </c>
      <c r="B63" s="50" t="str">
        <f>'WhatsApp Tracker'!AA46</f>
        <v>Review</v>
      </c>
      <c r="C63" s="50" t="str">
        <f>'WhatsApp Tracker'!M46</f>
        <v>Normal</v>
      </c>
      <c r="D63" s="50">
        <f>'WhatsApp Tracker'!AN46</f>
        <v>4</v>
      </c>
      <c r="E63" s="50" t="str">
        <f>'WhatsApp Tracker'!AL46</f>
        <v>Google Maps enrichment</v>
      </c>
      <c r="F63" s="50" t="str">
        <f>'WhatsApp Tracker'!B46</f>
        <v>ALIMUR SWEETS</v>
      </c>
      <c r="G63" s="50" t="str">
        <f>'WhatsApp Tracker'!C46</f>
        <v>Alimur T.E.</v>
      </c>
      <c r="H63" s="50" t="str">
        <f>'WhatsApp Tracker'!D46</f>
        <v>8011162497</v>
      </c>
      <c r="I63" s="50" t="str">
        <f>'WhatsApp Tracker'!T46</f>
        <v>Sent</v>
      </c>
      <c r="J63" s="50" t="str">
        <f>'WhatsApp Tracker'!U46</f>
        <v>Unknown</v>
      </c>
      <c r="K63" s="50" t="str">
        <f>'WhatsApp Tracker'!V46</f>
        <v>Unknown</v>
      </c>
      <c r="L63" s="50" t="str">
        <f>'WhatsApp Tracker'!W46</f>
        <v>Not offered</v>
      </c>
      <c r="M63" s="51" t="str">
        <f>'WhatsApp Tracker'!X46</f>
        <v/>
      </c>
      <c r="N63" s="50" t="str">
        <f>'WhatsApp Tracker'!AM46</f>
        <v>Lower priority: Maps result cannot be verified without manual check</v>
      </c>
      <c r="O63" s="50" t="str">
        <f>'WhatsApp Tracker'!AC46</f>
        <v>Imported from extract_garden. Confidence: Medium. Google Maps phone. Phone type: Other. In original list: Yes</v>
      </c>
    </row>
    <row r="64" spans="1:15" ht="108" customHeight="1" x14ac:dyDescent="0.25">
      <c r="A64" s="50">
        <f>'WhatsApp Tracker'!AH47</f>
        <v>4436</v>
      </c>
      <c r="B64" s="50" t="str">
        <f>'WhatsApp Tracker'!AA47</f>
        <v>Review</v>
      </c>
      <c r="C64" s="50" t="str">
        <f>'WhatsApp Tracker'!M47</f>
        <v>Normal</v>
      </c>
      <c r="D64" s="50">
        <f>'WhatsApp Tracker'!AN47</f>
        <v>4</v>
      </c>
      <c r="E64" s="50" t="str">
        <f>'WhatsApp Tracker'!AL47</f>
        <v>Google Maps enrichment</v>
      </c>
      <c r="F64" s="50" t="str">
        <f>'WhatsApp Tracker'!B47</f>
        <v>APARNA STORE</v>
      </c>
      <c r="G64" s="50" t="str">
        <f>'WhatsApp Tracker'!C47</f>
        <v>Aparna T.E.</v>
      </c>
      <c r="H64" s="50" t="str">
        <f>'WhatsApp Tracker'!D47</f>
        <v>9395836442</v>
      </c>
      <c r="I64" s="50" t="str">
        <f>'WhatsApp Tracker'!T47</f>
        <v>Delivered</v>
      </c>
      <c r="J64" s="50" t="str">
        <f>'WhatsApp Tracker'!U47</f>
        <v>Unknown</v>
      </c>
      <c r="K64" s="50" t="str">
        <f>'WhatsApp Tracker'!V47</f>
        <v>Unknown</v>
      </c>
      <c r="L64" s="50" t="str">
        <f>'WhatsApp Tracker'!W47</f>
        <v>Not offered</v>
      </c>
      <c r="M64" s="51" t="str">
        <f>'WhatsApp Tracker'!X47</f>
        <v/>
      </c>
      <c r="N64" s="50" t="str">
        <f>'WhatsApp Tracker'!AM47</f>
        <v>Lower priority: Maps result cannot be verified without manual check</v>
      </c>
      <c r="O64" s="50" t="str">
        <f>'WhatsApp Tracker'!AC47</f>
        <v>Imported from extract_garden. Confidence: Medium. Google Maps phone. Phone type: Other. In original list: Yes</v>
      </c>
    </row>
    <row r="65" spans="1:15" ht="81" customHeight="1" x14ac:dyDescent="0.25">
      <c r="A65" s="50">
        <f>'WhatsApp Tracker'!AH48</f>
        <v>3436</v>
      </c>
      <c r="B65" s="50" t="str">
        <f>'WhatsApp Tracker'!AA48</f>
        <v>Send WhatsApp</v>
      </c>
      <c r="C65" s="50" t="str">
        <f>'WhatsApp Tracker'!M48</f>
        <v>Normal</v>
      </c>
      <c r="D65" s="50">
        <f>'WhatsApp Tracker'!AN48</f>
        <v>4</v>
      </c>
      <c r="E65" s="50" t="str">
        <f>'WhatsApp Tracker'!AL48</f>
        <v>Google Maps enrichment</v>
      </c>
      <c r="F65" s="50" t="str">
        <f>'WhatsApp Tracker'!B48</f>
        <v>Mancotta Tea Estate Garden</v>
      </c>
      <c r="G65" s="50" t="str">
        <f>'WhatsApp Tracker'!C48</f>
        <v>Asitpur T.E.</v>
      </c>
      <c r="H65" s="50" t="str">
        <f>'WhatsApp Tracker'!D48</f>
        <v>9395331162</v>
      </c>
      <c r="I65" s="50" t="str">
        <f>'WhatsApp Tracker'!T48</f>
        <v>Not sent</v>
      </c>
      <c r="J65" s="50" t="str">
        <f>'WhatsApp Tracker'!U48</f>
        <v>Unknown</v>
      </c>
      <c r="K65" s="50" t="str">
        <f>'WhatsApp Tracker'!V48</f>
        <v>Unknown</v>
      </c>
      <c r="L65" s="50" t="str">
        <f>'WhatsApp Tracker'!W48</f>
        <v>Not offered</v>
      </c>
      <c r="M65" s="51" t="str">
        <f>'WhatsApp Tracker'!X48</f>
        <v/>
      </c>
      <c r="N65" s="50" t="str">
        <f>'WhatsApp Tracker'!AM48</f>
        <v>Lower priority: Maps result cannot be verified without manual check</v>
      </c>
      <c r="O65" s="50" t="str">
        <f>'WhatsApp Tracker'!AC48</f>
        <v>Imported from extract_garden. Confidence: Medium. Google Maps phone. Phone type: Other. In original list: Yes; Google Maps phone. Phone type: Other. In original list: No</v>
      </c>
    </row>
    <row r="66" spans="1:15" ht="81" customHeight="1" x14ac:dyDescent="0.25">
      <c r="A66" s="50">
        <f>'WhatsApp Tracker'!AH49</f>
        <v>3436</v>
      </c>
      <c r="B66" s="50" t="str">
        <f>'WhatsApp Tracker'!AA49</f>
        <v>Send WhatsApp</v>
      </c>
      <c r="C66" s="50" t="str">
        <f>'WhatsApp Tracker'!M49</f>
        <v>Normal</v>
      </c>
      <c r="D66" s="50">
        <f>'WhatsApp Tracker'!AN49</f>
        <v>4</v>
      </c>
      <c r="E66" s="50" t="str">
        <f>'WhatsApp Tracker'!AL49</f>
        <v>Google Maps enrichment</v>
      </c>
      <c r="F66" s="50" t="str">
        <f>'WhatsApp Tracker'!B49</f>
        <v>Assam Tea Machineries</v>
      </c>
      <c r="G66" s="50" t="str">
        <f>'WhatsApp Tracker'!C49</f>
        <v>Assam Tea &amp; Tea Seeds Plantation</v>
      </c>
      <c r="H66" s="50" t="str">
        <f>'WhatsApp Tracker'!D49</f>
        <v>9435032131</v>
      </c>
      <c r="I66" s="50" t="str">
        <f>'WhatsApp Tracker'!T49</f>
        <v>Not sent</v>
      </c>
      <c r="J66" s="50" t="str">
        <f>'WhatsApp Tracker'!U49</f>
        <v>Unknown</v>
      </c>
      <c r="K66" s="50" t="str">
        <f>'WhatsApp Tracker'!V49</f>
        <v>Unknown</v>
      </c>
      <c r="L66" s="50" t="str">
        <f>'WhatsApp Tracker'!W49</f>
        <v>Not offered</v>
      </c>
      <c r="M66" s="51" t="str">
        <f>'WhatsApp Tracker'!X49</f>
        <v/>
      </c>
      <c r="N66" s="50" t="str">
        <f>'WhatsApp Tracker'!AM49</f>
        <v>Lower priority: Maps result cannot be verified without manual check</v>
      </c>
      <c r="O66" s="50" t="str">
        <f>'WhatsApp Tracker'!AC49</f>
        <v>Imported from extract_garden. Confidence: Medium. Google Maps phone. Phone type: Other. In original list: Yes</v>
      </c>
    </row>
    <row r="67" spans="1:15" ht="81" customHeight="1" x14ac:dyDescent="0.25">
      <c r="A67" s="50">
        <f>'WhatsApp Tracker'!AH50</f>
        <v>3436</v>
      </c>
      <c r="B67" s="50" t="str">
        <f>'WhatsApp Tracker'!AA50</f>
        <v>Send WhatsApp</v>
      </c>
      <c r="C67" s="50" t="str">
        <f>'WhatsApp Tracker'!M50</f>
        <v>Normal</v>
      </c>
      <c r="D67" s="50">
        <f>'WhatsApp Tracker'!AN50</f>
        <v>4</v>
      </c>
      <c r="E67" s="50" t="str">
        <f>'WhatsApp Tracker'!AL50</f>
        <v>Google Maps enrichment</v>
      </c>
      <c r="F67" s="50" t="str">
        <f>'WhatsApp Tracker'!B50</f>
        <v>Balijan noth Tea Factory</v>
      </c>
      <c r="G67" s="50" t="str">
        <f>'WhatsApp Tracker'!C50</f>
        <v>Balijan (North) T.E</v>
      </c>
      <c r="H67" s="50" t="str">
        <f>'WhatsApp Tracker'!D50</f>
        <v>9780992400</v>
      </c>
      <c r="I67" s="50" t="str">
        <f>'WhatsApp Tracker'!T50</f>
        <v>Not sent</v>
      </c>
      <c r="J67" s="50" t="str">
        <f>'WhatsApp Tracker'!U50</f>
        <v>Unknown</v>
      </c>
      <c r="K67" s="50" t="str">
        <f>'WhatsApp Tracker'!V50</f>
        <v>Unknown</v>
      </c>
      <c r="L67" s="50" t="str">
        <f>'WhatsApp Tracker'!W50</f>
        <v>Not offered</v>
      </c>
      <c r="M67" s="51" t="str">
        <f>'WhatsApp Tracker'!X50</f>
        <v/>
      </c>
      <c r="N67" s="50" t="str">
        <f>'WhatsApp Tracker'!AM50</f>
        <v>Lower priority: Maps result cannot be verified without manual check</v>
      </c>
      <c r="O67" s="50" t="str">
        <f>'WhatsApp Tracker'!AC50</f>
        <v>Imported from extract_garden. Confidence: Medium. Google Maps phone. Phone type: Other. In original list: No</v>
      </c>
    </row>
    <row r="68" spans="1:15" ht="81" customHeight="1" x14ac:dyDescent="0.25">
      <c r="A68" s="50">
        <f>'WhatsApp Tracker'!AH51</f>
        <v>3436</v>
      </c>
      <c r="B68" s="50" t="str">
        <f>'WhatsApp Tracker'!AA51</f>
        <v>Send WhatsApp</v>
      </c>
      <c r="C68" s="50" t="str">
        <f>'WhatsApp Tracker'!M51</f>
        <v>Normal</v>
      </c>
      <c r="D68" s="50">
        <f>'WhatsApp Tracker'!AN51</f>
        <v>4</v>
      </c>
      <c r="E68" s="50" t="str">
        <f>'WhatsApp Tracker'!AL51</f>
        <v>Google Maps enrichment</v>
      </c>
      <c r="F68" s="50" t="str">
        <f>'WhatsApp Tracker'!B51</f>
        <v>Bochapathar Tea Estate</v>
      </c>
      <c r="G68" s="50" t="str">
        <f>'WhatsApp Tracker'!C51</f>
        <v>Bochapathar T.E.</v>
      </c>
      <c r="H68" s="50" t="str">
        <f>'WhatsApp Tracker'!D51</f>
        <v>9435131803</v>
      </c>
      <c r="I68" s="50" t="str">
        <f>'WhatsApp Tracker'!T51</f>
        <v>Not sent</v>
      </c>
      <c r="J68" s="50" t="str">
        <f>'WhatsApp Tracker'!U51</f>
        <v>Unknown</v>
      </c>
      <c r="K68" s="50" t="str">
        <f>'WhatsApp Tracker'!V51</f>
        <v>Unknown</v>
      </c>
      <c r="L68" s="50" t="str">
        <f>'WhatsApp Tracker'!W51</f>
        <v>Not offered</v>
      </c>
      <c r="M68" s="51" t="str">
        <f>'WhatsApp Tracker'!X51</f>
        <v/>
      </c>
      <c r="N68" s="50" t="str">
        <f>'WhatsApp Tracker'!AM51</f>
        <v>Lower priority: Maps result cannot be verified without manual check</v>
      </c>
      <c r="O68" s="50" t="str">
        <f>'WhatsApp Tracker'!AC51</f>
        <v>Imported from extract_garden. Confidence: Medium. Google Maps phone. Phone type: Other. In original list: No</v>
      </c>
    </row>
    <row r="69" spans="1:15" ht="81" customHeight="1" x14ac:dyDescent="0.25">
      <c r="A69" s="50">
        <f>'WhatsApp Tracker'!AH52</f>
        <v>3436</v>
      </c>
      <c r="B69" s="50" t="str">
        <f>'WhatsApp Tracker'!AA52</f>
        <v>Send WhatsApp</v>
      </c>
      <c r="C69" s="50" t="str">
        <f>'WhatsApp Tracker'!M52</f>
        <v>Normal</v>
      </c>
      <c r="D69" s="50">
        <f>'WhatsApp Tracker'!AN52</f>
        <v>4</v>
      </c>
      <c r="E69" s="50" t="str">
        <f>'WhatsApp Tracker'!AL52</f>
        <v>Google Maps enrichment</v>
      </c>
      <c r="F69" s="50" t="str">
        <f>'WhatsApp Tracker'!B52</f>
        <v>BRINDABAN Real-estate Consultancy</v>
      </c>
      <c r="G69" s="50" t="str">
        <f>'WhatsApp Tracker'!C52</f>
        <v>Brindaban T.E.</v>
      </c>
      <c r="H69" s="50" t="str">
        <f>'WhatsApp Tracker'!D52</f>
        <v>8133947096</v>
      </c>
      <c r="I69" s="50" t="str">
        <f>'WhatsApp Tracker'!T52</f>
        <v>Not sent</v>
      </c>
      <c r="J69" s="50" t="str">
        <f>'WhatsApp Tracker'!U52</f>
        <v>Unknown</v>
      </c>
      <c r="K69" s="50" t="str">
        <f>'WhatsApp Tracker'!V52</f>
        <v>Unknown</v>
      </c>
      <c r="L69" s="50" t="str">
        <f>'WhatsApp Tracker'!W52</f>
        <v>Not offered</v>
      </c>
      <c r="M69" s="51" t="str">
        <f>'WhatsApp Tracker'!X52</f>
        <v/>
      </c>
      <c r="N69" s="50" t="str">
        <f>'WhatsApp Tracker'!AM52</f>
        <v>Lower priority: Maps result cannot be verified without manual check</v>
      </c>
      <c r="O69" s="50" t="str">
        <f>'WhatsApp Tracker'!AC52</f>
        <v>Imported from extract_garden. Confidence: Medium. Google Maps phone. Phone type: Other. In original list: No</v>
      </c>
    </row>
    <row r="70" spans="1:15" ht="81" customHeight="1" x14ac:dyDescent="0.25">
      <c r="A70" s="50">
        <f>'WhatsApp Tracker'!AH53</f>
        <v>3436</v>
      </c>
      <c r="B70" s="50" t="str">
        <f>'WhatsApp Tracker'!AA53</f>
        <v>Send WhatsApp</v>
      </c>
      <c r="C70" s="50" t="str">
        <f>'WhatsApp Tracker'!M53</f>
        <v>Normal</v>
      </c>
      <c r="D70" s="50">
        <f>'WhatsApp Tracker'!AN53</f>
        <v>4</v>
      </c>
      <c r="E70" s="50" t="str">
        <f>'WhatsApp Tracker'!AL53</f>
        <v>Google Maps enrichment</v>
      </c>
      <c r="F70" s="50" t="str">
        <f>'WhatsApp Tracker'!B53</f>
        <v>Bajrang Timbers</v>
      </c>
      <c r="G70" s="50" t="str">
        <f>'WhatsApp Tracker'!C53</f>
        <v>Bajrang T.E.</v>
      </c>
      <c r="H70" s="50" t="str">
        <f>'WhatsApp Tracker'!D53</f>
        <v>7086048927</v>
      </c>
      <c r="I70" s="50" t="str">
        <f>'WhatsApp Tracker'!T53</f>
        <v>Not sent</v>
      </c>
      <c r="J70" s="50" t="str">
        <f>'WhatsApp Tracker'!U53</f>
        <v>Unknown</v>
      </c>
      <c r="K70" s="50" t="str">
        <f>'WhatsApp Tracker'!V53</f>
        <v>Unknown</v>
      </c>
      <c r="L70" s="50" t="str">
        <f>'WhatsApp Tracker'!W53</f>
        <v>Not offered</v>
      </c>
      <c r="M70" s="51" t="str">
        <f>'WhatsApp Tracker'!X53</f>
        <v/>
      </c>
      <c r="N70" s="50" t="str">
        <f>'WhatsApp Tracker'!AM53</f>
        <v>Lower priority: Maps result cannot be verified without manual check</v>
      </c>
      <c r="O70" s="50" t="str">
        <f>'WhatsApp Tracker'!AC53</f>
        <v>Imported from extract_garden. Confidence: Medium. Google Maps phone. Phone type: Other. In original list: No</v>
      </c>
    </row>
    <row r="71" spans="1:15" ht="81" customHeight="1" x14ac:dyDescent="0.25">
      <c r="A71" s="50">
        <f>'WhatsApp Tracker'!AH54</f>
        <v>3436</v>
      </c>
      <c r="B71" s="50" t="str">
        <f>'WhatsApp Tracker'!AA54</f>
        <v>Send WhatsApp</v>
      </c>
      <c r="C71" s="50" t="str">
        <f>'WhatsApp Tracker'!M54</f>
        <v>Normal</v>
      </c>
      <c r="D71" s="50">
        <f>'WhatsApp Tracker'!AN54</f>
        <v>4</v>
      </c>
      <c r="E71" s="50" t="str">
        <f>'WhatsApp Tracker'!AL54</f>
        <v>Google Maps enrichment</v>
      </c>
      <c r="F71" s="50" t="str">
        <f>'WhatsApp Tracker'!B54</f>
        <v>M/s. Dhelia &amp; Son's- Ultratech Cement</v>
      </c>
      <c r="G71" s="50" t="str">
        <f>'WhatsApp Tracker'!C54</f>
        <v>Dhelia T.E.</v>
      </c>
      <c r="H71" s="50" t="str">
        <f>'WhatsApp Tracker'!D54</f>
        <v>9854679574</v>
      </c>
      <c r="I71" s="50" t="str">
        <f>'WhatsApp Tracker'!T54</f>
        <v>Not sent</v>
      </c>
      <c r="J71" s="50" t="str">
        <f>'WhatsApp Tracker'!U54</f>
        <v>Unknown</v>
      </c>
      <c r="K71" s="50" t="str">
        <f>'WhatsApp Tracker'!V54</f>
        <v>Unknown</v>
      </c>
      <c r="L71" s="50" t="str">
        <f>'WhatsApp Tracker'!W54</f>
        <v>Not offered</v>
      </c>
      <c r="M71" s="51" t="str">
        <f>'WhatsApp Tracker'!X54</f>
        <v/>
      </c>
      <c r="N71" s="50" t="str">
        <f>'WhatsApp Tracker'!AM54</f>
        <v>Lower priority: Maps result cannot be verified without manual check</v>
      </c>
      <c r="O71" s="50" t="str">
        <f>'WhatsApp Tracker'!AC54</f>
        <v>Imported from extract_garden. Confidence: Medium. Google Maps phone. Phone type: Other. In original list: Yes</v>
      </c>
    </row>
    <row r="72" spans="1:15" ht="81" customHeight="1" x14ac:dyDescent="0.25">
      <c r="A72" s="50">
        <f>'WhatsApp Tracker'!AH55</f>
        <v>3436</v>
      </c>
      <c r="B72" s="50" t="str">
        <f>'WhatsApp Tracker'!AA55</f>
        <v>Send WhatsApp</v>
      </c>
      <c r="C72" s="50" t="str">
        <f>'WhatsApp Tracker'!M55</f>
        <v>Normal</v>
      </c>
      <c r="D72" s="50">
        <f>'WhatsApp Tracker'!AN55</f>
        <v>4</v>
      </c>
      <c r="E72" s="50" t="str">
        <f>'WhatsApp Tracker'!AL55</f>
        <v>Google Maps enrichment</v>
      </c>
      <c r="F72" s="50" t="str">
        <f>'WhatsApp Tracker'!B55</f>
        <v>HARISHPUR TEA ESTATE</v>
      </c>
      <c r="G72" s="50" t="str">
        <f>'WhatsApp Tracker'!C55</f>
        <v>Harishpur T.E.</v>
      </c>
      <c r="H72" s="50" t="str">
        <f>'WhatsApp Tracker'!D55</f>
        <v>8011017408</v>
      </c>
      <c r="I72" s="50" t="str">
        <f>'WhatsApp Tracker'!T55</f>
        <v>Not sent</v>
      </c>
      <c r="J72" s="50" t="str">
        <f>'WhatsApp Tracker'!U55</f>
        <v>Unknown</v>
      </c>
      <c r="K72" s="50" t="str">
        <f>'WhatsApp Tracker'!V55</f>
        <v>Unknown</v>
      </c>
      <c r="L72" s="50" t="str">
        <f>'WhatsApp Tracker'!W55</f>
        <v>Not offered</v>
      </c>
      <c r="M72" s="51" t="str">
        <f>'WhatsApp Tracker'!X55</f>
        <v/>
      </c>
      <c r="N72" s="50" t="str">
        <f>'WhatsApp Tracker'!AM55</f>
        <v>Lower priority: Maps result cannot be verified without manual check</v>
      </c>
      <c r="O72" s="50" t="str">
        <f>'WhatsApp Tracker'!AC55</f>
        <v>Imported from extract_garden. Confidence: Medium. Google Maps phone. Phone type: Other. In original list: Yes</v>
      </c>
    </row>
    <row r="73" spans="1:15" ht="81" customHeight="1" x14ac:dyDescent="0.25">
      <c r="A73" s="50">
        <f>'WhatsApp Tracker'!AH56</f>
        <v>3436</v>
      </c>
      <c r="B73" s="50" t="str">
        <f>'WhatsApp Tracker'!AA56</f>
        <v>Send WhatsApp</v>
      </c>
      <c r="C73" s="50" t="str">
        <f>'WhatsApp Tracker'!M56</f>
        <v>Normal</v>
      </c>
      <c r="D73" s="50">
        <f>'WhatsApp Tracker'!AN56</f>
        <v>4</v>
      </c>
      <c r="E73" s="50" t="str">
        <f>'WhatsApp Tracker'!AL56</f>
        <v>Google Maps enrichment</v>
      </c>
      <c r="F73" s="50" t="str">
        <f>'WhatsApp Tracker'!B56</f>
        <v>Karangani Tea Factory</v>
      </c>
      <c r="G73" s="50" t="str">
        <f>'WhatsApp Tracker'!C56</f>
        <v>Karangani T.E.</v>
      </c>
      <c r="H73" s="50" t="str">
        <f>'WhatsApp Tracker'!D56</f>
        <v>9435031926</v>
      </c>
      <c r="I73" s="50" t="str">
        <f>'WhatsApp Tracker'!T56</f>
        <v>Not sent</v>
      </c>
      <c r="J73" s="50" t="str">
        <f>'WhatsApp Tracker'!U56</f>
        <v>Unknown</v>
      </c>
      <c r="K73" s="50" t="str">
        <f>'WhatsApp Tracker'!V56</f>
        <v>Unknown</v>
      </c>
      <c r="L73" s="50" t="str">
        <f>'WhatsApp Tracker'!W56</f>
        <v>Not offered</v>
      </c>
      <c r="M73" s="51" t="str">
        <f>'WhatsApp Tracker'!X56</f>
        <v/>
      </c>
      <c r="N73" s="50" t="str">
        <f>'WhatsApp Tracker'!AM56</f>
        <v>Lower priority: Maps result cannot be verified without manual check</v>
      </c>
      <c r="O73" s="50" t="str">
        <f>'WhatsApp Tracker'!AC56</f>
        <v>Imported from extract_garden. Confidence: Medium. Google Maps phone. Phone type: Other. In original list: No</v>
      </c>
    </row>
    <row r="74" spans="1:15" ht="81" customHeight="1" x14ac:dyDescent="0.25">
      <c r="A74" s="50">
        <f>'WhatsApp Tracker'!AH57</f>
        <v>3436</v>
      </c>
      <c r="B74" s="50" t="str">
        <f>'WhatsApp Tracker'!AA57</f>
        <v>Send WhatsApp</v>
      </c>
      <c r="C74" s="50" t="str">
        <f>'WhatsApp Tracker'!M57</f>
        <v>Normal</v>
      </c>
      <c r="D74" s="50">
        <f>'WhatsApp Tracker'!AN57</f>
        <v>4</v>
      </c>
      <c r="E74" s="50" t="str">
        <f>'WhatsApp Tracker'!AL57</f>
        <v>Google Maps enrichment</v>
      </c>
      <c r="F74" s="50" t="str">
        <f>'WhatsApp Tracker'!B57</f>
        <v>Madhuban Dibrugarh Home Stay /মধুবন হোম ষ্টে</v>
      </c>
      <c r="G74" s="50" t="str">
        <f>'WhatsApp Tracker'!C57</f>
        <v>Madhuban T.E.</v>
      </c>
      <c r="H74" s="50" t="str">
        <f>'WhatsApp Tracker'!D57</f>
        <v>7002475029</v>
      </c>
      <c r="I74" s="50" t="str">
        <f>'WhatsApp Tracker'!T57</f>
        <v>Not sent</v>
      </c>
      <c r="J74" s="50" t="str">
        <f>'WhatsApp Tracker'!U57</f>
        <v>Unknown</v>
      </c>
      <c r="K74" s="50" t="str">
        <f>'WhatsApp Tracker'!V57</f>
        <v>Unknown</v>
      </c>
      <c r="L74" s="50" t="str">
        <f>'WhatsApp Tracker'!W57</f>
        <v>Not offered</v>
      </c>
      <c r="M74" s="51" t="str">
        <f>'WhatsApp Tracker'!X57</f>
        <v/>
      </c>
      <c r="N74" s="50" t="str">
        <f>'WhatsApp Tracker'!AM57</f>
        <v>Lower priority: Maps result cannot be verified without manual check</v>
      </c>
      <c r="O74" s="50" t="str">
        <f>'WhatsApp Tracker'!AC57</f>
        <v>Imported from extract_garden. Confidence: Medium. Google Maps phone. Phone type: Other. In original list: Yes</v>
      </c>
    </row>
    <row r="75" spans="1:15" ht="81" customHeight="1" x14ac:dyDescent="0.25">
      <c r="A75" s="50">
        <f>'WhatsApp Tracker'!AH58</f>
        <v>3436</v>
      </c>
      <c r="B75" s="50" t="str">
        <f>'WhatsApp Tracker'!AA58</f>
        <v>Send WhatsApp</v>
      </c>
      <c r="C75" s="50" t="str">
        <f>'WhatsApp Tracker'!M58</f>
        <v>Normal</v>
      </c>
      <c r="D75" s="50">
        <f>'WhatsApp Tracker'!AN58</f>
        <v>4</v>
      </c>
      <c r="E75" s="50" t="str">
        <f>'WhatsApp Tracker'!AL58</f>
        <v>Google Maps enrichment</v>
      </c>
      <c r="F75" s="50" t="str">
        <f>'WhatsApp Tracker'!B58</f>
        <v>Maijan Factory</v>
      </c>
      <c r="G75" s="50" t="str">
        <f>'WhatsApp Tracker'!C58</f>
        <v>Maijan T.E.</v>
      </c>
      <c r="H75" s="50" t="str">
        <f>'WhatsApp Tracker'!D58</f>
        <v>8099787964</v>
      </c>
      <c r="I75" s="50" t="str">
        <f>'WhatsApp Tracker'!T58</f>
        <v>Not sent</v>
      </c>
      <c r="J75" s="50" t="str">
        <f>'WhatsApp Tracker'!U58</f>
        <v>Unknown</v>
      </c>
      <c r="K75" s="50" t="str">
        <f>'WhatsApp Tracker'!V58</f>
        <v>Unknown</v>
      </c>
      <c r="L75" s="50" t="str">
        <f>'WhatsApp Tracker'!W58</f>
        <v>Not offered</v>
      </c>
      <c r="M75" s="51" t="str">
        <f>'WhatsApp Tracker'!X58</f>
        <v/>
      </c>
      <c r="N75" s="50" t="str">
        <f>'WhatsApp Tracker'!AM58</f>
        <v>Lower priority: Maps result cannot be verified without manual check</v>
      </c>
      <c r="O75" s="50" t="str">
        <f>'WhatsApp Tracker'!AC58</f>
        <v>Imported from extract_garden. Confidence: Medium. Google Maps phone. Phone type: Other. In original list: No</v>
      </c>
    </row>
    <row r="76" spans="1:15" ht="81" customHeight="1" x14ac:dyDescent="0.25">
      <c r="A76" s="50">
        <f>'WhatsApp Tracker'!AH59</f>
        <v>3436</v>
      </c>
      <c r="B76" s="50" t="str">
        <f>'WhatsApp Tracker'!AA59</f>
        <v>Send WhatsApp</v>
      </c>
      <c r="C76" s="50" t="str">
        <f>'WhatsApp Tracker'!M59</f>
        <v>Normal</v>
      </c>
      <c r="D76" s="50">
        <f>'WhatsApp Tracker'!AN59</f>
        <v>4</v>
      </c>
      <c r="E76" s="50" t="str">
        <f>'WhatsApp Tracker'!AL59</f>
        <v>Google Maps enrichment</v>
      </c>
      <c r="F76" s="50" t="str">
        <f>'WhatsApp Tracker'!B59</f>
        <v>Mukul Cable</v>
      </c>
      <c r="G76" s="50" t="str">
        <f>'WhatsApp Tracker'!C59</f>
        <v>Mukul T.E.</v>
      </c>
      <c r="H76" s="50" t="str">
        <f>'WhatsApp Tracker'!D59</f>
        <v>9859349447</v>
      </c>
      <c r="I76" s="50" t="str">
        <f>'WhatsApp Tracker'!T59</f>
        <v>Not sent</v>
      </c>
      <c r="J76" s="50" t="str">
        <f>'WhatsApp Tracker'!U59</f>
        <v>Unknown</v>
      </c>
      <c r="K76" s="50" t="str">
        <f>'WhatsApp Tracker'!V59</f>
        <v>Unknown</v>
      </c>
      <c r="L76" s="50" t="str">
        <f>'WhatsApp Tracker'!W59</f>
        <v>Not offered</v>
      </c>
      <c r="M76" s="51" t="str">
        <f>'WhatsApp Tracker'!X59</f>
        <v/>
      </c>
      <c r="N76" s="50" t="str">
        <f>'WhatsApp Tracker'!AM59</f>
        <v>Lower priority: Maps result cannot be verified without manual check</v>
      </c>
      <c r="O76" s="50" t="str">
        <f>'WhatsApp Tracker'!AC59</f>
        <v>Imported from extract_garden. Confidence: Medium. Google Maps phone. Phone type: Other. In original list: Yes</v>
      </c>
    </row>
    <row r="77" spans="1:15" ht="81" customHeight="1" x14ac:dyDescent="0.25">
      <c r="A77" s="50">
        <f>'WhatsApp Tracker'!AH60</f>
        <v>3436</v>
      </c>
      <c r="B77" s="50" t="str">
        <f>'WhatsApp Tracker'!AA60</f>
        <v>Send WhatsApp</v>
      </c>
      <c r="C77" s="50" t="str">
        <f>'WhatsApp Tracker'!M60</f>
        <v>Normal</v>
      </c>
      <c r="D77" s="50">
        <f>'WhatsApp Tracker'!AN60</f>
        <v>4</v>
      </c>
      <c r="E77" s="50" t="str">
        <f>'WhatsApp Tracker'!AL60</f>
        <v>Google Maps enrichment</v>
      </c>
      <c r="F77" s="50" t="str">
        <f>'WhatsApp Tracker'!B60</f>
        <v>Harishpur Tea Estate, Namrup</v>
      </c>
      <c r="G77" s="50" t="str">
        <f>'WhatsApp Tracker'!C60</f>
        <v>Namrup T.E.</v>
      </c>
      <c r="H77" s="50" t="str">
        <f>'WhatsApp Tracker'!D60</f>
        <v>6003018224</v>
      </c>
      <c r="I77" s="50" t="str">
        <f>'WhatsApp Tracker'!T60</f>
        <v>Not sent</v>
      </c>
      <c r="J77" s="50" t="str">
        <f>'WhatsApp Tracker'!U60</f>
        <v>Unknown</v>
      </c>
      <c r="K77" s="50" t="str">
        <f>'WhatsApp Tracker'!V60</f>
        <v>Unknown</v>
      </c>
      <c r="L77" s="50" t="str">
        <f>'WhatsApp Tracker'!W60</f>
        <v>Not offered</v>
      </c>
      <c r="M77" s="51" t="str">
        <f>'WhatsApp Tracker'!X60</f>
        <v/>
      </c>
      <c r="N77" s="50" t="str">
        <f>'WhatsApp Tracker'!AM60</f>
        <v>Lower priority: Maps result cannot be verified without manual check</v>
      </c>
      <c r="O77" s="50" t="str">
        <f>'WhatsApp Tracker'!AC60</f>
        <v>Imported from extract_garden. Confidence: Medium. Google Maps phone. Phone type: Other. In original list: No</v>
      </c>
    </row>
    <row r="78" spans="1:15" ht="108" customHeight="1" x14ac:dyDescent="0.25">
      <c r="A78" s="50">
        <f>'WhatsApp Tracker'!AH61</f>
        <v>3436</v>
      </c>
      <c r="B78" s="50" t="str">
        <f>'WhatsApp Tracker'!AA61</f>
        <v>Send WhatsApp</v>
      </c>
      <c r="C78" s="50" t="str">
        <f>'WhatsApp Tracker'!M61</f>
        <v>Normal</v>
      </c>
      <c r="D78" s="50">
        <f>'WhatsApp Tracker'!AN61</f>
        <v>4</v>
      </c>
      <c r="E78" s="50" t="str">
        <f>'WhatsApp Tracker'!AL61</f>
        <v>Google Maps enrichment</v>
      </c>
      <c r="F78" s="50" t="str">
        <f>'WhatsApp Tracker'!B61</f>
        <v>Narayanpur Tea Estate</v>
      </c>
      <c r="G78" s="50" t="str">
        <f>'WhatsApp Tracker'!C61</f>
        <v>Narayan T.E.</v>
      </c>
      <c r="H78" s="50" t="str">
        <f>'WhatsApp Tracker'!D61</f>
        <v>8003020021</v>
      </c>
      <c r="I78" s="50" t="str">
        <f>'WhatsApp Tracker'!T61</f>
        <v>Not sent</v>
      </c>
      <c r="J78" s="50" t="str">
        <f>'WhatsApp Tracker'!U61</f>
        <v>Unknown</v>
      </c>
      <c r="K78" s="50" t="str">
        <f>'WhatsApp Tracker'!V61</f>
        <v>Unknown</v>
      </c>
      <c r="L78" s="50" t="str">
        <f>'WhatsApp Tracker'!W61</f>
        <v>Not offered</v>
      </c>
      <c r="M78" s="51" t="str">
        <f>'WhatsApp Tracker'!X61</f>
        <v/>
      </c>
      <c r="N78" s="50" t="str">
        <f>'WhatsApp Tracker'!AM61</f>
        <v>Lower priority: Maps result cannot be verified without manual check</v>
      </c>
      <c r="O78" s="50" t="str">
        <f>'WhatsApp Tracker'!AC61</f>
        <v>Imported from extract_garden. Confidence: Medium. Google Maps phone. Phone type: Other. In original list: No</v>
      </c>
    </row>
    <row r="79" spans="1:15" ht="81" customHeight="1" x14ac:dyDescent="0.25">
      <c r="A79" s="50">
        <f>'WhatsApp Tracker'!AH62</f>
        <v>3436</v>
      </c>
      <c r="B79" s="50" t="str">
        <f>'WhatsApp Tracker'!AA62</f>
        <v>Send WhatsApp</v>
      </c>
      <c r="C79" s="50" t="str">
        <f>'WhatsApp Tracker'!M62</f>
        <v>Normal</v>
      </c>
      <c r="D79" s="50">
        <f>'WhatsApp Tracker'!AN62</f>
        <v>4</v>
      </c>
      <c r="E79" s="50" t="str">
        <f>'WhatsApp Tracker'!AL62</f>
        <v>Google Maps enrichment</v>
      </c>
      <c r="F79" s="50" t="str">
        <f>'WhatsApp Tracker'!B62</f>
        <v>Phoenix</v>
      </c>
      <c r="G79" s="50" t="str">
        <f>'WhatsApp Tracker'!C62</f>
        <v>Phoenix Tea &amp; Agril. Firm</v>
      </c>
      <c r="H79" s="50" t="str">
        <f>'WhatsApp Tracker'!D62</f>
        <v>9101772783</v>
      </c>
      <c r="I79" s="50" t="str">
        <f>'WhatsApp Tracker'!T62</f>
        <v>Not sent</v>
      </c>
      <c r="J79" s="50" t="str">
        <f>'WhatsApp Tracker'!U62</f>
        <v>Unknown</v>
      </c>
      <c r="K79" s="50" t="str">
        <f>'WhatsApp Tracker'!V62</f>
        <v>Unknown</v>
      </c>
      <c r="L79" s="50" t="str">
        <f>'WhatsApp Tracker'!W62</f>
        <v>Not offered</v>
      </c>
      <c r="M79" s="51" t="str">
        <f>'WhatsApp Tracker'!X62</f>
        <v/>
      </c>
      <c r="N79" s="50" t="str">
        <f>'WhatsApp Tracker'!AM62</f>
        <v>Lower priority: Maps result cannot be verified without manual check</v>
      </c>
      <c r="O79" s="50" t="str">
        <f>'WhatsApp Tracker'!AC62</f>
        <v>Imported from extract_garden. Confidence: Medium. Google Maps phone. Phone type: Other. In original list: Yes</v>
      </c>
    </row>
    <row r="80" spans="1:15" ht="81" customHeight="1" x14ac:dyDescent="0.25">
      <c r="A80" s="50">
        <f>'WhatsApp Tracker'!AH63</f>
        <v>3436</v>
      </c>
      <c r="B80" s="50" t="str">
        <f>'WhatsApp Tracker'!AA63</f>
        <v>Send WhatsApp</v>
      </c>
      <c r="C80" s="50" t="str">
        <f>'WhatsApp Tracker'!M63</f>
        <v>Normal</v>
      </c>
      <c r="D80" s="50">
        <f>'WhatsApp Tracker'!AN63</f>
        <v>4</v>
      </c>
      <c r="E80" s="50" t="str">
        <f>'WhatsApp Tracker'!AL63</f>
        <v>Google Maps enrichment</v>
      </c>
      <c r="F80" s="50" t="str">
        <f>'WhatsApp Tracker'!B63</f>
        <v>Prabhat Associates</v>
      </c>
      <c r="G80" s="50" t="str">
        <f>'WhatsApp Tracker'!C63</f>
        <v>Prabhat T.E.</v>
      </c>
      <c r="H80" s="50" t="str">
        <f>'WhatsApp Tracker'!D63</f>
        <v>8473089763</v>
      </c>
      <c r="I80" s="50" t="str">
        <f>'WhatsApp Tracker'!T63</f>
        <v>Not sent</v>
      </c>
      <c r="J80" s="50" t="str">
        <f>'WhatsApp Tracker'!U63</f>
        <v>Unknown</v>
      </c>
      <c r="K80" s="50" t="str">
        <f>'WhatsApp Tracker'!V63</f>
        <v>Unknown</v>
      </c>
      <c r="L80" s="50" t="str">
        <f>'WhatsApp Tracker'!W63</f>
        <v>Not offered</v>
      </c>
      <c r="M80" s="51" t="str">
        <f>'WhatsApp Tracker'!X63</f>
        <v/>
      </c>
      <c r="N80" s="50" t="str">
        <f>'WhatsApp Tracker'!AM63</f>
        <v>Lower priority: Maps result cannot be verified without manual check</v>
      </c>
      <c r="O80" s="50" t="str">
        <f>'WhatsApp Tracker'!AC63</f>
        <v>Imported from extract_garden. Confidence: Medium. Google Maps phone. Phone type: Other. In original list: Yes</v>
      </c>
    </row>
    <row r="81" spans="1:15" ht="81" customHeight="1" x14ac:dyDescent="0.25">
      <c r="A81" s="50">
        <f>'WhatsApp Tracker'!AH64</f>
        <v>3436</v>
      </c>
      <c r="B81" s="50" t="str">
        <f>'WhatsApp Tracker'!AA64</f>
        <v>Send WhatsApp</v>
      </c>
      <c r="C81" s="50" t="str">
        <f>'WhatsApp Tracker'!M64</f>
        <v>Normal</v>
      </c>
      <c r="D81" s="50">
        <f>'WhatsApp Tracker'!AN64</f>
        <v>4</v>
      </c>
      <c r="E81" s="50" t="str">
        <f>'WhatsApp Tracker'!AL64</f>
        <v>Google Maps enrichment</v>
      </c>
      <c r="F81" s="50" t="str">
        <f>'WhatsApp Tracker'!B64</f>
        <v>PRADIP STORE</v>
      </c>
      <c r="G81" s="50" t="str">
        <f>'WhatsApp Tracker'!C64</f>
        <v>Pradip T.E.</v>
      </c>
      <c r="H81" s="50" t="str">
        <f>'WhatsApp Tracker'!D64</f>
        <v>6003871124</v>
      </c>
      <c r="I81" s="50" t="str">
        <f>'WhatsApp Tracker'!T64</f>
        <v>Not sent</v>
      </c>
      <c r="J81" s="50" t="str">
        <f>'WhatsApp Tracker'!U64</f>
        <v>Unknown</v>
      </c>
      <c r="K81" s="50" t="str">
        <f>'WhatsApp Tracker'!V64</f>
        <v>Unknown</v>
      </c>
      <c r="L81" s="50" t="str">
        <f>'WhatsApp Tracker'!W64</f>
        <v>Not offered</v>
      </c>
      <c r="M81" s="51" t="str">
        <f>'WhatsApp Tracker'!X64</f>
        <v/>
      </c>
      <c r="N81" s="50" t="str">
        <f>'WhatsApp Tracker'!AM64</f>
        <v>Lower priority: Maps result cannot be verified without manual check</v>
      </c>
      <c r="O81" s="50" t="str">
        <f>'WhatsApp Tracker'!AC64</f>
        <v>Imported from extract_garden. Confidence: Medium. Google Maps phone. Phone type: Other. In original list: No</v>
      </c>
    </row>
    <row r="82" spans="1:15" ht="81" customHeight="1" x14ac:dyDescent="0.25">
      <c r="A82" s="50">
        <f>'WhatsApp Tracker'!AH65</f>
        <v>3436</v>
      </c>
      <c r="B82" s="50" t="str">
        <f>'WhatsApp Tracker'!AA65</f>
        <v>Send WhatsApp</v>
      </c>
      <c r="C82" s="50" t="str">
        <f>'WhatsApp Tracker'!M65</f>
        <v>Normal</v>
      </c>
      <c r="D82" s="50">
        <f>'WhatsApp Tracker'!AN65</f>
        <v>4</v>
      </c>
      <c r="E82" s="50" t="str">
        <f>'WhatsApp Tracker'!AL65</f>
        <v>Google Maps enrichment</v>
      </c>
      <c r="F82" s="50" t="str">
        <f>'WhatsApp Tracker'!B65</f>
        <v>Prakash Restaurant</v>
      </c>
      <c r="G82" s="50" t="str">
        <f>'WhatsApp Tracker'!C65</f>
        <v>Prakash T.E.</v>
      </c>
      <c r="H82" s="50" t="str">
        <f>'WhatsApp Tracker'!D65</f>
        <v>9435476777</v>
      </c>
      <c r="I82" s="50" t="str">
        <f>'WhatsApp Tracker'!T65</f>
        <v>Not sent</v>
      </c>
      <c r="J82" s="50" t="str">
        <f>'WhatsApp Tracker'!U65</f>
        <v>Unknown</v>
      </c>
      <c r="K82" s="50" t="str">
        <f>'WhatsApp Tracker'!V65</f>
        <v>Unknown</v>
      </c>
      <c r="L82" s="50" t="str">
        <f>'WhatsApp Tracker'!W65</f>
        <v>Not offered</v>
      </c>
      <c r="M82" s="51" t="str">
        <f>'WhatsApp Tracker'!X65</f>
        <v/>
      </c>
      <c r="N82" s="50" t="str">
        <f>'WhatsApp Tracker'!AM65</f>
        <v>Lower priority: Maps result cannot be verified without manual check</v>
      </c>
      <c r="O82" s="50" t="str">
        <f>'WhatsApp Tracker'!AC65</f>
        <v>Imported from extract_garden. Confidence: Medium. Google Maps phone. Phone type: Other. In original list: Yes</v>
      </c>
    </row>
    <row r="83" spans="1:15" ht="81" customHeight="1" x14ac:dyDescent="0.25">
      <c r="A83" s="50">
        <f>'WhatsApp Tracker'!AH66</f>
        <v>3436</v>
      </c>
      <c r="B83" s="50" t="str">
        <f>'WhatsApp Tracker'!AA66</f>
        <v>Send WhatsApp</v>
      </c>
      <c r="C83" s="50" t="str">
        <f>'WhatsApp Tracker'!M66</f>
        <v>Normal</v>
      </c>
      <c r="D83" s="50">
        <f>'WhatsApp Tracker'!AN66</f>
        <v>4</v>
      </c>
      <c r="E83" s="50" t="str">
        <f>'WhatsApp Tracker'!AL66</f>
        <v>Google Maps enrichment</v>
      </c>
      <c r="F83" s="50" t="str">
        <f>'WhatsApp Tracker'!B66</f>
        <v>Rungliting Tea Factory</v>
      </c>
      <c r="G83" s="50" t="str">
        <f>'WhatsApp Tracker'!C66</f>
        <v>Rungliting T.E.</v>
      </c>
      <c r="H83" s="50" t="str">
        <f>'WhatsApp Tracker'!D66</f>
        <v>8822934910</v>
      </c>
      <c r="I83" s="50" t="str">
        <f>'WhatsApp Tracker'!T66</f>
        <v>Not sent</v>
      </c>
      <c r="J83" s="50" t="str">
        <f>'WhatsApp Tracker'!U66</f>
        <v>Unknown</v>
      </c>
      <c r="K83" s="50" t="str">
        <f>'WhatsApp Tracker'!V66</f>
        <v>Unknown</v>
      </c>
      <c r="L83" s="50" t="str">
        <f>'WhatsApp Tracker'!W66</f>
        <v>Not offered</v>
      </c>
      <c r="M83" s="51" t="str">
        <f>'WhatsApp Tracker'!X66</f>
        <v/>
      </c>
      <c r="N83" s="50" t="str">
        <f>'WhatsApp Tracker'!AM66</f>
        <v>Lower priority: Maps result cannot be verified without manual check</v>
      </c>
      <c r="O83" s="50" t="str">
        <f>'WhatsApp Tracker'!AC66</f>
        <v>Imported from extract_garden. Confidence: Medium. Google Maps phone. Phone type: Other. In original list: No</v>
      </c>
    </row>
    <row r="84" spans="1:15" ht="81" customHeight="1" x14ac:dyDescent="0.25">
      <c r="A84" s="50">
        <f>'WhatsApp Tracker'!AH67</f>
        <v>3436</v>
      </c>
      <c r="B84" s="50" t="str">
        <f>'WhatsApp Tracker'!AA67</f>
        <v>Send WhatsApp</v>
      </c>
      <c r="C84" s="50" t="str">
        <f>'WhatsApp Tracker'!M67</f>
        <v>Normal</v>
      </c>
      <c r="D84" s="50">
        <f>'WhatsApp Tracker'!AN67</f>
        <v>4</v>
      </c>
      <c r="E84" s="50" t="str">
        <f>'WhatsApp Tracker'!AL67</f>
        <v>Google Maps enrichment</v>
      </c>
      <c r="F84" s="50" t="str">
        <f>'WhatsApp Tracker'!B67</f>
        <v>Sainagar Tea Estate</v>
      </c>
      <c r="G84" s="50" t="str">
        <f>'WhatsApp Tracker'!C67</f>
        <v>Sainagar T.E.</v>
      </c>
      <c r="H84" s="50" t="str">
        <f>'WhatsApp Tracker'!D67</f>
        <v>9706823415</v>
      </c>
      <c r="I84" s="50" t="str">
        <f>'WhatsApp Tracker'!T67</f>
        <v>Not sent</v>
      </c>
      <c r="J84" s="50" t="str">
        <f>'WhatsApp Tracker'!U67</f>
        <v>Unknown</v>
      </c>
      <c r="K84" s="50" t="str">
        <f>'WhatsApp Tracker'!V67</f>
        <v>Unknown</v>
      </c>
      <c r="L84" s="50" t="str">
        <f>'WhatsApp Tracker'!W67</f>
        <v>Not offered</v>
      </c>
      <c r="M84" s="51" t="str">
        <f>'WhatsApp Tracker'!X67</f>
        <v/>
      </c>
      <c r="N84" s="50" t="str">
        <f>'WhatsApp Tracker'!AM67</f>
        <v>Lower priority: Maps result cannot be verified without manual check</v>
      </c>
      <c r="O84" s="50" t="str">
        <f>'WhatsApp Tracker'!AC67</f>
        <v>Imported from extract_garden. Confidence: Medium. Google Maps phone. Phone type: Other. In original list: Yes</v>
      </c>
    </row>
    <row r="85" spans="1:15" ht="81" customHeight="1" x14ac:dyDescent="0.25">
      <c r="A85" s="50">
        <f>'WhatsApp Tracker'!AH68</f>
        <v>3436</v>
      </c>
      <c r="B85" s="50" t="str">
        <f>'WhatsApp Tracker'!AA68</f>
        <v>Send WhatsApp</v>
      </c>
      <c r="C85" s="50" t="str">
        <f>'WhatsApp Tracker'!M68</f>
        <v>Normal</v>
      </c>
      <c r="D85" s="50">
        <f>'WhatsApp Tracker'!AN68</f>
        <v>4</v>
      </c>
      <c r="E85" s="50" t="str">
        <f>'WhatsApp Tracker'!AL68</f>
        <v>Google Maps enrichment</v>
      </c>
      <c r="F85" s="50" t="str">
        <f>'WhatsApp Tracker'!B68</f>
        <v>SURAJ FAST FOOD</v>
      </c>
      <c r="G85" s="50" t="str">
        <f>'WhatsApp Tracker'!C68</f>
        <v>Suraj T.E.</v>
      </c>
      <c r="H85" s="50" t="str">
        <f>'WhatsApp Tracker'!D68</f>
        <v>8135975507</v>
      </c>
      <c r="I85" s="50" t="str">
        <f>'WhatsApp Tracker'!T68</f>
        <v>Not sent</v>
      </c>
      <c r="J85" s="50" t="str">
        <f>'WhatsApp Tracker'!U68</f>
        <v>Unknown</v>
      </c>
      <c r="K85" s="50" t="str">
        <f>'WhatsApp Tracker'!V68</f>
        <v>Unknown</v>
      </c>
      <c r="L85" s="50" t="str">
        <f>'WhatsApp Tracker'!W68</f>
        <v>Not offered</v>
      </c>
      <c r="M85" s="51" t="str">
        <f>'WhatsApp Tracker'!X68</f>
        <v/>
      </c>
      <c r="N85" s="50" t="str">
        <f>'WhatsApp Tracker'!AM68</f>
        <v>Lower priority: Maps result cannot be verified without manual check</v>
      </c>
      <c r="O85" s="50" t="str">
        <f>'WhatsApp Tracker'!AC68</f>
        <v>Imported from extract_garden. Confidence: Medium. Google Maps phone. Phone type: Other. In original list: Yes</v>
      </c>
    </row>
    <row r="86" spans="1:15" ht="67.5" customHeight="1" x14ac:dyDescent="0.25">
      <c r="A86" s="50">
        <f>'WhatsApp Tracker'!AH69</f>
        <v>3436</v>
      </c>
      <c r="B86" s="50" t="str">
        <f>'WhatsApp Tracker'!AA69</f>
        <v>Send WhatsApp</v>
      </c>
      <c r="C86" s="50" t="str">
        <f>'WhatsApp Tracker'!M69</f>
        <v>Normal</v>
      </c>
      <c r="D86" s="50">
        <f>'WhatsApp Tracker'!AN69</f>
        <v>4</v>
      </c>
      <c r="E86" s="50" t="str">
        <f>'WhatsApp Tracker'!AL69</f>
        <v>Google Maps enrichment</v>
      </c>
      <c r="F86" s="50" t="str">
        <f>'WhatsApp Tracker'!B69</f>
        <v>Tingkhong Tea Estate</v>
      </c>
      <c r="G86" s="50" t="str">
        <f>'WhatsApp Tracker'!C69</f>
        <v>Tingkhong T.E.</v>
      </c>
      <c r="H86" s="50" t="str">
        <f>'WhatsApp Tracker'!D69</f>
        <v>8453061345</v>
      </c>
      <c r="I86" s="50" t="str">
        <f>'WhatsApp Tracker'!T69</f>
        <v>Not sent</v>
      </c>
      <c r="J86" s="50" t="str">
        <f>'WhatsApp Tracker'!U69</f>
        <v>Unknown</v>
      </c>
      <c r="K86" s="50" t="str">
        <f>'WhatsApp Tracker'!V69</f>
        <v>Unknown</v>
      </c>
      <c r="L86" s="50" t="str">
        <f>'WhatsApp Tracker'!W69</f>
        <v>Not offered</v>
      </c>
      <c r="M86" s="51" t="str">
        <f>'WhatsApp Tracker'!X69</f>
        <v/>
      </c>
      <c r="N86" s="50" t="str">
        <f>'WhatsApp Tracker'!AM69</f>
        <v>Lower priority: Maps result cannot be verified without manual check</v>
      </c>
      <c r="O86" s="50" t="str">
        <f>'WhatsApp Tracker'!AC69</f>
        <v>Imported from extract_garden. Confidence: Medium. Google Maps phone. Phone type: Other. In original list: No</v>
      </c>
    </row>
    <row r="87" spans="1:15" ht="54" customHeight="1" x14ac:dyDescent="0.25">
      <c r="A87" s="50">
        <f>'WhatsApp Tracker'!AH70</f>
        <v>3436</v>
      </c>
      <c r="B87" s="50" t="str">
        <f>'WhatsApp Tracker'!AA70</f>
        <v>Send WhatsApp</v>
      </c>
      <c r="C87" s="50" t="str">
        <f>'WhatsApp Tracker'!M70</f>
        <v>Normal</v>
      </c>
      <c r="D87" s="50">
        <f>'WhatsApp Tracker'!AN70</f>
        <v>4</v>
      </c>
      <c r="E87" s="50" t="str">
        <f>'WhatsApp Tracker'!AL70</f>
        <v>Google Maps enrichment</v>
      </c>
      <c r="F87" s="50" t="str">
        <f>'WhatsApp Tracker'!B70</f>
        <v>TRIVENI MEDICOS</v>
      </c>
      <c r="G87" s="50" t="str">
        <f>'WhatsApp Tracker'!C70</f>
        <v>Triveni T.E.</v>
      </c>
      <c r="H87" s="50" t="str">
        <f>'WhatsApp Tracker'!D70</f>
        <v>9954269166</v>
      </c>
      <c r="I87" s="50" t="str">
        <f>'WhatsApp Tracker'!T70</f>
        <v>Not sent</v>
      </c>
      <c r="J87" s="50" t="str">
        <f>'WhatsApp Tracker'!U70</f>
        <v>Unknown</v>
      </c>
      <c r="K87" s="50" t="str">
        <f>'WhatsApp Tracker'!V70</f>
        <v>Unknown</v>
      </c>
      <c r="L87" s="50" t="str">
        <f>'WhatsApp Tracker'!W70</f>
        <v>Not offered</v>
      </c>
      <c r="M87" s="51" t="str">
        <f>'WhatsApp Tracker'!X70</f>
        <v/>
      </c>
      <c r="N87" s="50" t="str">
        <f>'WhatsApp Tracker'!AM70</f>
        <v>Lower priority: Maps result cannot be verified without manual check</v>
      </c>
      <c r="O87" s="50" t="str">
        <f>'WhatsApp Tracker'!AC70</f>
        <v>Imported from extract_garden. Confidence: Medium. Google Maps phone. Phone type: Other. In original list: Yes</v>
      </c>
    </row>
    <row r="88" spans="1:15" ht="54" customHeight="1" x14ac:dyDescent="0.25">
      <c r="A88" s="50">
        <f>'WhatsApp Tracker'!AH71</f>
        <v>3436</v>
      </c>
      <c r="B88" s="50" t="str">
        <f>'WhatsApp Tracker'!AA71</f>
        <v>Send WhatsApp</v>
      </c>
      <c r="C88" s="50" t="str">
        <f>'WhatsApp Tracker'!M71</f>
        <v>Normal</v>
      </c>
      <c r="D88" s="50">
        <f>'WhatsApp Tracker'!AN71</f>
        <v>4</v>
      </c>
      <c r="E88" s="50" t="str">
        <f>'WhatsApp Tracker'!AL71</f>
        <v>Google Maps enrichment</v>
      </c>
      <c r="F88" s="50" t="str">
        <f>'WhatsApp Tracker'!B71</f>
        <v>DUSKIN Homestay with tea garden view, Dibrugarh</v>
      </c>
      <c r="G88" s="50" t="str">
        <f>'WhatsApp Tracker'!C71</f>
        <v>[DISCOVERED] DUSKIN Homestay with tea garden view, Dibrugarh</v>
      </c>
      <c r="H88" s="50" t="str">
        <f>'WhatsApp Tracker'!D71</f>
        <v>8876449550</v>
      </c>
      <c r="I88" s="50" t="str">
        <f>'WhatsApp Tracker'!T71</f>
        <v>Not sent</v>
      </c>
      <c r="J88" s="50" t="str">
        <f>'WhatsApp Tracker'!U71</f>
        <v>Unknown</v>
      </c>
      <c r="K88" s="50" t="str">
        <f>'WhatsApp Tracker'!V71</f>
        <v>Unknown</v>
      </c>
      <c r="L88" s="50" t="str">
        <f>'WhatsApp Tracker'!W71</f>
        <v>Not offered</v>
      </c>
      <c r="M88" s="51" t="str">
        <f>'WhatsApp Tracker'!X71</f>
        <v/>
      </c>
      <c r="N88" s="50" t="str">
        <f>'WhatsApp Tracker'!AM71</f>
        <v>Lower priority: Maps result cannot be verified without manual check</v>
      </c>
      <c r="O88" s="50" t="str">
        <f>'WhatsApp Tracker'!AC71</f>
        <v>Imported from extract_garden. Confidence: Medium. Google Maps phone. Phone type: Other. In original list: Discovered</v>
      </c>
    </row>
    <row r="89" spans="1:15" ht="67.5" customHeight="1" x14ac:dyDescent="0.25">
      <c r="A89" s="50">
        <f>'WhatsApp Tracker'!AH72</f>
        <v>3436</v>
      </c>
      <c r="B89" s="50" t="str">
        <f>'WhatsApp Tracker'!AA72</f>
        <v>Send WhatsApp</v>
      </c>
      <c r="C89" s="50" t="str">
        <f>'WhatsApp Tracker'!M72</f>
        <v>Normal</v>
      </c>
      <c r="D89" s="50">
        <f>'WhatsApp Tracker'!AN72</f>
        <v>4</v>
      </c>
      <c r="E89" s="50" t="str">
        <f>'WhatsApp Tracker'!AL72</f>
        <v>Google Maps enrichment</v>
      </c>
      <c r="F89" s="50" t="str">
        <f>'WhatsApp Tracker'!B72</f>
        <v>Good Rich Tea Co. Pvt Ltd</v>
      </c>
      <c r="G89" s="50" t="str">
        <f>'WhatsApp Tracker'!C72</f>
        <v>[DISCOVERED] Good Rich Tea Co. Pvt Ltd</v>
      </c>
      <c r="H89" s="50" t="str">
        <f>'WhatsApp Tracker'!D72</f>
        <v>9435033382</v>
      </c>
      <c r="I89" s="50" t="str">
        <f>'WhatsApp Tracker'!T72</f>
        <v>Not sent</v>
      </c>
      <c r="J89" s="50" t="str">
        <f>'WhatsApp Tracker'!U72</f>
        <v>Unknown</v>
      </c>
      <c r="K89" s="50" t="str">
        <f>'WhatsApp Tracker'!V72</f>
        <v>Unknown</v>
      </c>
      <c r="L89" s="50" t="str">
        <f>'WhatsApp Tracker'!W72</f>
        <v>Not offered</v>
      </c>
      <c r="M89" s="51" t="str">
        <f>'WhatsApp Tracker'!X72</f>
        <v/>
      </c>
      <c r="N89" s="50" t="str">
        <f>'WhatsApp Tracker'!AM72</f>
        <v>Lower priority: Maps result cannot be verified without manual check</v>
      </c>
      <c r="O89" s="50" t="str">
        <f>'WhatsApp Tracker'!AC72</f>
        <v>Imported from extract_garden. Confidence: Medium. Google Maps phone. Phone type: Other. In original list: Discovered</v>
      </c>
    </row>
    <row r="90" spans="1:15" ht="54" customHeight="1" x14ac:dyDescent="0.25">
      <c r="A90" s="50">
        <f>'WhatsApp Tracker'!AH73</f>
        <v>3436</v>
      </c>
      <c r="B90" s="50" t="str">
        <f>'WhatsApp Tracker'!AA73</f>
        <v>Send WhatsApp</v>
      </c>
      <c r="C90" s="50" t="str">
        <f>'WhatsApp Tracker'!M73</f>
        <v>Normal</v>
      </c>
      <c r="D90" s="50">
        <f>'WhatsApp Tracker'!AN73</f>
        <v>4</v>
      </c>
      <c r="E90" s="50" t="str">
        <f>'WhatsApp Tracker'!AL73</f>
        <v>Google Maps enrichment</v>
      </c>
      <c r="F90" s="50" t="str">
        <f>'WhatsApp Tracker'!B73</f>
        <v>HORUJAN TEA COMPANY</v>
      </c>
      <c r="G90" s="50" t="str">
        <f>'WhatsApp Tracker'!C73</f>
        <v>[DISCOVERED] HORUJAN TEA COMPANY</v>
      </c>
      <c r="H90" s="50" t="str">
        <f>'WhatsApp Tracker'!D73</f>
        <v>9435037318</v>
      </c>
      <c r="I90" s="50" t="str">
        <f>'WhatsApp Tracker'!T73</f>
        <v>Not sent</v>
      </c>
      <c r="J90" s="50" t="str">
        <f>'WhatsApp Tracker'!U73</f>
        <v>Unknown</v>
      </c>
      <c r="K90" s="50" t="str">
        <f>'WhatsApp Tracker'!V73</f>
        <v>Unknown</v>
      </c>
      <c r="L90" s="50" t="str">
        <f>'WhatsApp Tracker'!W73</f>
        <v>Not offered</v>
      </c>
      <c r="M90" s="51" t="str">
        <f>'WhatsApp Tracker'!X73</f>
        <v/>
      </c>
      <c r="N90" s="50" t="str">
        <f>'WhatsApp Tracker'!AM73</f>
        <v>Lower priority: Maps result cannot be verified without manual check</v>
      </c>
      <c r="O90" s="50" t="str">
        <f>'WhatsApp Tracker'!AC73</f>
        <v>Imported from extract_garden. Confidence: Medium. Google Maps phone. Phone type: Other. In original list: Discovered</v>
      </c>
    </row>
    <row r="91" spans="1:15" ht="54" customHeight="1" x14ac:dyDescent="0.25">
      <c r="A91" s="50">
        <f>'WhatsApp Tracker'!AH74</f>
        <v>3436</v>
      </c>
      <c r="B91" s="50" t="str">
        <f>'WhatsApp Tracker'!AA74</f>
        <v>Send WhatsApp</v>
      </c>
      <c r="C91" s="50" t="str">
        <f>'WhatsApp Tracker'!M74</f>
        <v>Normal</v>
      </c>
      <c r="D91" s="50">
        <f>'WhatsApp Tracker'!AN74</f>
        <v>4</v>
      </c>
      <c r="E91" s="50" t="str">
        <f>'WhatsApp Tracker'!AL74</f>
        <v>Google Maps enrichment</v>
      </c>
      <c r="F91" s="50" t="str">
        <f>'WhatsApp Tracker'!B74</f>
        <v>Heritage Tea Centre</v>
      </c>
      <c r="G91" s="50" t="str">
        <f>'WhatsApp Tracker'!C74</f>
        <v>[DISCOVERED] Heritage Tea Centre</v>
      </c>
      <c r="H91" s="50" t="str">
        <f>'WhatsApp Tracker'!D74</f>
        <v>8011972301</v>
      </c>
      <c r="I91" s="50" t="str">
        <f>'WhatsApp Tracker'!T74</f>
        <v>Not sent</v>
      </c>
      <c r="J91" s="50" t="str">
        <f>'WhatsApp Tracker'!U74</f>
        <v>Unknown</v>
      </c>
      <c r="K91" s="50" t="str">
        <f>'WhatsApp Tracker'!V74</f>
        <v>Unknown</v>
      </c>
      <c r="L91" s="50" t="str">
        <f>'WhatsApp Tracker'!W74</f>
        <v>Not offered</v>
      </c>
      <c r="M91" s="51" t="str">
        <f>'WhatsApp Tracker'!X74</f>
        <v/>
      </c>
      <c r="N91" s="50" t="str">
        <f>'WhatsApp Tracker'!AM74</f>
        <v>Lower priority: Maps result cannot be verified without manual check</v>
      </c>
      <c r="O91" s="50" t="str">
        <f>'WhatsApp Tracker'!AC74</f>
        <v>Imported from extract_garden. Confidence: Medium. Google Maps phone. Phone type: Other. In original list: Discovered</v>
      </c>
    </row>
    <row r="92" spans="1:15" ht="54" customHeight="1" x14ac:dyDescent="0.25">
      <c r="A92" s="50">
        <f>'WhatsApp Tracker'!AH75</f>
        <v>3436</v>
      </c>
      <c r="B92" s="50" t="str">
        <f>'WhatsApp Tracker'!AA75</f>
        <v>Send WhatsApp</v>
      </c>
      <c r="C92" s="50" t="str">
        <f>'WhatsApp Tracker'!M75</f>
        <v>Normal</v>
      </c>
      <c r="D92" s="50">
        <f>'WhatsApp Tracker'!AN75</f>
        <v>4</v>
      </c>
      <c r="E92" s="50" t="str">
        <f>'WhatsApp Tracker'!AL75</f>
        <v>Google Maps enrichment</v>
      </c>
      <c r="F92" s="50" t="str">
        <f>'WhatsApp Tracker'!B75</f>
        <v>Hotel Tea County</v>
      </c>
      <c r="G92" s="50" t="str">
        <f>'WhatsApp Tracker'!C75</f>
        <v>[DISCOVERED] Hotel Tea County</v>
      </c>
      <c r="H92" s="50" t="str">
        <f>'WhatsApp Tracker'!D75</f>
        <v>7086061222</v>
      </c>
      <c r="I92" s="50" t="str">
        <f>'WhatsApp Tracker'!T75</f>
        <v>Not sent</v>
      </c>
      <c r="J92" s="50" t="str">
        <f>'WhatsApp Tracker'!U75</f>
        <v>Unknown</v>
      </c>
      <c r="K92" s="50" t="str">
        <f>'WhatsApp Tracker'!V75</f>
        <v>Unknown</v>
      </c>
      <c r="L92" s="50" t="str">
        <f>'WhatsApp Tracker'!W75</f>
        <v>Not offered</v>
      </c>
      <c r="M92" s="51" t="str">
        <f>'WhatsApp Tracker'!X75</f>
        <v/>
      </c>
      <c r="N92" s="50" t="str">
        <f>'WhatsApp Tracker'!AM75</f>
        <v>Lower priority: Maps result cannot be verified without manual check</v>
      </c>
      <c r="O92" s="50" t="str">
        <f>'WhatsApp Tracker'!AC75</f>
        <v>Imported from extract_garden. Confidence: Medium. Google Maps phone. Phone type: Other. In original list: Discovered</v>
      </c>
    </row>
    <row r="93" spans="1:15" ht="54" customHeight="1" x14ac:dyDescent="0.25">
      <c r="A93" s="50">
        <f>'WhatsApp Tracker'!AH76</f>
        <v>3436</v>
      </c>
      <c r="B93" s="50" t="str">
        <f>'WhatsApp Tracker'!AA76</f>
        <v>Send WhatsApp</v>
      </c>
      <c r="C93" s="50" t="str">
        <f>'WhatsApp Tracker'!M76</f>
        <v>Normal</v>
      </c>
      <c r="D93" s="50">
        <f>'WhatsApp Tracker'!AN76</f>
        <v>4</v>
      </c>
      <c r="E93" s="50" t="str">
        <f>'WhatsApp Tracker'!AL76</f>
        <v>Google Maps enrichment</v>
      </c>
      <c r="F93" s="50" t="str">
        <f>'WhatsApp Tracker'!B76</f>
        <v>Manohari The Tea Retreat</v>
      </c>
      <c r="G93" s="50" t="str">
        <f>'WhatsApp Tracker'!C76</f>
        <v>[DISCOVERED] Manohari The Tea Retreat</v>
      </c>
      <c r="H93" s="50" t="str">
        <f>'WhatsApp Tracker'!D76</f>
        <v>9706052244</v>
      </c>
      <c r="I93" s="50" t="str">
        <f>'WhatsApp Tracker'!T76</f>
        <v>Not sent</v>
      </c>
      <c r="J93" s="50" t="str">
        <f>'WhatsApp Tracker'!U76</f>
        <v>Unknown</v>
      </c>
      <c r="K93" s="50" t="str">
        <f>'WhatsApp Tracker'!V76</f>
        <v>Unknown</v>
      </c>
      <c r="L93" s="50" t="str">
        <f>'WhatsApp Tracker'!W76</f>
        <v>Not offered</v>
      </c>
      <c r="M93" s="51" t="str">
        <f>'WhatsApp Tracker'!X76</f>
        <v/>
      </c>
      <c r="N93" s="50" t="str">
        <f>'WhatsApp Tracker'!AM76</f>
        <v>Lower priority: Maps result cannot be verified without manual check</v>
      </c>
      <c r="O93" s="50" t="str">
        <f>'WhatsApp Tracker'!AC76</f>
        <v>Imported from extract_garden. Confidence: Medium. Google Maps phone. Phone type: Other. In original list: Discovered</v>
      </c>
    </row>
    <row r="94" spans="1:15" ht="54" customHeight="1" x14ac:dyDescent="0.25">
      <c r="A94" s="50">
        <f>'WhatsApp Tracker'!AH77</f>
        <v>3436</v>
      </c>
      <c r="B94" s="50" t="str">
        <f>'WhatsApp Tracker'!AA77</f>
        <v>Send WhatsApp</v>
      </c>
      <c r="C94" s="50" t="str">
        <f>'WhatsApp Tracker'!M77</f>
        <v>Normal</v>
      </c>
      <c r="D94" s="50">
        <f>'WhatsApp Tracker'!AN77</f>
        <v>4</v>
      </c>
      <c r="E94" s="50" t="str">
        <f>'WhatsApp Tracker'!AL77</f>
        <v>Google Maps enrichment</v>
      </c>
      <c r="F94" s="50" t="str">
        <f>'WhatsApp Tracker'!B77</f>
        <v>Namroop Tea Factory</v>
      </c>
      <c r="G94" s="50" t="str">
        <f>'WhatsApp Tracker'!C77</f>
        <v>[DISCOVERED] Namroop Tea Factory</v>
      </c>
      <c r="H94" s="50" t="str">
        <f>'WhatsApp Tracker'!D77</f>
        <v>9365475668</v>
      </c>
      <c r="I94" s="50" t="str">
        <f>'WhatsApp Tracker'!T77</f>
        <v>Not sent</v>
      </c>
      <c r="J94" s="50" t="str">
        <f>'WhatsApp Tracker'!U77</f>
        <v>Unknown</v>
      </c>
      <c r="K94" s="50" t="str">
        <f>'WhatsApp Tracker'!V77</f>
        <v>Unknown</v>
      </c>
      <c r="L94" s="50" t="str">
        <f>'WhatsApp Tracker'!W77</f>
        <v>Not offered</v>
      </c>
      <c r="M94" s="51" t="str">
        <f>'WhatsApp Tracker'!X77</f>
        <v/>
      </c>
      <c r="N94" s="50" t="str">
        <f>'WhatsApp Tracker'!AM77</f>
        <v>Lower priority: Maps result cannot be verified without manual check</v>
      </c>
      <c r="O94" s="50" t="str">
        <f>'WhatsApp Tracker'!AC77</f>
        <v>Imported from extract_garden. Confidence: Medium. Google Maps phone. Phone type: Other. In original list: Discovered</v>
      </c>
    </row>
    <row r="95" spans="1:15" ht="54" customHeight="1" x14ac:dyDescent="0.25">
      <c r="A95" s="50">
        <f>'WhatsApp Tracker'!AH78</f>
        <v>3436</v>
      </c>
      <c r="B95" s="50" t="str">
        <f>'WhatsApp Tracker'!AA78</f>
        <v>Send WhatsApp</v>
      </c>
      <c r="C95" s="50" t="str">
        <f>'WhatsApp Tracker'!M78</f>
        <v>Normal</v>
      </c>
      <c r="D95" s="50">
        <f>'WhatsApp Tracker'!AN78</f>
        <v>4</v>
      </c>
      <c r="E95" s="50" t="str">
        <f>'WhatsApp Tracker'!AL78</f>
        <v>Google Maps enrichment</v>
      </c>
      <c r="F95" s="50" t="str">
        <f>'WhatsApp Tracker'!B78</f>
        <v>S. K. Tea Company</v>
      </c>
      <c r="G95" s="50" t="str">
        <f>'WhatsApp Tracker'!C78</f>
        <v>[DISCOVERED] S. K. Tea Company</v>
      </c>
      <c r="H95" s="50" t="str">
        <f>'WhatsApp Tracker'!D78</f>
        <v>9706669220</v>
      </c>
      <c r="I95" s="50" t="str">
        <f>'WhatsApp Tracker'!T78</f>
        <v>Not sent</v>
      </c>
      <c r="J95" s="50" t="str">
        <f>'WhatsApp Tracker'!U78</f>
        <v>Unknown</v>
      </c>
      <c r="K95" s="50" t="str">
        <f>'WhatsApp Tracker'!V78</f>
        <v>Unknown</v>
      </c>
      <c r="L95" s="50" t="str">
        <f>'WhatsApp Tracker'!W78</f>
        <v>Not offered</v>
      </c>
      <c r="M95" s="51" t="str">
        <f>'WhatsApp Tracker'!X78</f>
        <v/>
      </c>
      <c r="N95" s="50" t="str">
        <f>'WhatsApp Tracker'!AM78</f>
        <v>Lower priority: Maps result cannot be verified without manual check</v>
      </c>
      <c r="O95" s="50" t="str">
        <f>'WhatsApp Tracker'!AC78</f>
        <v>Imported from extract_garden. Confidence: Medium. Google Maps phone. Phone type: Other. In original list: Discovered</v>
      </c>
    </row>
    <row r="96" spans="1:15" ht="54" customHeight="1" x14ac:dyDescent="0.25">
      <c r="A96" s="50">
        <f>'WhatsApp Tracker'!AH79</f>
        <v>4336</v>
      </c>
      <c r="B96" s="50" t="str">
        <f>'WhatsApp Tracker'!AA79</f>
        <v>Review</v>
      </c>
      <c r="C96" s="50" t="str">
        <f>'WhatsApp Tracker'!M79</f>
        <v>Normal</v>
      </c>
      <c r="D96" s="50">
        <f>'WhatsApp Tracker'!AN79</f>
        <v>3</v>
      </c>
      <c r="E96" s="50" t="str">
        <f>'WhatsApp Tracker'!AL79</f>
        <v>Email/telephone workbook</v>
      </c>
      <c r="F96" s="50" t="str">
        <f>'WhatsApp Tracker'!B79</f>
        <v>BAJRANGPUR</v>
      </c>
      <c r="G96" s="50" t="str">
        <f>'WhatsApp Tracker'!C79</f>
        <v>BAJRANGPUR</v>
      </c>
      <c r="H96" s="50" t="str">
        <f>'WhatsApp Tracker'!D79</f>
        <v>9435466431</v>
      </c>
      <c r="I96" s="50" t="str">
        <f>'WhatsApp Tracker'!T79</f>
        <v>Sent</v>
      </c>
      <c r="J96" s="50" t="str">
        <f>'WhatsApp Tracker'!U79</f>
        <v>Unknown</v>
      </c>
      <c r="K96" s="50" t="str">
        <f>'WhatsApp Tracker'!V79</f>
        <v>Unknown</v>
      </c>
      <c r="L96" s="50" t="str">
        <f>'WhatsApp Tracker'!W79</f>
        <v>Not offered</v>
      </c>
      <c r="M96" s="51" t="str">
        <f>'WhatsApp Tracker'!X79</f>
        <v/>
      </c>
      <c r="N96" s="50" t="str">
        <f>'WhatsApp Tracker'!AM79</f>
        <v>Medium confidence, parsed from text block</v>
      </c>
      <c r="O96" s="50" t="str">
        <f>'WhatsApp Tracker'!AC79</f>
        <v>Imported from extract_garden. Confidence: Medium. Parsed from text block in email/telephone workbook; Parsed from Assam Tea Directory row, verify before sending</v>
      </c>
    </row>
    <row r="97" spans="1:15" ht="54" customHeight="1" x14ac:dyDescent="0.25">
      <c r="A97" s="50">
        <f>'WhatsApp Tracker'!AH80</f>
        <v>3336</v>
      </c>
      <c r="B97" s="50" t="str">
        <f>'WhatsApp Tracker'!AA80</f>
        <v>Send WhatsApp</v>
      </c>
      <c r="C97" s="50" t="str">
        <f>'WhatsApp Tracker'!M80</f>
        <v>Normal</v>
      </c>
      <c r="D97" s="50">
        <f>'WhatsApp Tracker'!AN80</f>
        <v>3</v>
      </c>
      <c r="E97" s="50" t="str">
        <f>'WhatsApp Tracker'!AL80</f>
        <v>Email/telephone workbook</v>
      </c>
      <c r="F97" s="50" t="str">
        <f>'WhatsApp Tracker'!B80</f>
        <v>BOLOMA</v>
      </c>
      <c r="G97" s="50" t="str">
        <f>'WhatsApp Tracker'!C80</f>
        <v>BOLOMA</v>
      </c>
      <c r="H97" s="50" t="str">
        <f>'WhatsApp Tracker'!D80</f>
        <v>9864259703</v>
      </c>
      <c r="I97" s="50" t="str">
        <f>'WhatsApp Tracker'!T80</f>
        <v>Not sent</v>
      </c>
      <c r="J97" s="50" t="str">
        <f>'WhatsApp Tracker'!U80</f>
        <v>Unknown</v>
      </c>
      <c r="K97" s="50" t="str">
        <f>'WhatsApp Tracker'!V80</f>
        <v>Unknown</v>
      </c>
      <c r="L97" s="50" t="str">
        <f>'WhatsApp Tracker'!W80</f>
        <v>Not offered</v>
      </c>
      <c r="M97" s="51" t="str">
        <f>'WhatsApp Tracker'!X80</f>
        <v/>
      </c>
      <c r="N97" s="50" t="str">
        <f>'WhatsApp Tracker'!AM80</f>
        <v>Medium confidence, parsed from text block</v>
      </c>
      <c r="O97" s="50" t="str">
        <f>'WhatsApp Tracker'!AC80</f>
        <v>Imported from extract_garden. Confidence: Medium. Parsed from text block in email/telephone workbook; Parsed from Assam Tea Directory row, verify before sending</v>
      </c>
    </row>
    <row r="98" spans="1:15" ht="54" customHeight="1" x14ac:dyDescent="0.25">
      <c r="A98" s="50">
        <f>'WhatsApp Tracker'!AH81</f>
        <v>3336</v>
      </c>
      <c r="B98" s="50" t="str">
        <f>'WhatsApp Tracker'!AA81</f>
        <v>Send WhatsApp</v>
      </c>
      <c r="C98" s="50" t="str">
        <f>'WhatsApp Tracker'!M81</f>
        <v>Normal</v>
      </c>
      <c r="D98" s="50">
        <f>'WhatsApp Tracker'!AN81</f>
        <v>3</v>
      </c>
      <c r="E98" s="50" t="str">
        <f>'WhatsApp Tracker'!AL81</f>
        <v>Email/telephone workbook</v>
      </c>
      <c r="F98" s="50" t="str">
        <f>'WhatsApp Tracker'!B81</f>
        <v>GOLAGHAT</v>
      </c>
      <c r="G98" s="50" t="str">
        <f>'WhatsApp Tracker'!C81</f>
        <v>GOLAGHAT</v>
      </c>
      <c r="H98" s="50" t="str">
        <f>'WhatsApp Tracker'!D81</f>
        <v>9207042162</v>
      </c>
      <c r="I98" s="50" t="str">
        <f>'WhatsApp Tracker'!T81</f>
        <v>Not sent</v>
      </c>
      <c r="J98" s="50" t="str">
        <f>'WhatsApp Tracker'!U81</f>
        <v>Unknown</v>
      </c>
      <c r="K98" s="50" t="str">
        <f>'WhatsApp Tracker'!V81</f>
        <v>Unknown</v>
      </c>
      <c r="L98" s="50" t="str">
        <f>'WhatsApp Tracker'!W81</f>
        <v>Not offered</v>
      </c>
      <c r="M98" s="51" t="str">
        <f>'WhatsApp Tracker'!X81</f>
        <v/>
      </c>
      <c r="N98" s="50" t="str">
        <f>'WhatsApp Tracker'!AM81</f>
        <v>Medium confidence, parsed from text block</v>
      </c>
      <c r="O98" s="50" t="str">
        <f>'WhatsApp Tracker'!AC81</f>
        <v>Imported from extract_garden. Confidence: Medium. Parsed from text block in email/telephone workbook; Parsed from Assam Tea Directory row, verify before sending</v>
      </c>
    </row>
    <row r="99" spans="1:15" ht="54" customHeight="1" x14ac:dyDescent="0.25">
      <c r="A99" s="50">
        <f>'WhatsApp Tracker'!AH82</f>
        <v>3336</v>
      </c>
      <c r="B99" s="50" t="str">
        <f>'WhatsApp Tracker'!AA82</f>
        <v>Send WhatsApp</v>
      </c>
      <c r="C99" s="50" t="str">
        <f>'WhatsApp Tracker'!M82</f>
        <v>Normal</v>
      </c>
      <c r="D99" s="50">
        <f>'WhatsApp Tracker'!AN82</f>
        <v>3</v>
      </c>
      <c r="E99" s="50" t="str">
        <f>'WhatsApp Tracker'!AL82</f>
        <v>Email/telephone workbook</v>
      </c>
      <c r="F99" s="50" t="str">
        <f>'WhatsApp Tracker'!B82</f>
        <v>KAMARBAND</v>
      </c>
      <c r="G99" s="50" t="str">
        <f>'WhatsApp Tracker'!C82</f>
        <v>KAMARBAND</v>
      </c>
      <c r="H99" s="50" t="str">
        <f>'WhatsApp Tracker'!D82</f>
        <v>9954473013</v>
      </c>
      <c r="I99" s="50" t="str">
        <f>'WhatsApp Tracker'!T82</f>
        <v>Not sent</v>
      </c>
      <c r="J99" s="50" t="str">
        <f>'WhatsApp Tracker'!U82</f>
        <v>Unknown</v>
      </c>
      <c r="K99" s="50" t="str">
        <f>'WhatsApp Tracker'!V82</f>
        <v>Unknown</v>
      </c>
      <c r="L99" s="50" t="str">
        <f>'WhatsApp Tracker'!W82</f>
        <v>Not offered</v>
      </c>
      <c r="M99" s="51" t="str">
        <f>'WhatsApp Tracker'!X82</f>
        <v/>
      </c>
      <c r="N99" s="50" t="str">
        <f>'WhatsApp Tracker'!AM82</f>
        <v>Medium confidence, parsed from text block</v>
      </c>
      <c r="O99" s="50" t="str">
        <f>'WhatsApp Tracker'!AC82</f>
        <v>Imported from extract_garden. Confidence: Medium. Parsed from text block in email/telephone workbook; Parsed from Assam Tea Directory row, verify before sending</v>
      </c>
    </row>
    <row r="100" spans="1:15" ht="54" customHeight="1" x14ac:dyDescent="0.25">
      <c r="A100" s="50">
        <f>'WhatsApp Tracker'!AH83</f>
        <v>3336</v>
      </c>
      <c r="B100" s="50" t="str">
        <f>'WhatsApp Tracker'!AA83</f>
        <v>Send WhatsApp</v>
      </c>
      <c r="C100" s="50" t="str">
        <f>'WhatsApp Tracker'!M83</f>
        <v>Normal</v>
      </c>
      <c r="D100" s="50">
        <f>'WhatsApp Tracker'!AN83</f>
        <v>3</v>
      </c>
      <c r="E100" s="50" t="str">
        <f>'WhatsApp Tracker'!AL83</f>
        <v>Email/telephone workbook</v>
      </c>
      <c r="F100" s="50" t="str">
        <f>'WhatsApp Tracker'!B83</f>
        <v>KANJIBARI</v>
      </c>
      <c r="G100" s="50" t="str">
        <f>'WhatsApp Tracker'!C83</f>
        <v>KANJIBARI</v>
      </c>
      <c r="H100" s="50" t="str">
        <f>'WhatsApp Tracker'!D83</f>
        <v>9435131842</v>
      </c>
      <c r="I100" s="50" t="str">
        <f>'WhatsApp Tracker'!T83</f>
        <v>Not sent</v>
      </c>
      <c r="J100" s="50" t="str">
        <f>'WhatsApp Tracker'!U83</f>
        <v>Unknown</v>
      </c>
      <c r="K100" s="50" t="str">
        <f>'WhatsApp Tracker'!V83</f>
        <v>Unknown</v>
      </c>
      <c r="L100" s="50" t="str">
        <f>'WhatsApp Tracker'!W83</f>
        <v>Not offered</v>
      </c>
      <c r="M100" s="51" t="str">
        <f>'WhatsApp Tracker'!X83</f>
        <v/>
      </c>
      <c r="N100" s="50" t="str">
        <f>'WhatsApp Tracker'!AM83</f>
        <v>Medium confidence, parsed from text block</v>
      </c>
      <c r="O100" s="50" t="str">
        <f>'WhatsApp Tracker'!AC83</f>
        <v>Imported from extract_garden. Confidence: Medium. Parsed from text block in email/telephone workbook; Parsed from Assam Tea Directory row, verify before sending</v>
      </c>
    </row>
    <row r="101" spans="1:15" ht="54" customHeight="1" x14ac:dyDescent="0.25">
      <c r="A101" s="50">
        <f>'WhatsApp Tracker'!AH84</f>
        <v>3336</v>
      </c>
      <c r="B101" s="50" t="str">
        <f>'WhatsApp Tracker'!AA84</f>
        <v>Send WhatsApp</v>
      </c>
      <c r="C101" s="50" t="str">
        <f>'WhatsApp Tracker'!M84</f>
        <v>Normal</v>
      </c>
      <c r="D101" s="50">
        <f>'WhatsApp Tracker'!AN84</f>
        <v>3</v>
      </c>
      <c r="E101" s="50" t="str">
        <f>'WhatsApp Tracker'!AL84</f>
        <v>Email/telephone workbook</v>
      </c>
      <c r="F101" s="50" t="str">
        <f>'WhatsApp Tracker'!B84</f>
        <v>LAKHIPORE</v>
      </c>
      <c r="G101" s="50" t="str">
        <f>'WhatsApp Tracker'!C84</f>
        <v>LAKHIPORE</v>
      </c>
      <c r="H101" s="50" t="str">
        <f>'WhatsApp Tracker'!D84</f>
        <v>9435147841</v>
      </c>
      <c r="I101" s="50" t="str">
        <f>'WhatsApp Tracker'!T84</f>
        <v>Not sent</v>
      </c>
      <c r="J101" s="50" t="str">
        <f>'WhatsApp Tracker'!U84</f>
        <v>Unknown</v>
      </c>
      <c r="K101" s="50" t="str">
        <f>'WhatsApp Tracker'!V84</f>
        <v>Unknown</v>
      </c>
      <c r="L101" s="50" t="str">
        <f>'WhatsApp Tracker'!W84</f>
        <v>Not offered</v>
      </c>
      <c r="M101" s="51" t="str">
        <f>'WhatsApp Tracker'!X84</f>
        <v/>
      </c>
      <c r="N101" s="50" t="str">
        <f>'WhatsApp Tracker'!AM84</f>
        <v>Medium confidence, parsed from text block</v>
      </c>
      <c r="O101" s="50" t="str">
        <f>'WhatsApp Tracker'!AC84</f>
        <v>Imported from extract_garden. Confidence: Medium. Parsed from text block in email/telephone workbook; Parsed from Assam Tea Directory row, verify before sending</v>
      </c>
    </row>
    <row r="102" spans="1:15" ht="54" customHeight="1" x14ac:dyDescent="0.25">
      <c r="A102" s="50">
        <f>'WhatsApp Tracker'!AH85</f>
        <v>3336</v>
      </c>
      <c r="B102" s="50" t="str">
        <f>'WhatsApp Tracker'!AA85</f>
        <v>Send WhatsApp</v>
      </c>
      <c r="C102" s="50" t="str">
        <f>'WhatsApp Tracker'!M85</f>
        <v>Normal</v>
      </c>
      <c r="D102" s="50">
        <f>'WhatsApp Tracker'!AN85</f>
        <v>3</v>
      </c>
      <c r="E102" s="50" t="str">
        <f>'WhatsApp Tracker'!AL85</f>
        <v>Email/telephone workbook</v>
      </c>
      <c r="F102" s="50" t="str">
        <f>'WhatsApp Tracker'!B85</f>
        <v>MAIJONGA</v>
      </c>
      <c r="G102" s="50" t="str">
        <f>'WhatsApp Tracker'!C85</f>
        <v>MAIJONGA</v>
      </c>
      <c r="H102" s="50" t="str">
        <f>'WhatsApp Tracker'!D85</f>
        <v>9864310254</v>
      </c>
      <c r="I102" s="50" t="str">
        <f>'WhatsApp Tracker'!T85</f>
        <v>Not sent</v>
      </c>
      <c r="J102" s="50" t="str">
        <f>'WhatsApp Tracker'!U85</f>
        <v>Unknown</v>
      </c>
      <c r="K102" s="50" t="str">
        <f>'WhatsApp Tracker'!V85</f>
        <v>Unknown</v>
      </c>
      <c r="L102" s="50" t="str">
        <f>'WhatsApp Tracker'!W85</f>
        <v>Not offered</v>
      </c>
      <c r="M102" s="51" t="str">
        <f>'WhatsApp Tracker'!X85</f>
        <v/>
      </c>
      <c r="N102" s="50" t="str">
        <f>'WhatsApp Tracker'!AM85</f>
        <v>Medium confidence, parsed from text block</v>
      </c>
      <c r="O102" s="50" t="str">
        <f>'WhatsApp Tracker'!AC85</f>
        <v>Imported from extract_garden. Confidence: Medium. Parsed from text block in email/telephone workbook; Parsed from Assam Tea Directory row, verify before sending</v>
      </c>
    </row>
    <row r="103" spans="1:15" ht="54" customHeight="1" x14ac:dyDescent="0.25">
      <c r="A103" s="50">
        <f>'WhatsApp Tracker'!AH86</f>
        <v>3336</v>
      </c>
      <c r="B103" s="50" t="str">
        <f>'WhatsApp Tracker'!AA86</f>
        <v>Send WhatsApp</v>
      </c>
      <c r="C103" s="50" t="str">
        <f>'WhatsApp Tracker'!M86</f>
        <v>Normal</v>
      </c>
      <c r="D103" s="50">
        <f>'WhatsApp Tracker'!AN86</f>
        <v>3</v>
      </c>
      <c r="E103" s="50" t="str">
        <f>'WhatsApp Tracker'!AL86</f>
        <v>Email/telephone workbook</v>
      </c>
      <c r="F103" s="50" t="str">
        <f>'WhatsApp Tracker'!B86</f>
        <v>MANIKNAGAR</v>
      </c>
      <c r="G103" s="50" t="str">
        <f>'WhatsApp Tracker'!C86</f>
        <v>MANIKNAGAR</v>
      </c>
      <c r="H103" s="50" t="str">
        <f>'WhatsApp Tracker'!D86</f>
        <v>9435885390</v>
      </c>
      <c r="I103" s="50" t="str">
        <f>'WhatsApp Tracker'!T86</f>
        <v>Not sent</v>
      </c>
      <c r="J103" s="50" t="str">
        <f>'WhatsApp Tracker'!U86</f>
        <v>Unknown</v>
      </c>
      <c r="K103" s="50" t="str">
        <f>'WhatsApp Tracker'!V86</f>
        <v>Unknown</v>
      </c>
      <c r="L103" s="50" t="str">
        <f>'WhatsApp Tracker'!W86</f>
        <v>Not offered</v>
      </c>
      <c r="M103" s="51" t="str">
        <f>'WhatsApp Tracker'!X86</f>
        <v/>
      </c>
      <c r="N103" s="50" t="str">
        <f>'WhatsApp Tracker'!AM86</f>
        <v>Medium confidence, parsed from text block</v>
      </c>
      <c r="O103" s="50" t="str">
        <f>'WhatsApp Tracker'!AC86</f>
        <v>Imported from extract_garden. Confidence: Medium. Parsed from text block in email/telephone workbook; Parsed from Assam Tea Directory row, verify before sending</v>
      </c>
    </row>
    <row r="104" spans="1:15" ht="54" customHeight="1" x14ac:dyDescent="0.25">
      <c r="A104" s="50">
        <f>'WhatsApp Tracker'!AH87</f>
        <v>3336</v>
      </c>
      <c r="B104" s="50" t="str">
        <f>'WhatsApp Tracker'!AA87</f>
        <v>Send WhatsApp</v>
      </c>
      <c r="C104" s="50" t="str">
        <f>'WhatsApp Tracker'!M87</f>
        <v>Normal</v>
      </c>
      <c r="D104" s="50">
        <f>'WhatsApp Tracker'!AN87</f>
        <v>3</v>
      </c>
      <c r="E104" s="50" t="str">
        <f>'WhatsApp Tracker'!AL87</f>
        <v>Email/telephone workbook</v>
      </c>
      <c r="F104" s="50" t="str">
        <f>'WhatsApp Tracker'!B87</f>
        <v>MANIKNAGAR</v>
      </c>
      <c r="G104" s="50" t="str">
        <f>'WhatsApp Tracker'!C87</f>
        <v>MANIKNAGAR</v>
      </c>
      <c r="H104" s="50" t="str">
        <f>'WhatsApp Tracker'!D87</f>
        <v>9435076569</v>
      </c>
      <c r="I104" s="50" t="str">
        <f>'WhatsApp Tracker'!T87</f>
        <v>Not sent</v>
      </c>
      <c r="J104" s="50" t="str">
        <f>'WhatsApp Tracker'!U87</f>
        <v>Unknown</v>
      </c>
      <c r="K104" s="50" t="str">
        <f>'WhatsApp Tracker'!V87</f>
        <v>Unknown</v>
      </c>
      <c r="L104" s="50" t="str">
        <f>'WhatsApp Tracker'!W87</f>
        <v>Not offered</v>
      </c>
      <c r="M104" s="51" t="str">
        <f>'WhatsApp Tracker'!X87</f>
        <v/>
      </c>
      <c r="N104" s="50" t="str">
        <f>'WhatsApp Tracker'!AM87</f>
        <v>Medium confidence, parsed from text block</v>
      </c>
      <c r="O104" s="50" t="str">
        <f>'WhatsApp Tracker'!AC87</f>
        <v>Imported from extract_garden. Confidence: Medium. Parsed from text block in email/telephone workbook; Parsed from Assam Tea Directory row, verify before sending</v>
      </c>
    </row>
    <row r="105" spans="1:15" ht="54" customHeight="1" x14ac:dyDescent="0.25">
      <c r="A105" s="50">
        <f>'WhatsApp Tracker'!AH88</f>
        <v>3336</v>
      </c>
      <c r="B105" s="50" t="str">
        <f>'WhatsApp Tracker'!AA88</f>
        <v>Send WhatsApp</v>
      </c>
      <c r="C105" s="50" t="str">
        <f>'WhatsApp Tracker'!M88</f>
        <v>Normal</v>
      </c>
      <c r="D105" s="50">
        <f>'WhatsApp Tracker'!AN88</f>
        <v>3</v>
      </c>
      <c r="E105" s="50" t="str">
        <f>'WhatsApp Tracker'!AL88</f>
        <v>Email/telephone workbook</v>
      </c>
      <c r="F105" s="50" t="str">
        <f>'WhatsApp Tracker'!B88</f>
        <v>NILGIRI</v>
      </c>
      <c r="G105" s="50" t="str">
        <f>'WhatsApp Tracker'!C88</f>
        <v>NILGIRI</v>
      </c>
      <c r="H105" s="50" t="str">
        <f>'WhatsApp Tracker'!D88</f>
        <v>9435023914</v>
      </c>
      <c r="I105" s="50" t="str">
        <f>'WhatsApp Tracker'!T88</f>
        <v>Not sent</v>
      </c>
      <c r="J105" s="50" t="str">
        <f>'WhatsApp Tracker'!U88</f>
        <v>Unknown</v>
      </c>
      <c r="K105" s="50" t="str">
        <f>'WhatsApp Tracker'!V88</f>
        <v>Unknown</v>
      </c>
      <c r="L105" s="50" t="str">
        <f>'WhatsApp Tracker'!W88</f>
        <v>Not offered</v>
      </c>
      <c r="M105" s="51" t="str">
        <f>'WhatsApp Tracker'!X88</f>
        <v/>
      </c>
      <c r="N105" s="50" t="str">
        <f>'WhatsApp Tracker'!AM88</f>
        <v>Medium confidence, parsed from text block</v>
      </c>
      <c r="O105" s="50" t="str">
        <f>'WhatsApp Tracker'!AC88</f>
        <v>Imported from extract_garden. Confidence: Medium. Parsed from text block in email/telephone workbook; Parsed from Assam Tea Directory row, verify before sending</v>
      </c>
    </row>
    <row r="106" spans="1:15" ht="54" customHeight="1" x14ac:dyDescent="0.25">
      <c r="A106" s="50">
        <f>'WhatsApp Tracker'!AH89</f>
        <v>3336</v>
      </c>
      <c r="B106" s="50" t="str">
        <f>'WhatsApp Tracker'!AA89</f>
        <v>Send WhatsApp</v>
      </c>
      <c r="C106" s="50" t="str">
        <f>'WhatsApp Tracker'!M89</f>
        <v>Normal</v>
      </c>
      <c r="D106" s="50">
        <f>'WhatsApp Tracker'!AN89</f>
        <v>3</v>
      </c>
      <c r="E106" s="50" t="str">
        <f>'WhatsApp Tracker'!AL89</f>
        <v>Email/telephone workbook</v>
      </c>
      <c r="F106" s="50" t="str">
        <f>'WhatsApp Tracker'!B89</f>
        <v>RAJARAMPORE</v>
      </c>
      <c r="G106" s="50" t="str">
        <f>'WhatsApp Tracker'!C89</f>
        <v>RAJARAMPORE</v>
      </c>
      <c r="H106" s="50" t="str">
        <f>'WhatsApp Tracker'!D89</f>
        <v>9760002071</v>
      </c>
      <c r="I106" s="50" t="str">
        <f>'WhatsApp Tracker'!T89</f>
        <v>Not sent</v>
      </c>
      <c r="J106" s="50" t="str">
        <f>'WhatsApp Tracker'!U89</f>
        <v>Unknown</v>
      </c>
      <c r="K106" s="50" t="str">
        <f>'WhatsApp Tracker'!V89</f>
        <v>Unknown</v>
      </c>
      <c r="L106" s="50" t="str">
        <f>'WhatsApp Tracker'!W89</f>
        <v>Not offered</v>
      </c>
      <c r="M106" s="51" t="str">
        <f>'WhatsApp Tracker'!X89</f>
        <v/>
      </c>
      <c r="N106" s="50" t="str">
        <f>'WhatsApp Tracker'!AM89</f>
        <v>Medium confidence, parsed from text block</v>
      </c>
      <c r="O106" s="50" t="str">
        <f>'WhatsApp Tracker'!AC89</f>
        <v>Imported from extract_garden. Confidence: Medium. Parsed from text block in email/telephone workbook; Parsed from Assam Tea Directory row, verify before sending</v>
      </c>
    </row>
    <row r="107" spans="1:15" ht="54" customHeight="1" x14ac:dyDescent="0.25">
      <c r="A107" s="50">
        <f>'WhatsApp Tracker'!AH90</f>
        <v>3336</v>
      </c>
      <c r="B107" s="50" t="str">
        <f>'WhatsApp Tracker'!AA90</f>
        <v>Send WhatsApp</v>
      </c>
      <c r="C107" s="50" t="str">
        <f>'WhatsApp Tracker'!M90</f>
        <v>Normal</v>
      </c>
      <c r="D107" s="50">
        <f>'WhatsApp Tracker'!AN90</f>
        <v>3</v>
      </c>
      <c r="E107" s="50" t="str">
        <f>'WhatsApp Tracker'!AL90</f>
        <v>Email/telephone workbook</v>
      </c>
      <c r="F107" s="50" t="str">
        <f>'WhatsApp Tracker'!B90</f>
        <v>RANGCHALLI</v>
      </c>
      <c r="G107" s="50" t="str">
        <f>'WhatsApp Tracker'!C90</f>
        <v>RANGCHALLI</v>
      </c>
      <c r="H107" s="50" t="str">
        <f>'WhatsApp Tracker'!D90</f>
        <v>9435536240</v>
      </c>
      <c r="I107" s="50" t="str">
        <f>'WhatsApp Tracker'!T90</f>
        <v>Not sent</v>
      </c>
      <c r="J107" s="50" t="str">
        <f>'WhatsApp Tracker'!U90</f>
        <v>Unknown</v>
      </c>
      <c r="K107" s="50" t="str">
        <f>'WhatsApp Tracker'!V90</f>
        <v>Unknown</v>
      </c>
      <c r="L107" s="50" t="str">
        <f>'WhatsApp Tracker'!W90</f>
        <v>Not offered</v>
      </c>
      <c r="M107" s="51" t="str">
        <f>'WhatsApp Tracker'!X90</f>
        <v/>
      </c>
      <c r="N107" s="50" t="str">
        <f>'WhatsApp Tracker'!AM90</f>
        <v>Medium confidence, parsed from text block</v>
      </c>
      <c r="O107" s="50" t="str">
        <f>'WhatsApp Tracker'!AC90</f>
        <v>Imported from extract_garden. Confidence: Medium. Parsed from text block in email/telephone workbook; Parsed from Assam Tea Directory row, verify before sending</v>
      </c>
    </row>
    <row r="108" spans="1:15" ht="54" customHeight="1" x14ac:dyDescent="0.25">
      <c r="A108" s="50">
        <f>'WhatsApp Tracker'!AH91</f>
        <v>3336</v>
      </c>
      <c r="B108" s="50" t="str">
        <f>'WhatsApp Tracker'!AA91</f>
        <v>Send WhatsApp</v>
      </c>
      <c r="C108" s="50" t="str">
        <f>'WhatsApp Tracker'!M91</f>
        <v>Normal</v>
      </c>
      <c r="D108" s="50">
        <f>'WhatsApp Tracker'!AN91</f>
        <v>3</v>
      </c>
      <c r="E108" s="50" t="str">
        <f>'WhatsApp Tracker'!AL91</f>
        <v>Email/telephone workbook</v>
      </c>
      <c r="F108" s="50" t="str">
        <f>'WhatsApp Tracker'!B91</f>
        <v>RANGCHALLI</v>
      </c>
      <c r="G108" s="50" t="str">
        <f>'WhatsApp Tracker'!C91</f>
        <v>RANGCHALLI</v>
      </c>
      <c r="H108" s="50" t="str">
        <f>'WhatsApp Tracker'!D91</f>
        <v>9435149115</v>
      </c>
      <c r="I108" s="50" t="str">
        <f>'WhatsApp Tracker'!T91</f>
        <v>Not sent</v>
      </c>
      <c r="J108" s="50" t="str">
        <f>'WhatsApp Tracker'!U91</f>
        <v>Unknown</v>
      </c>
      <c r="K108" s="50" t="str">
        <f>'WhatsApp Tracker'!V91</f>
        <v>Unknown</v>
      </c>
      <c r="L108" s="50" t="str">
        <f>'WhatsApp Tracker'!W91</f>
        <v>Not offered</v>
      </c>
      <c r="M108" s="51" t="str">
        <f>'WhatsApp Tracker'!X91</f>
        <v/>
      </c>
      <c r="N108" s="50" t="str">
        <f>'WhatsApp Tracker'!AM91</f>
        <v>Medium confidence, parsed from text block</v>
      </c>
      <c r="O108" s="50" t="str">
        <f>'WhatsApp Tracker'!AC91</f>
        <v>Imported from extract_garden. Confidence: Medium. Parsed from text block in email/telephone workbook; Parsed from Assam Tea Directory row, verify before sending</v>
      </c>
    </row>
    <row r="109" spans="1:15" ht="54" customHeight="1" x14ac:dyDescent="0.25">
      <c r="A109" s="50">
        <f>'WhatsApp Tracker'!AH92</f>
        <v>3336</v>
      </c>
      <c r="B109" s="50" t="str">
        <f>'WhatsApp Tracker'!AA92</f>
        <v>Send WhatsApp</v>
      </c>
      <c r="C109" s="50" t="str">
        <f>'WhatsApp Tracker'!M92</f>
        <v>Normal</v>
      </c>
      <c r="D109" s="50">
        <f>'WhatsApp Tracker'!AN92</f>
        <v>3</v>
      </c>
      <c r="E109" s="50" t="str">
        <f>'WhatsApp Tracker'!AL92</f>
        <v>Email/telephone workbook</v>
      </c>
      <c r="F109" s="50" t="str">
        <f>'WhatsApp Tracker'!B92</f>
        <v>SATKARTAR</v>
      </c>
      <c r="G109" s="50" t="str">
        <f>'WhatsApp Tracker'!C92</f>
        <v>SATKARTAR</v>
      </c>
      <c r="H109" s="50" t="str">
        <f>'WhatsApp Tracker'!D92</f>
        <v>9402676939</v>
      </c>
      <c r="I109" s="50" t="str">
        <f>'WhatsApp Tracker'!T92</f>
        <v>Not sent</v>
      </c>
      <c r="J109" s="50" t="str">
        <f>'WhatsApp Tracker'!U92</f>
        <v>Unknown</v>
      </c>
      <c r="K109" s="50" t="str">
        <f>'WhatsApp Tracker'!V92</f>
        <v>Unknown</v>
      </c>
      <c r="L109" s="50" t="str">
        <f>'WhatsApp Tracker'!W92</f>
        <v>Not offered</v>
      </c>
      <c r="M109" s="51" t="str">
        <f>'WhatsApp Tracker'!X92</f>
        <v/>
      </c>
      <c r="N109" s="50" t="str">
        <f>'WhatsApp Tracker'!AM92</f>
        <v>Medium confidence, parsed from text block</v>
      </c>
      <c r="O109" s="50" t="str">
        <f>'WhatsApp Tracker'!AC92</f>
        <v>Imported from extract_garden. Confidence: Medium. Parsed from text block in email/telephone workbook; Parsed from Assam Tea Directory row, verify before sending</v>
      </c>
    </row>
    <row r="110" spans="1:15" ht="54" customHeight="1" x14ac:dyDescent="0.25">
      <c r="A110" s="50">
        <f>'WhatsApp Tracker'!AH93</f>
        <v>3336</v>
      </c>
      <c r="B110" s="50" t="str">
        <f>'WhatsApp Tracker'!AA93</f>
        <v>Send WhatsApp</v>
      </c>
      <c r="C110" s="50" t="str">
        <f>'WhatsApp Tracker'!M93</f>
        <v>Normal</v>
      </c>
      <c r="D110" s="50">
        <f>'WhatsApp Tracker'!AN93</f>
        <v>3</v>
      </c>
      <c r="E110" s="50" t="str">
        <f>'WhatsApp Tracker'!AL93</f>
        <v>Email/telephone workbook</v>
      </c>
      <c r="F110" s="50" t="str">
        <f>'WhatsApp Tracker'!B93</f>
        <v>SATKARTAR</v>
      </c>
      <c r="G110" s="50" t="str">
        <f>'WhatsApp Tracker'!C93</f>
        <v>SATKARTAR</v>
      </c>
      <c r="H110" s="50" t="str">
        <f>'WhatsApp Tracker'!D93</f>
        <v>9435736180</v>
      </c>
      <c r="I110" s="50" t="str">
        <f>'WhatsApp Tracker'!T93</f>
        <v>Not sent</v>
      </c>
      <c r="J110" s="50" t="str">
        <f>'WhatsApp Tracker'!U93</f>
        <v>Unknown</v>
      </c>
      <c r="K110" s="50" t="str">
        <f>'WhatsApp Tracker'!V93</f>
        <v>Unknown</v>
      </c>
      <c r="L110" s="50" t="str">
        <f>'WhatsApp Tracker'!W93</f>
        <v>Not offered</v>
      </c>
      <c r="M110" s="51" t="str">
        <f>'WhatsApp Tracker'!X93</f>
        <v/>
      </c>
      <c r="N110" s="50" t="str">
        <f>'WhatsApp Tracker'!AM93</f>
        <v>Medium confidence, parsed from text block</v>
      </c>
      <c r="O110" s="50" t="str">
        <f>'WhatsApp Tracker'!AC93</f>
        <v>Imported from extract_garden. Confidence: Medium. Parsed from text block in email/telephone workbook; Parsed from Assam Tea Directory row, verify before sending</v>
      </c>
    </row>
    <row r="111" spans="1:15" ht="54" customHeight="1" x14ac:dyDescent="0.25">
      <c r="A111" s="50">
        <f>'WhatsApp Tracker'!AH94</f>
        <v>3336</v>
      </c>
      <c r="B111" s="50" t="str">
        <f>'WhatsApp Tracker'!AA94</f>
        <v>Send WhatsApp</v>
      </c>
      <c r="C111" s="50" t="str">
        <f>'WhatsApp Tracker'!M94</f>
        <v>Normal</v>
      </c>
      <c r="D111" s="50">
        <f>'WhatsApp Tracker'!AN94</f>
        <v>3</v>
      </c>
      <c r="E111" s="50" t="str">
        <f>'WhatsApp Tracker'!AL94</f>
        <v>Email/telephone workbook</v>
      </c>
      <c r="F111" s="50" t="str">
        <f>'WhatsApp Tracker'!B94</f>
        <v>SOONITPUR</v>
      </c>
      <c r="G111" s="50" t="str">
        <f>'WhatsApp Tracker'!C94</f>
        <v>SOONITPUR</v>
      </c>
      <c r="H111" s="50" t="str">
        <f>'WhatsApp Tracker'!D94</f>
        <v>9435092701</v>
      </c>
      <c r="I111" s="50" t="str">
        <f>'WhatsApp Tracker'!T94</f>
        <v>Not sent</v>
      </c>
      <c r="J111" s="50" t="str">
        <f>'WhatsApp Tracker'!U94</f>
        <v>Unknown</v>
      </c>
      <c r="K111" s="50" t="str">
        <f>'WhatsApp Tracker'!V94</f>
        <v>Unknown</v>
      </c>
      <c r="L111" s="50" t="str">
        <f>'WhatsApp Tracker'!W94</f>
        <v>Not offered</v>
      </c>
      <c r="M111" s="51" t="str">
        <f>'WhatsApp Tracker'!X94</f>
        <v/>
      </c>
      <c r="N111" s="50" t="str">
        <f>'WhatsApp Tracker'!AM94</f>
        <v>Medium confidence, parsed from text block</v>
      </c>
      <c r="O111" s="50" t="str">
        <f>'WhatsApp Tracker'!AC94</f>
        <v>Imported from extract_garden. Confidence: Medium. Parsed from text block in email/telephone workbook; Parsed from Assam Tea Directory row, verify before sending</v>
      </c>
    </row>
    <row r="112" spans="1:15" ht="54" customHeight="1" x14ac:dyDescent="0.25">
      <c r="A112" s="50">
        <f>'WhatsApp Tracker'!AH95</f>
        <v>3336</v>
      </c>
      <c r="B112" s="50" t="str">
        <f>'WhatsApp Tracker'!AA95</f>
        <v>Send WhatsApp</v>
      </c>
      <c r="C112" s="50" t="str">
        <f>'WhatsApp Tracker'!M95</f>
        <v>Normal</v>
      </c>
      <c r="D112" s="50">
        <f>'WhatsApp Tracker'!AN95</f>
        <v>3</v>
      </c>
      <c r="E112" s="50" t="str">
        <f>'WhatsApp Tracker'!AL95</f>
        <v>Email/telephone workbook</v>
      </c>
      <c r="F112" s="50" t="str">
        <f>'WhatsApp Tracker'!B95</f>
        <v>SREEKONA</v>
      </c>
      <c r="G112" s="50" t="str">
        <f>'WhatsApp Tracker'!C95</f>
        <v>SREEKONA</v>
      </c>
      <c r="H112" s="50" t="str">
        <f>'WhatsApp Tracker'!D95</f>
        <v>9954968627</v>
      </c>
      <c r="I112" s="50" t="str">
        <f>'WhatsApp Tracker'!T95</f>
        <v>Not sent</v>
      </c>
      <c r="J112" s="50" t="str">
        <f>'WhatsApp Tracker'!U95</f>
        <v>Unknown</v>
      </c>
      <c r="K112" s="50" t="str">
        <f>'WhatsApp Tracker'!V95</f>
        <v>Unknown</v>
      </c>
      <c r="L112" s="50" t="str">
        <f>'WhatsApp Tracker'!W95</f>
        <v>Not offered</v>
      </c>
      <c r="M112" s="51" t="str">
        <f>'WhatsApp Tracker'!X95</f>
        <v/>
      </c>
      <c r="N112" s="50" t="str">
        <f>'WhatsApp Tracker'!AM95</f>
        <v>Medium confidence, parsed from text block</v>
      </c>
      <c r="O112" s="50" t="str">
        <f>'WhatsApp Tracker'!AC95</f>
        <v>Imported from extract_garden. Confidence: Medium. Parsed from text block in email/telephone workbook; Parsed from Assam Tea Directory row, verify before sending</v>
      </c>
    </row>
    <row r="113" spans="1:15" ht="54" customHeight="1" x14ac:dyDescent="0.25">
      <c r="A113" s="50">
        <f>'WhatsApp Tracker'!AH96</f>
        <v>3336</v>
      </c>
      <c r="B113" s="50" t="str">
        <f>'WhatsApp Tracker'!AA96</f>
        <v>Send WhatsApp</v>
      </c>
      <c r="C113" s="50" t="str">
        <f>'WhatsApp Tracker'!M96</f>
        <v>Normal</v>
      </c>
      <c r="D113" s="50">
        <f>'WhatsApp Tracker'!AN96</f>
        <v>3</v>
      </c>
      <c r="E113" s="50" t="str">
        <f>'WhatsApp Tracker'!AL96</f>
        <v>Email/telephone workbook</v>
      </c>
      <c r="F113" s="50" t="str">
        <f>'WhatsApp Tracker'!B96</f>
        <v>SREEKONA</v>
      </c>
      <c r="G113" s="50" t="str">
        <f>'WhatsApp Tracker'!C96</f>
        <v>SREEKONA</v>
      </c>
      <c r="H113" s="50" t="str">
        <f>'WhatsApp Tracker'!D96</f>
        <v>9435071111</v>
      </c>
      <c r="I113" s="50" t="str">
        <f>'WhatsApp Tracker'!T96</f>
        <v>Not sent</v>
      </c>
      <c r="J113" s="50" t="str">
        <f>'WhatsApp Tracker'!U96</f>
        <v>Unknown</v>
      </c>
      <c r="K113" s="50" t="str">
        <f>'WhatsApp Tracker'!V96</f>
        <v>Unknown</v>
      </c>
      <c r="L113" s="50" t="str">
        <f>'WhatsApp Tracker'!W96</f>
        <v>Not offered</v>
      </c>
      <c r="M113" s="51" t="str">
        <f>'WhatsApp Tracker'!X96</f>
        <v/>
      </c>
      <c r="N113" s="50" t="str">
        <f>'WhatsApp Tracker'!AM96</f>
        <v>Medium confidence, parsed from text block</v>
      </c>
      <c r="O113" s="50" t="str">
        <f>'WhatsApp Tracker'!AC96</f>
        <v>Imported from extract_garden. Confidence: Medium. Parsed from text block in email/telephone workbook; Parsed from Assam Tea Directory row, verify before sending</v>
      </c>
    </row>
    <row r="114" spans="1:15" ht="54" customHeight="1" x14ac:dyDescent="0.25">
      <c r="A114" s="50">
        <f>'WhatsApp Tracker'!AH97</f>
        <v>3336</v>
      </c>
      <c r="B114" s="50" t="str">
        <f>'WhatsApp Tracker'!AA97</f>
        <v>Send WhatsApp</v>
      </c>
      <c r="C114" s="50" t="str">
        <f>'WhatsApp Tracker'!M97</f>
        <v>Normal</v>
      </c>
      <c r="D114" s="50">
        <f>'WhatsApp Tracker'!AN97</f>
        <v>3</v>
      </c>
      <c r="E114" s="50" t="str">
        <f>'WhatsApp Tracker'!AL97</f>
        <v>Email/telephone workbook</v>
      </c>
      <c r="F114" s="50" t="str">
        <f>'WhatsApp Tracker'!B97</f>
        <v>TILOTTAMA</v>
      </c>
      <c r="G114" s="50" t="str">
        <f>'WhatsApp Tracker'!C97</f>
        <v>TILOTTAMA</v>
      </c>
      <c r="H114" s="50" t="str">
        <f>'WhatsApp Tracker'!D97</f>
        <v>9435153309</v>
      </c>
      <c r="I114" s="50" t="str">
        <f>'WhatsApp Tracker'!T97</f>
        <v>Not sent</v>
      </c>
      <c r="J114" s="50" t="str">
        <f>'WhatsApp Tracker'!U97</f>
        <v>Unknown</v>
      </c>
      <c r="K114" s="50" t="str">
        <f>'WhatsApp Tracker'!V97</f>
        <v>Unknown</v>
      </c>
      <c r="L114" s="50" t="str">
        <f>'WhatsApp Tracker'!W97</f>
        <v>Not offered</v>
      </c>
      <c r="M114" s="51" t="str">
        <f>'WhatsApp Tracker'!X97</f>
        <v/>
      </c>
      <c r="N114" s="50" t="str">
        <f>'WhatsApp Tracker'!AM97</f>
        <v>Medium confidence, parsed from text block</v>
      </c>
      <c r="O114" s="50" t="str">
        <f>'WhatsApp Tracker'!AC97</f>
        <v>Imported from extract_garden. Confidence: Medium. Parsed from text block in email/telephone workbook; Parsed from Assam Tea Directory row, verify before sending</v>
      </c>
    </row>
    <row r="115" spans="1:15" ht="54" customHeight="1" x14ac:dyDescent="0.25">
      <c r="A115" s="50">
        <f>'WhatsApp Tracker'!AH98</f>
        <v>3336</v>
      </c>
      <c r="B115" s="50" t="str">
        <f>'WhatsApp Tracker'!AA98</f>
        <v>Send WhatsApp</v>
      </c>
      <c r="C115" s="50" t="str">
        <f>'WhatsApp Tracker'!M98</f>
        <v>Normal</v>
      </c>
      <c r="D115" s="50">
        <f>'WhatsApp Tracker'!AN98</f>
        <v>3</v>
      </c>
      <c r="E115" s="50" t="str">
        <f>'WhatsApp Tracker'!AL98</f>
        <v>Email/telephone workbook</v>
      </c>
      <c r="F115" s="50" t="str">
        <f>'WhatsApp Tracker'!B98</f>
        <v>TIRUAL</v>
      </c>
      <c r="G115" s="50" t="str">
        <f>'WhatsApp Tracker'!C98</f>
        <v>TIRUAL</v>
      </c>
      <c r="H115" s="50" t="str">
        <f>'WhatsApp Tracker'!D98</f>
        <v>9435108511</v>
      </c>
      <c r="I115" s="50" t="str">
        <f>'WhatsApp Tracker'!T98</f>
        <v>Not sent</v>
      </c>
      <c r="J115" s="50" t="str">
        <f>'WhatsApp Tracker'!U98</f>
        <v>Unknown</v>
      </c>
      <c r="K115" s="50" t="str">
        <f>'WhatsApp Tracker'!V98</f>
        <v>Unknown</v>
      </c>
      <c r="L115" s="50" t="str">
        <f>'WhatsApp Tracker'!W98</f>
        <v>Not offered</v>
      </c>
      <c r="M115" s="51" t="str">
        <f>'WhatsApp Tracker'!X98</f>
        <v/>
      </c>
      <c r="N115" s="50" t="str">
        <f>'WhatsApp Tracker'!AM98</f>
        <v>Medium confidence, parsed from text block</v>
      </c>
      <c r="O115" s="50" t="str">
        <f>'WhatsApp Tracker'!AC98</f>
        <v>Imported from extract_garden. Confidence: Medium. Parsed from text block in email/telephone workbook; Parsed from Assam Tea Directory row, verify before sending</v>
      </c>
    </row>
    <row r="116" spans="1:15" ht="54" customHeight="1" x14ac:dyDescent="0.25">
      <c r="A116" s="50">
        <f>'WhatsApp Tracker'!AH99</f>
        <v>3336</v>
      </c>
      <c r="B116" s="50" t="str">
        <f>'WhatsApp Tracker'!AA99</f>
        <v>Send WhatsApp</v>
      </c>
      <c r="C116" s="50" t="str">
        <f>'WhatsApp Tracker'!M99</f>
        <v>Normal</v>
      </c>
      <c r="D116" s="50">
        <f>'WhatsApp Tracker'!AN99</f>
        <v>3</v>
      </c>
      <c r="E116" s="50" t="str">
        <f>'WhatsApp Tracker'!AL99</f>
        <v>Email/telephone workbook</v>
      </c>
      <c r="F116" s="50" t="str">
        <f>'WhatsApp Tracker'!B99</f>
        <v>BAMUNIBARI</v>
      </c>
      <c r="G116" s="50" t="str">
        <f>'WhatsApp Tracker'!C99</f>
        <v>BAMUNIBARI</v>
      </c>
      <c r="H116" s="50" t="str">
        <f>'WhatsApp Tracker'!D99</f>
        <v>9401625864</v>
      </c>
      <c r="I116" s="50" t="str">
        <f>'WhatsApp Tracker'!T99</f>
        <v>Not sent</v>
      </c>
      <c r="J116" s="50" t="str">
        <f>'WhatsApp Tracker'!U99</f>
        <v>Unknown</v>
      </c>
      <c r="K116" s="50" t="str">
        <f>'WhatsApp Tracker'!V99</f>
        <v>Unknown</v>
      </c>
      <c r="L116" s="50" t="str">
        <f>'WhatsApp Tracker'!W99</f>
        <v>Not offered</v>
      </c>
      <c r="M116" s="51" t="str">
        <f>'WhatsApp Tracker'!X99</f>
        <v/>
      </c>
      <c r="N116" s="50" t="str">
        <f>'WhatsApp Tracker'!AM99</f>
        <v>Medium confidence, parsed from text block</v>
      </c>
      <c r="O116" s="50" t="str">
        <f>'WhatsApp Tracker'!AC99</f>
        <v>Imported from extract_garden. Confidence: Medium. Parsed from text block in email/telephone workbook; Parsed from Assam Tea Directory row, verify before sending</v>
      </c>
    </row>
    <row r="117" spans="1:15" ht="54" customHeight="1" x14ac:dyDescent="0.25">
      <c r="A117" s="50">
        <f>'WhatsApp Tracker'!AH100</f>
        <v>3336</v>
      </c>
      <c r="B117" s="50" t="str">
        <f>'WhatsApp Tracker'!AA100</f>
        <v>Send WhatsApp</v>
      </c>
      <c r="C117" s="50" t="str">
        <f>'WhatsApp Tracker'!M100</f>
        <v>Normal</v>
      </c>
      <c r="D117" s="50">
        <f>'WhatsApp Tracker'!AN100</f>
        <v>3</v>
      </c>
      <c r="E117" s="50" t="str">
        <f>'WhatsApp Tracker'!AL100</f>
        <v>Email/telephone workbook</v>
      </c>
      <c r="F117" s="50" t="str">
        <f>'WhatsApp Tracker'!B100</f>
        <v>BAMUNIBARI</v>
      </c>
      <c r="G117" s="50" t="str">
        <f>'WhatsApp Tracker'!C100</f>
        <v>BAMUNIBARI</v>
      </c>
      <c r="H117" s="50" t="str">
        <f>'WhatsApp Tracker'!D100</f>
        <v>9706708840</v>
      </c>
      <c r="I117" s="50" t="str">
        <f>'WhatsApp Tracker'!T100</f>
        <v>Not sent</v>
      </c>
      <c r="J117" s="50" t="str">
        <f>'WhatsApp Tracker'!U100</f>
        <v>Unknown</v>
      </c>
      <c r="K117" s="50" t="str">
        <f>'WhatsApp Tracker'!V100</f>
        <v>Unknown</v>
      </c>
      <c r="L117" s="50" t="str">
        <f>'WhatsApp Tracker'!W100</f>
        <v>Not offered</v>
      </c>
      <c r="M117" s="51" t="str">
        <f>'WhatsApp Tracker'!X100</f>
        <v/>
      </c>
      <c r="N117" s="50" t="str">
        <f>'WhatsApp Tracker'!AM100</f>
        <v>Medium confidence, parsed from text block</v>
      </c>
      <c r="O117" s="50" t="str">
        <f>'WhatsApp Tracker'!AC100</f>
        <v>Imported from extract_garden. Confidence: Medium. Parsed from text block in email/telephone workbook; Parsed from Assam Tea Directory row, verify before sending</v>
      </c>
    </row>
    <row r="118" spans="1:15" ht="54" customHeight="1" x14ac:dyDescent="0.25">
      <c r="A118" s="50">
        <f>'WhatsApp Tracker'!AH101</f>
        <v>3336</v>
      </c>
      <c r="B118" s="50" t="str">
        <f>'WhatsApp Tracker'!AA101</f>
        <v>Send WhatsApp</v>
      </c>
      <c r="C118" s="50" t="str">
        <f>'WhatsApp Tracker'!M101</f>
        <v>Normal</v>
      </c>
      <c r="D118" s="50">
        <f>'WhatsApp Tracker'!AN101</f>
        <v>3</v>
      </c>
      <c r="E118" s="50" t="str">
        <f>'WhatsApp Tracker'!AL101</f>
        <v>Email/telephone workbook</v>
      </c>
      <c r="F118" s="50" t="str">
        <f>'WhatsApp Tracker'!B101</f>
        <v>DEVENDRA</v>
      </c>
      <c r="G118" s="50" t="str">
        <f>'WhatsApp Tracker'!C101</f>
        <v>DEVENDRA</v>
      </c>
      <c r="H118" s="50" t="str">
        <f>'WhatsApp Tracker'!D101</f>
        <v>9435035579</v>
      </c>
      <c r="I118" s="50" t="str">
        <f>'WhatsApp Tracker'!T101</f>
        <v>Not sent</v>
      </c>
      <c r="J118" s="50" t="str">
        <f>'WhatsApp Tracker'!U101</f>
        <v>Unknown</v>
      </c>
      <c r="K118" s="50" t="str">
        <f>'WhatsApp Tracker'!V101</f>
        <v>Unknown</v>
      </c>
      <c r="L118" s="50" t="str">
        <f>'WhatsApp Tracker'!W101</f>
        <v>Not offered</v>
      </c>
      <c r="M118" s="51" t="str">
        <f>'WhatsApp Tracker'!X101</f>
        <v/>
      </c>
      <c r="N118" s="50" t="str">
        <f>'WhatsApp Tracker'!AM101</f>
        <v>Medium confidence, parsed from text block</v>
      </c>
      <c r="O118" s="50" t="str">
        <f>'WhatsApp Tracker'!AC101</f>
        <v>Imported from extract_garden. Confidence: Medium. Parsed from text block in email/telephone workbook; Parsed from Assam Tea Directory row, verify before sending</v>
      </c>
    </row>
    <row r="119" spans="1:15" ht="54" customHeight="1" x14ac:dyDescent="0.25">
      <c r="A119" s="50">
        <f>'WhatsApp Tracker'!AH102</f>
        <v>3336</v>
      </c>
      <c r="B119" s="50" t="str">
        <f>'WhatsApp Tracker'!AA102</f>
        <v>Send WhatsApp</v>
      </c>
      <c r="C119" s="50" t="str">
        <f>'WhatsApp Tracker'!M102</f>
        <v>Normal</v>
      </c>
      <c r="D119" s="50">
        <f>'WhatsApp Tracker'!AN102</f>
        <v>3</v>
      </c>
      <c r="E119" s="50" t="str">
        <f>'WhatsApp Tracker'!AL102</f>
        <v>Email/telephone workbook</v>
      </c>
      <c r="F119" s="50" t="str">
        <f>'WhatsApp Tracker'!B102</f>
        <v>HIMALAYA</v>
      </c>
      <c r="G119" s="50" t="str">
        <f>'WhatsApp Tracker'!C102</f>
        <v>HIMALAYA</v>
      </c>
      <c r="H119" s="50" t="str">
        <f>'WhatsApp Tracker'!D102</f>
        <v>9435731854</v>
      </c>
      <c r="I119" s="50" t="str">
        <f>'WhatsApp Tracker'!T102</f>
        <v>Not sent</v>
      </c>
      <c r="J119" s="50" t="str">
        <f>'WhatsApp Tracker'!U102</f>
        <v>Unknown</v>
      </c>
      <c r="K119" s="50" t="str">
        <f>'WhatsApp Tracker'!V102</f>
        <v>Unknown</v>
      </c>
      <c r="L119" s="50" t="str">
        <f>'WhatsApp Tracker'!W102</f>
        <v>Not offered</v>
      </c>
      <c r="M119" s="51" t="str">
        <f>'WhatsApp Tracker'!X102</f>
        <v/>
      </c>
      <c r="N119" s="50" t="str">
        <f>'WhatsApp Tracker'!AM102</f>
        <v>Medium confidence, parsed from text block</v>
      </c>
      <c r="O119" s="50" t="str">
        <f>'WhatsApp Tracker'!AC102</f>
        <v>Imported from extract_garden. Confidence: Medium. Parsed from text block in email/telephone workbook; Parsed from Assam Tea Directory row, verify before sending</v>
      </c>
    </row>
    <row r="120" spans="1:15" ht="27" customHeight="1" x14ac:dyDescent="0.25">
      <c r="A120" s="50">
        <f>'WhatsApp Tracker'!AH2</f>
        <v>4136</v>
      </c>
      <c r="B120" s="50" t="str">
        <f>'WhatsApp Tracker'!AA2</f>
        <v>Review</v>
      </c>
      <c r="C120" s="50" t="str">
        <f>'WhatsApp Tracker'!M2</f>
        <v>Normal</v>
      </c>
      <c r="D120" s="50">
        <f>'WhatsApp Tracker'!AN2</f>
        <v>1</v>
      </c>
      <c r="E120" s="50" t="str">
        <f>'WhatsApp Tracker'!AL2</f>
        <v>Original CRM/manual campaign tracker</v>
      </c>
      <c r="F120" s="50" t="str">
        <f>'WhatsApp Tracker'!B2</f>
        <v>Hatijan T.E</v>
      </c>
      <c r="G120" s="50">
        <f>'WhatsApp Tracker'!C2</f>
        <v>0</v>
      </c>
      <c r="H120" s="50" t="str">
        <f>'WhatsApp Tracker'!D2</f>
        <v>9365634055</v>
      </c>
      <c r="I120" s="50" t="str">
        <f>'WhatsApp Tracker'!T2</f>
        <v>Sent</v>
      </c>
      <c r="J120" s="50" t="str">
        <f>'WhatsApp Tracker'!U2</f>
        <v>Unknown</v>
      </c>
      <c r="K120" s="50" t="str">
        <f>'WhatsApp Tracker'!V2</f>
        <v>Unknown</v>
      </c>
      <c r="L120" s="50" t="str">
        <f>'WhatsApp Tracker'!W2</f>
        <v>Not offered</v>
      </c>
      <c r="M120" s="51" t="str">
        <f>'WhatsApp Tracker'!X2</f>
        <v/>
      </c>
      <c r="N120" s="50" t="str">
        <f>'WhatsApp Tracker'!AM2</f>
        <v>Existing CRM lead</v>
      </c>
      <c r="O120" s="50">
        <f>'WhatsApp Tracker'!AC2</f>
        <v>0</v>
      </c>
    </row>
    <row r="121" spans="1:15" ht="27" customHeight="1" x14ac:dyDescent="0.25">
      <c r="A121" s="50">
        <f>'WhatsApp Tracker'!AH4</f>
        <v>3116</v>
      </c>
      <c r="B121" s="50" t="str">
        <f>'WhatsApp Tracker'!AA4</f>
        <v>Send WhatsApp</v>
      </c>
      <c r="C121" s="50" t="str">
        <f>'WhatsApp Tracker'!M4</f>
        <v>High</v>
      </c>
      <c r="D121" s="50">
        <f>'WhatsApp Tracker'!AN4</f>
        <v>1</v>
      </c>
      <c r="E121" s="50" t="str">
        <f>'WhatsApp Tracker'!AL4</f>
        <v>Original CRM/manual campaign tracker</v>
      </c>
      <c r="F121" s="50" t="str">
        <f>'WhatsApp Tracker'!B4</f>
        <v xml:space="preserve">Topojit Bagchi </v>
      </c>
      <c r="G121" s="50" t="str">
        <f>'WhatsApp Tracker'!C4</f>
        <v>Phukenbari T. E</v>
      </c>
      <c r="H121" s="50" t="str">
        <f>'WhatsApp Tracker'!D4</f>
        <v>7002398813</v>
      </c>
      <c r="I121" s="50" t="str">
        <f>'WhatsApp Tracker'!T4</f>
        <v>Not sent</v>
      </c>
      <c r="J121" s="50" t="str">
        <f>'WhatsApp Tracker'!U4</f>
        <v>Unknown</v>
      </c>
      <c r="K121" s="50" t="str">
        <f>'WhatsApp Tracker'!V4</f>
        <v>Unknown</v>
      </c>
      <c r="L121" s="50" t="str">
        <f>'WhatsApp Tracker'!W4</f>
        <v>Not offered</v>
      </c>
      <c r="M121" s="51" t="str">
        <f>'WhatsApp Tracker'!X4</f>
        <v/>
      </c>
      <c r="N121" s="50" t="str">
        <f>'WhatsApp Tracker'!AM4</f>
        <v>Existing CRM lead</v>
      </c>
      <c r="O121" s="50">
        <f>'WhatsApp Tracker'!AC4</f>
        <v>0</v>
      </c>
    </row>
    <row r="122" spans="1:15" ht="27" customHeight="1" x14ac:dyDescent="0.25">
      <c r="A122" s="50">
        <f>'WhatsApp Tracker'!AH5</f>
        <v>3136</v>
      </c>
      <c r="B122" s="50" t="str">
        <f>'WhatsApp Tracker'!AA5</f>
        <v>Send WhatsApp</v>
      </c>
      <c r="C122" s="50" t="str">
        <f>'WhatsApp Tracker'!M5</f>
        <v>Normal</v>
      </c>
      <c r="D122" s="50">
        <f>'WhatsApp Tracker'!AN5</f>
        <v>1</v>
      </c>
      <c r="E122" s="50" t="str">
        <f>'WhatsApp Tracker'!AL5</f>
        <v>Original CRM/manual campaign tracker</v>
      </c>
      <c r="F122" s="50" t="str">
        <f>'WhatsApp Tracker'!B5</f>
        <v>Durgapur T.E</v>
      </c>
      <c r="G122" s="50">
        <f>'WhatsApp Tracker'!C5</f>
        <v>0</v>
      </c>
      <c r="H122" s="50" t="str">
        <f>'WhatsApp Tracker'!D5</f>
        <v>8638867855</v>
      </c>
      <c r="I122" s="50" t="str">
        <f>'WhatsApp Tracker'!T5</f>
        <v>Not sent</v>
      </c>
      <c r="J122" s="50" t="str">
        <f>'WhatsApp Tracker'!U5</f>
        <v>Unknown</v>
      </c>
      <c r="K122" s="50" t="str">
        <f>'WhatsApp Tracker'!V5</f>
        <v>Unknown</v>
      </c>
      <c r="L122" s="50" t="str">
        <f>'WhatsApp Tracker'!W5</f>
        <v>Not offered</v>
      </c>
      <c r="M122" s="51" t="str">
        <f>'WhatsApp Tracker'!X5</f>
        <v/>
      </c>
      <c r="N122" s="50" t="str">
        <f>'WhatsApp Tracker'!AM5</f>
        <v>Existing CRM lead</v>
      </c>
      <c r="O122" s="50">
        <f>'WhatsApp Tracker'!AC5</f>
        <v>0</v>
      </c>
    </row>
    <row r="123" spans="1:15" ht="27" customHeight="1" x14ac:dyDescent="0.25">
      <c r="A123" s="50">
        <f>'WhatsApp Tracker'!AH8</f>
        <v>3136</v>
      </c>
      <c r="B123" s="50" t="str">
        <f>'WhatsApp Tracker'!AA8</f>
        <v>Send WhatsApp</v>
      </c>
      <c r="C123" s="50" t="str">
        <f>'WhatsApp Tracker'!M8</f>
        <v>Normal</v>
      </c>
      <c r="D123" s="50">
        <f>'WhatsApp Tracker'!AN8</f>
        <v>1</v>
      </c>
      <c r="E123" s="50" t="str">
        <f>'WhatsApp Tracker'!AL8</f>
        <v>Original CRM/manual campaign tracker</v>
      </c>
      <c r="F123" s="50" t="str">
        <f>'WhatsApp Tracker'!B8</f>
        <v xml:space="preserve">Dekhari T.E </v>
      </c>
      <c r="G123" s="50">
        <f>'WhatsApp Tracker'!C8</f>
        <v>0</v>
      </c>
      <c r="H123" s="50" t="str">
        <f>'WhatsApp Tracker'!D8</f>
        <v>9101006460</v>
      </c>
      <c r="I123" s="50" t="str">
        <f>'WhatsApp Tracker'!T8</f>
        <v>Not sent</v>
      </c>
      <c r="J123" s="50" t="str">
        <f>'WhatsApp Tracker'!U8</f>
        <v>Unknown</v>
      </c>
      <c r="K123" s="50" t="str">
        <f>'WhatsApp Tracker'!V8</f>
        <v>Unknown</v>
      </c>
      <c r="L123" s="50" t="str">
        <f>'WhatsApp Tracker'!W8</f>
        <v>Not offered</v>
      </c>
      <c r="M123" s="51" t="str">
        <f>'WhatsApp Tracker'!X8</f>
        <v/>
      </c>
      <c r="N123" s="50" t="str">
        <f>'WhatsApp Tracker'!AM8</f>
        <v>Existing CRM lead</v>
      </c>
      <c r="O123" s="50">
        <f>'WhatsApp Tracker'!AC8</f>
        <v>0</v>
      </c>
    </row>
    <row r="124" spans="1:15" ht="27" customHeight="1" x14ac:dyDescent="0.25">
      <c r="A124" s="50">
        <f>'WhatsApp Tracker'!AH10</f>
        <v>3136</v>
      </c>
      <c r="B124" s="50" t="str">
        <f>'WhatsApp Tracker'!AA10</f>
        <v>Send WhatsApp</v>
      </c>
      <c r="C124" s="50" t="str">
        <f>'WhatsApp Tracker'!M10</f>
        <v>Normal</v>
      </c>
      <c r="D124" s="50">
        <f>'WhatsApp Tracker'!AN10</f>
        <v>1</v>
      </c>
      <c r="E124" s="50" t="str">
        <f>'WhatsApp Tracker'!AL10</f>
        <v>Original CRM/manual campaign tracker</v>
      </c>
      <c r="F124" s="50" t="str">
        <f>'WhatsApp Tracker'!B10</f>
        <v>Dekhari T.E ( naharani division ) unit 3 (megha T.E )</v>
      </c>
      <c r="G124" s="50">
        <f>'WhatsApp Tracker'!C10</f>
        <v>0</v>
      </c>
      <c r="H124" s="50" t="str">
        <f>'WhatsApp Tracker'!D10</f>
        <v>9101006460</v>
      </c>
      <c r="I124" s="50" t="str">
        <f>'WhatsApp Tracker'!T10</f>
        <v>Not sent</v>
      </c>
      <c r="J124" s="50" t="str">
        <f>'WhatsApp Tracker'!U10</f>
        <v>Unknown</v>
      </c>
      <c r="K124" s="50" t="str">
        <f>'WhatsApp Tracker'!V10</f>
        <v>Unknown</v>
      </c>
      <c r="L124" s="50" t="str">
        <f>'WhatsApp Tracker'!W10</f>
        <v>Not offered</v>
      </c>
      <c r="M124" s="51" t="str">
        <f>'WhatsApp Tracker'!X10</f>
        <v/>
      </c>
      <c r="N124" s="50" t="str">
        <f>'WhatsApp Tracker'!AM10</f>
        <v>Existing CRM lead</v>
      </c>
      <c r="O124" s="50">
        <f>'WhatsApp Tracker'!AC10</f>
        <v>0</v>
      </c>
    </row>
    <row r="125" spans="1:15" ht="27" customHeight="1" x14ac:dyDescent="0.25">
      <c r="A125" s="50">
        <f>'WhatsApp Tracker'!AH11</f>
        <v>3136</v>
      </c>
      <c r="B125" s="50" t="str">
        <f>'WhatsApp Tracker'!AA11</f>
        <v>Send WhatsApp</v>
      </c>
      <c r="C125" s="50" t="str">
        <f>'WhatsApp Tracker'!M11</f>
        <v>Normal</v>
      </c>
      <c r="D125" s="50">
        <f>'WhatsApp Tracker'!AN11</f>
        <v>1</v>
      </c>
      <c r="E125" s="50" t="str">
        <f>'WhatsApp Tracker'!AL11</f>
        <v>Original CRM/manual campaign tracker</v>
      </c>
      <c r="F125" s="50" t="str">
        <f>'WhatsApp Tracker'!B11</f>
        <v>Kabir T.E</v>
      </c>
      <c r="G125" s="50">
        <f>'WhatsApp Tracker'!C11</f>
        <v>0</v>
      </c>
      <c r="H125" s="50" t="str">
        <f>'WhatsApp Tracker'!D11</f>
        <v>8638926153</v>
      </c>
      <c r="I125" s="50" t="str">
        <f>'WhatsApp Tracker'!T11</f>
        <v>Not sent</v>
      </c>
      <c r="J125" s="50" t="str">
        <f>'WhatsApp Tracker'!U11</f>
        <v>Unknown</v>
      </c>
      <c r="K125" s="50" t="str">
        <f>'WhatsApp Tracker'!V11</f>
        <v>Unknown</v>
      </c>
      <c r="L125" s="50" t="str">
        <f>'WhatsApp Tracker'!W11</f>
        <v>Not offered</v>
      </c>
      <c r="M125" s="51" t="str">
        <f>'WhatsApp Tracker'!X11</f>
        <v/>
      </c>
      <c r="N125" s="50" t="str">
        <f>'WhatsApp Tracker'!AM11</f>
        <v>Existing CRM lead</v>
      </c>
      <c r="O125" s="50">
        <f>'WhatsApp Tracker'!AC11</f>
        <v>0</v>
      </c>
    </row>
    <row r="126" spans="1:15" ht="27" customHeight="1" x14ac:dyDescent="0.25">
      <c r="A126" s="50">
        <f>'WhatsApp Tracker'!AH12</f>
        <v>3136</v>
      </c>
      <c r="B126" s="50" t="str">
        <f>'WhatsApp Tracker'!AA12</f>
        <v>Send WhatsApp</v>
      </c>
      <c r="C126" s="50" t="str">
        <f>'WhatsApp Tracker'!M12</f>
        <v>Normal</v>
      </c>
      <c r="D126" s="50">
        <f>'WhatsApp Tracker'!AN12</f>
        <v>1</v>
      </c>
      <c r="E126" s="50" t="str">
        <f>'WhatsApp Tracker'!AL12</f>
        <v>Original CRM/manual campaign tracker</v>
      </c>
      <c r="F126" s="50" t="str">
        <f>'WhatsApp Tracker'!B12</f>
        <v>Longboi T.E</v>
      </c>
      <c r="G126" s="50">
        <f>'WhatsApp Tracker'!C12</f>
        <v>0</v>
      </c>
      <c r="H126" s="50" t="str">
        <f>'WhatsApp Tracker'!D12</f>
        <v>9395637154</v>
      </c>
      <c r="I126" s="50" t="str">
        <f>'WhatsApp Tracker'!T12</f>
        <v>Not sent</v>
      </c>
      <c r="J126" s="50" t="str">
        <f>'WhatsApp Tracker'!U12</f>
        <v>Unknown</v>
      </c>
      <c r="K126" s="50" t="str">
        <f>'WhatsApp Tracker'!V12</f>
        <v>Unknown</v>
      </c>
      <c r="L126" s="50" t="str">
        <f>'WhatsApp Tracker'!W12</f>
        <v>Not offered</v>
      </c>
      <c r="M126" s="51" t="str">
        <f>'WhatsApp Tracker'!X12</f>
        <v/>
      </c>
      <c r="N126" s="50" t="str">
        <f>'WhatsApp Tracker'!AM12</f>
        <v>Existing CRM lead</v>
      </c>
      <c r="O126" s="50">
        <f>'WhatsApp Tracker'!AC12</f>
        <v>0</v>
      </c>
    </row>
    <row r="127" spans="1:15" ht="27" customHeight="1" x14ac:dyDescent="0.25">
      <c r="A127" s="50">
        <f>'WhatsApp Tracker'!AH15</f>
        <v>3136</v>
      </c>
      <c r="B127" s="50" t="str">
        <f>'WhatsApp Tracker'!AA15</f>
        <v>Send WhatsApp</v>
      </c>
      <c r="C127" s="50" t="str">
        <f>'WhatsApp Tracker'!M15</f>
        <v>Normal</v>
      </c>
      <c r="D127" s="50">
        <f>'WhatsApp Tracker'!AN15</f>
        <v>1</v>
      </c>
      <c r="E127" s="50" t="str">
        <f>'WhatsApp Tracker'!AL15</f>
        <v>Original CRM/manual campaign tracker</v>
      </c>
      <c r="F127" s="50" t="str">
        <f>'WhatsApp Tracker'!B15</f>
        <v xml:space="preserve">Manoj Kunja T.E </v>
      </c>
      <c r="G127" s="50">
        <f>'WhatsApp Tracker'!C15</f>
        <v>0</v>
      </c>
      <c r="H127" s="50" t="str">
        <f>'WhatsApp Tracker'!D15</f>
        <v>8876426227</v>
      </c>
      <c r="I127" s="50" t="str">
        <f>'WhatsApp Tracker'!T15</f>
        <v>Not sent</v>
      </c>
      <c r="J127" s="50" t="str">
        <f>'WhatsApp Tracker'!U15</f>
        <v>Unknown</v>
      </c>
      <c r="K127" s="50" t="str">
        <f>'WhatsApp Tracker'!V15</f>
        <v>Unknown</v>
      </c>
      <c r="L127" s="50" t="str">
        <f>'WhatsApp Tracker'!W15</f>
        <v>Not offered</v>
      </c>
      <c r="M127" s="51" t="str">
        <f>'WhatsApp Tracker'!X15</f>
        <v/>
      </c>
      <c r="N127" s="50" t="str">
        <f>'WhatsApp Tracker'!AM15</f>
        <v>Existing CRM lead</v>
      </c>
      <c r="O127" s="50">
        <f>'WhatsApp Tracker'!AC15</f>
        <v>0</v>
      </c>
    </row>
    <row r="128" spans="1:15" ht="27" customHeight="1" x14ac:dyDescent="0.25">
      <c r="A128" s="50">
        <f>'WhatsApp Tracker'!AH17</f>
        <v>4436</v>
      </c>
      <c r="B128" s="50" t="str">
        <f>'WhatsApp Tracker'!AA17</f>
        <v>Review</v>
      </c>
      <c r="C128" s="50" t="str">
        <f>'WhatsApp Tracker'!M17</f>
        <v>Normal</v>
      </c>
      <c r="D128" s="50">
        <f>'WhatsApp Tracker'!AN17</f>
        <v>4</v>
      </c>
      <c r="E128" s="50" t="str">
        <f>'WhatsApp Tracker'!AL17</f>
        <v>Google Maps enrichment</v>
      </c>
      <c r="F128" s="50" t="str">
        <f>'WhatsApp Tracker'!B17</f>
        <v>Ananada Bari T.E.</v>
      </c>
      <c r="G128" s="50" t="str">
        <f>'WhatsApp Tracker'!C17</f>
        <v>Ananada Bari T.E.</v>
      </c>
      <c r="H128" s="50" t="str">
        <f>'WhatsApp Tracker'!D17</f>
        <v>6000437772</v>
      </c>
      <c r="I128" s="50" t="str">
        <f>'WhatsApp Tracker'!T17</f>
        <v>Delivered</v>
      </c>
      <c r="J128" s="50" t="str">
        <f>'WhatsApp Tracker'!U17</f>
        <v>Unknown</v>
      </c>
      <c r="K128" s="50" t="str">
        <f>'WhatsApp Tracker'!V17</f>
        <v>Unknown</v>
      </c>
      <c r="L128" s="50" t="str">
        <f>'WhatsApp Tracker'!W17</f>
        <v>Not offered</v>
      </c>
      <c r="M128" s="51" t="str">
        <f>'WhatsApp Tracker'!X17</f>
        <v/>
      </c>
      <c r="N128" s="50" t="str">
        <f>'WhatsApp Tracker'!AM17</f>
        <v>Lower priority: Maps result cannot be verified without manual check</v>
      </c>
      <c r="O128" s="50" t="str">
        <f>'WhatsApp Tracker'!AC17</f>
        <v>Imported from extract_garden. Confidence: High. Direct estate number list; Generated garden export. District: Dibrugarh State: Assam; Original personal number. Phone type: Landline (Dibrugarh). In original list: Yes</v>
      </c>
    </row>
    <row r="129" spans="1:15" ht="27" customHeight="1" x14ac:dyDescent="0.25">
      <c r="A129" s="50">
        <f>'WhatsApp Tracker'!AH18</f>
        <v>4436</v>
      </c>
      <c r="B129" s="50" t="str">
        <f>'WhatsApp Tracker'!AA18</f>
        <v>Review</v>
      </c>
      <c r="C129" s="50" t="str">
        <f>'WhatsApp Tracker'!M18</f>
        <v>Normal</v>
      </c>
      <c r="D129" s="50">
        <f>'WhatsApp Tracker'!AN18</f>
        <v>4</v>
      </c>
      <c r="E129" s="50" t="str">
        <f>'WhatsApp Tracker'!AL18</f>
        <v>Google Maps enrichment</v>
      </c>
      <c r="F129" s="50" t="str">
        <f>'WhatsApp Tracker'!B18</f>
        <v>Aparna T.E.</v>
      </c>
      <c r="G129" s="50" t="str">
        <f>'WhatsApp Tracker'!C18</f>
        <v>Aparna T.E.</v>
      </c>
      <c r="H129" s="50" t="str">
        <f>'WhatsApp Tracker'!D18</f>
        <v>9435035462</v>
      </c>
      <c r="I129" s="50" t="str">
        <f>'WhatsApp Tracker'!T18</f>
        <v>Delivered</v>
      </c>
      <c r="J129" s="50" t="str">
        <f>'WhatsApp Tracker'!U18</f>
        <v>Unknown</v>
      </c>
      <c r="K129" s="50" t="str">
        <f>'WhatsApp Tracker'!V18</f>
        <v>Unknown</v>
      </c>
      <c r="L129" s="50" t="str">
        <f>'WhatsApp Tracker'!W18</f>
        <v>Not offered</v>
      </c>
      <c r="M129" s="51" t="str">
        <f>'WhatsApp Tracker'!X18</f>
        <v/>
      </c>
      <c r="N129" s="50" t="str">
        <f>'WhatsApp Tracker'!AM18</f>
        <v>Lower priority: Maps result cannot be verified without manual check</v>
      </c>
      <c r="O129" s="50" t="str">
        <f>'WhatsApp Tracker'!AC18</f>
        <v>Imported from extract_garden. Confidence: High. Direct estate number list; Generated garden export. District: Dibrugarh State: Assam; Original personal number. Phone type: Other. In original list: Yes</v>
      </c>
    </row>
    <row r="130" spans="1:15" ht="27" customHeight="1" x14ac:dyDescent="0.25">
      <c r="A130" s="50">
        <f>'WhatsApp Tracker'!AH21</f>
        <v>4436</v>
      </c>
      <c r="B130" s="50" t="str">
        <f>'WhatsApp Tracker'!AA21</f>
        <v>Review</v>
      </c>
      <c r="C130" s="50" t="str">
        <f>'WhatsApp Tracker'!M21</f>
        <v>Normal</v>
      </c>
      <c r="D130" s="50">
        <f>'WhatsApp Tracker'!AN21</f>
        <v>4</v>
      </c>
      <c r="E130" s="50" t="str">
        <f>'WhatsApp Tracker'!AL21</f>
        <v>Google Maps enrichment</v>
      </c>
      <c r="F130" s="50" t="str">
        <f>'WhatsApp Tracker'!B21</f>
        <v>Dekhari T.E. (Mahmora Division Unit II)</v>
      </c>
      <c r="G130" s="50" t="str">
        <f>'WhatsApp Tracker'!C21</f>
        <v>Dekhari T.E. (Mahmora Division Unit II)</v>
      </c>
      <c r="H130" s="50" t="str">
        <f>'WhatsApp Tracker'!D21</f>
        <v>9435132151</v>
      </c>
      <c r="I130" s="50" t="str">
        <f>'WhatsApp Tracker'!T21</f>
        <v>Delivered</v>
      </c>
      <c r="J130" s="50" t="str">
        <f>'WhatsApp Tracker'!U21</f>
        <v>Unknown</v>
      </c>
      <c r="K130" s="50" t="str">
        <f>'WhatsApp Tracker'!V21</f>
        <v>Unknown</v>
      </c>
      <c r="L130" s="50" t="str">
        <f>'WhatsApp Tracker'!W21</f>
        <v>Not offered</v>
      </c>
      <c r="M130" s="51" t="str">
        <f>'WhatsApp Tracker'!X21</f>
        <v/>
      </c>
      <c r="N130" s="50" t="str">
        <f>'WhatsApp Tracker'!AM21</f>
        <v>Lower priority: Maps result cannot be verified without manual check</v>
      </c>
      <c r="O130" s="50" t="str">
        <f>'WhatsApp Tracker'!AC21</f>
        <v>Imported from extract_garden. Confidence: High. Direct estate number list; Generated garden export. District: Dibrugarh State: Assam; Original personal number. Phone type: . In original list: Yes</v>
      </c>
    </row>
    <row r="131" spans="1:15" ht="27" customHeight="1" x14ac:dyDescent="0.25">
      <c r="A131" s="50">
        <f>'WhatsApp Tracker'!AH23</f>
        <v>4436</v>
      </c>
      <c r="B131" s="50" t="str">
        <f>'WhatsApp Tracker'!AA23</f>
        <v>Review</v>
      </c>
      <c r="C131" s="50" t="str">
        <f>'WhatsApp Tracker'!M23</f>
        <v>Normal</v>
      </c>
      <c r="D131" s="50">
        <f>'WhatsApp Tracker'!AN23</f>
        <v>4</v>
      </c>
      <c r="E131" s="50" t="str">
        <f>'WhatsApp Tracker'!AL23</f>
        <v>Google Maps enrichment</v>
      </c>
      <c r="F131" s="50" t="str">
        <f>'WhatsApp Tracker'!B23</f>
        <v>Dulia T.E.</v>
      </c>
      <c r="G131" s="50" t="str">
        <f>'WhatsApp Tracker'!C23</f>
        <v>Dulia T.E.</v>
      </c>
      <c r="H131" s="50" t="str">
        <f>'WhatsApp Tracker'!D23</f>
        <v>9435030754</v>
      </c>
      <c r="I131" s="50" t="str">
        <f>'WhatsApp Tracker'!T23</f>
        <v>Delivered</v>
      </c>
      <c r="J131" s="50" t="str">
        <f>'WhatsApp Tracker'!U23</f>
        <v>Unknown</v>
      </c>
      <c r="K131" s="50" t="str">
        <f>'WhatsApp Tracker'!V23</f>
        <v>Unknown</v>
      </c>
      <c r="L131" s="50" t="str">
        <f>'WhatsApp Tracker'!W23</f>
        <v>Not offered</v>
      </c>
      <c r="M131" s="51" t="str">
        <f>'WhatsApp Tracker'!X23</f>
        <v/>
      </c>
      <c r="N131" s="50" t="str">
        <f>'WhatsApp Tracker'!AM23</f>
        <v>Lower priority: Maps result cannot be verified without manual check</v>
      </c>
      <c r="O131" s="50" t="str">
        <f>'WhatsApp Tracker'!AC23</f>
        <v>Imported from extract_garden. Confidence: High. Direct estate number list; Generated garden export. District: Dibrugarh State: Assam; Original personal number. Phone type: . In original list: Yes; Original personal number. Phone type: Landline (Dibrugarh). In original list: Yes</v>
      </c>
    </row>
    <row r="132" spans="1:15" ht="27" customHeight="1" x14ac:dyDescent="0.25">
      <c r="A132" s="50">
        <f>'WhatsApp Tracker'!AH24</f>
        <v>4436</v>
      </c>
      <c r="B132" s="50" t="str">
        <f>'WhatsApp Tracker'!AA24</f>
        <v>Review</v>
      </c>
      <c r="C132" s="50" t="str">
        <f>'WhatsApp Tracker'!M24</f>
        <v>Normal</v>
      </c>
      <c r="D132" s="50">
        <f>'WhatsApp Tracker'!AN24</f>
        <v>4</v>
      </c>
      <c r="E132" s="50" t="str">
        <f>'WhatsApp Tracker'!AL24</f>
        <v>Google Maps enrichment</v>
      </c>
      <c r="F132" s="50" t="str">
        <f>'WhatsApp Tracker'!B24</f>
        <v>Duliabari T.E. (B)</v>
      </c>
      <c r="G132" s="50" t="str">
        <f>'WhatsApp Tracker'!C24</f>
        <v>Duliabari T.E. (B)</v>
      </c>
      <c r="H132" s="50" t="str">
        <f>'WhatsApp Tracker'!D24</f>
        <v>9854028014</v>
      </c>
      <c r="I132" s="50" t="str">
        <f>'WhatsApp Tracker'!T24</f>
        <v>Delivered</v>
      </c>
      <c r="J132" s="50" t="str">
        <f>'WhatsApp Tracker'!U24</f>
        <v>Unknown</v>
      </c>
      <c r="K132" s="50" t="str">
        <f>'WhatsApp Tracker'!V24</f>
        <v>Unknown</v>
      </c>
      <c r="L132" s="50" t="str">
        <f>'WhatsApp Tracker'!W24</f>
        <v>Not offered</v>
      </c>
      <c r="M132" s="51" t="str">
        <f>'WhatsApp Tracker'!X24</f>
        <v/>
      </c>
      <c r="N132" s="50" t="str">
        <f>'WhatsApp Tracker'!AM24</f>
        <v>Lower priority: Maps result cannot be verified without manual check</v>
      </c>
      <c r="O132" s="50" t="str">
        <f>'WhatsApp Tracker'!AC24</f>
        <v>Imported from extract_garden. Confidence: High. Direct estate number list; Generated garden export. District: Dibrugarh State: Assam; Original personal number. Phone type: Landline (Dibrugarh). In original list: Yes</v>
      </c>
    </row>
    <row r="133" spans="1:15" ht="27" customHeight="1" x14ac:dyDescent="0.25">
      <c r="A133" s="50">
        <f>'WhatsApp Tracker'!AH25</f>
        <v>4436</v>
      </c>
      <c r="B133" s="50" t="str">
        <f>'WhatsApp Tracker'!AA25</f>
        <v>Review</v>
      </c>
      <c r="C133" s="50" t="str">
        <f>'WhatsApp Tracker'!M25</f>
        <v>Normal</v>
      </c>
      <c r="D133" s="50">
        <f>'WhatsApp Tracker'!AN25</f>
        <v>4</v>
      </c>
      <c r="E133" s="50" t="str">
        <f>'WhatsApp Tracker'!AL25</f>
        <v>Google Maps enrichment</v>
      </c>
      <c r="F133" s="50" t="str">
        <f>'WhatsApp Tracker'!B25</f>
        <v>Ghoronia T.E.</v>
      </c>
      <c r="G133" s="50" t="str">
        <f>'WhatsApp Tracker'!C25</f>
        <v>Ghoronia T.E.</v>
      </c>
      <c r="H133" s="50" t="str">
        <f>'WhatsApp Tracker'!D25</f>
        <v>8638281523</v>
      </c>
      <c r="I133" s="50" t="str">
        <f>'WhatsApp Tracker'!T25</f>
        <v>Delivered</v>
      </c>
      <c r="J133" s="50" t="str">
        <f>'WhatsApp Tracker'!U25</f>
        <v>Unknown</v>
      </c>
      <c r="K133" s="50" t="str">
        <f>'WhatsApp Tracker'!V25</f>
        <v>Unknown</v>
      </c>
      <c r="L133" s="50" t="str">
        <f>'WhatsApp Tracker'!W25</f>
        <v>Not offered</v>
      </c>
      <c r="M133" s="51" t="str">
        <f>'WhatsApp Tracker'!X25</f>
        <v/>
      </c>
      <c r="N133" s="50" t="str">
        <f>'WhatsApp Tracker'!AM25</f>
        <v>Lower priority: Maps result cannot be verified without manual check</v>
      </c>
      <c r="O133" s="50" t="str">
        <f>'WhatsApp Tracker'!AC25</f>
        <v>Imported from extract_garden. Confidence: High. Direct estate number list; Generated garden export. District: Dibrugarh State: Assam; Original personal number. Phone type: Landline (Dibrugarh). In original list: Yes</v>
      </c>
    </row>
    <row r="134" spans="1:15" ht="27" customHeight="1" x14ac:dyDescent="0.25">
      <c r="A134" s="50">
        <f>'WhatsApp Tracker'!AH28</f>
        <v>4436</v>
      </c>
      <c r="B134" s="50" t="str">
        <f>'WhatsApp Tracker'!AA28</f>
        <v>Review</v>
      </c>
      <c r="C134" s="50" t="str">
        <f>'WhatsApp Tracker'!M28</f>
        <v>Normal</v>
      </c>
      <c r="D134" s="50">
        <f>'WhatsApp Tracker'!AN28</f>
        <v>4</v>
      </c>
      <c r="E134" s="50" t="str">
        <f>'WhatsApp Tracker'!AL28</f>
        <v>Google Maps enrichment</v>
      </c>
      <c r="F134" s="50" t="str">
        <f>'WhatsApp Tracker'!B28</f>
        <v>Jalan Nagar T.E. (S)</v>
      </c>
      <c r="G134" s="50" t="str">
        <f>'WhatsApp Tracker'!C28</f>
        <v>Jalan Nagar T.E. (S)</v>
      </c>
      <c r="H134" s="50" t="str">
        <f>'WhatsApp Tracker'!D28</f>
        <v>9435031397</v>
      </c>
      <c r="I134" s="50" t="str">
        <f>'WhatsApp Tracker'!T28</f>
        <v>Delivered</v>
      </c>
      <c r="J134" s="50" t="str">
        <f>'WhatsApp Tracker'!U28</f>
        <v>Unknown</v>
      </c>
      <c r="K134" s="50" t="str">
        <f>'WhatsApp Tracker'!V28</f>
        <v>Unknown</v>
      </c>
      <c r="L134" s="50" t="str">
        <f>'WhatsApp Tracker'!W28</f>
        <v>Not offered</v>
      </c>
      <c r="M134" s="51" t="str">
        <f>'WhatsApp Tracker'!X28</f>
        <v/>
      </c>
      <c r="N134" s="50" t="str">
        <f>'WhatsApp Tracker'!AM28</f>
        <v>Lower priority: Maps result cannot be verified without manual check</v>
      </c>
      <c r="O134" s="50" t="str">
        <f>'WhatsApp Tracker'!AC28</f>
        <v>Imported from extract_garden. Confidence: High. Direct estate number list; Generated garden export. District: Dibrugarh State: Assam; Original personal number. Phone type: . In original list: Yes</v>
      </c>
    </row>
    <row r="135" spans="1:15" ht="27" customHeight="1" x14ac:dyDescent="0.25">
      <c r="A135" s="50">
        <f>'WhatsApp Tracker'!AH33</f>
        <v>4436</v>
      </c>
      <c r="B135" s="50" t="str">
        <f>'WhatsApp Tracker'!AA33</f>
        <v>Review</v>
      </c>
      <c r="C135" s="50" t="str">
        <f>'WhatsApp Tracker'!M33</f>
        <v>Normal</v>
      </c>
      <c r="D135" s="50">
        <f>'WhatsApp Tracker'!AN33</f>
        <v>4</v>
      </c>
      <c r="E135" s="50" t="str">
        <f>'WhatsApp Tracker'!AL33</f>
        <v>Google Maps enrichment</v>
      </c>
      <c r="F135" s="50" t="str">
        <f>'WhatsApp Tracker'!B33</f>
        <v>Phukanbari T.E.</v>
      </c>
      <c r="G135" s="50" t="str">
        <f>'WhatsApp Tracker'!C33</f>
        <v>Phukanbari T.E.</v>
      </c>
      <c r="H135" s="50" t="str">
        <f>'WhatsApp Tracker'!D33</f>
        <v>9706719317</v>
      </c>
      <c r="I135" s="50" t="str">
        <f>'WhatsApp Tracker'!T33</f>
        <v>Delivered</v>
      </c>
      <c r="J135" s="50" t="str">
        <f>'WhatsApp Tracker'!U33</f>
        <v>Unknown</v>
      </c>
      <c r="K135" s="50" t="str">
        <f>'WhatsApp Tracker'!V33</f>
        <v>Unknown</v>
      </c>
      <c r="L135" s="50" t="str">
        <f>'WhatsApp Tracker'!W33</f>
        <v>Not offered</v>
      </c>
      <c r="M135" s="51" t="str">
        <f>'WhatsApp Tracker'!X33</f>
        <v/>
      </c>
      <c r="N135" s="50" t="str">
        <f>'WhatsApp Tracker'!AM33</f>
        <v>Lower priority: Maps result cannot be verified without manual check</v>
      </c>
      <c r="O135" s="50" t="str">
        <f>'WhatsApp Tracker'!AC33</f>
        <v>Imported from extract_garden. Confidence: High. Direct estate number list; Generated garden export. District: Dibrugarh State: Assam; Original personal number. Phone type: Landline (Dibrugarh). In original list: Yes</v>
      </c>
    </row>
    <row r="136" spans="1:15" ht="27" customHeight="1" x14ac:dyDescent="0.25">
      <c r="A136" s="50">
        <f>'WhatsApp Tracker'!AH34</f>
        <v>4436</v>
      </c>
      <c r="B136" s="50" t="str">
        <f>'WhatsApp Tracker'!AA34</f>
        <v>Review</v>
      </c>
      <c r="C136" s="50" t="str">
        <f>'WhatsApp Tracker'!M34</f>
        <v>Normal</v>
      </c>
      <c r="D136" s="50">
        <f>'WhatsApp Tracker'!AN34</f>
        <v>4</v>
      </c>
      <c r="E136" s="50" t="str">
        <f>'WhatsApp Tracker'!AL34</f>
        <v>Google Maps enrichment</v>
      </c>
      <c r="F136" s="50" t="str">
        <f>'WhatsApp Tracker'!B34</f>
        <v>Piparatoli T.E.</v>
      </c>
      <c r="G136" s="50" t="str">
        <f>'WhatsApp Tracker'!C34</f>
        <v>Piparatoli T.E.</v>
      </c>
      <c r="H136" s="50" t="str">
        <f>'WhatsApp Tracker'!D34</f>
        <v>9435393443</v>
      </c>
      <c r="I136" s="50" t="str">
        <f>'WhatsApp Tracker'!T34</f>
        <v>Delivered</v>
      </c>
      <c r="J136" s="50" t="str">
        <f>'WhatsApp Tracker'!U34</f>
        <v>Unknown</v>
      </c>
      <c r="K136" s="50" t="str">
        <f>'WhatsApp Tracker'!V34</f>
        <v>Unknown</v>
      </c>
      <c r="L136" s="50" t="str">
        <f>'WhatsApp Tracker'!W34</f>
        <v>Not offered</v>
      </c>
      <c r="M136" s="51" t="str">
        <f>'WhatsApp Tracker'!X34</f>
        <v/>
      </c>
      <c r="N136" s="50" t="str">
        <f>'WhatsApp Tracker'!AM34</f>
        <v>Lower priority: Maps result cannot be verified without manual check</v>
      </c>
      <c r="O136" s="50" t="str">
        <f>'WhatsApp Tracker'!AC34</f>
        <v>Imported from extract_garden. Confidence: High. Direct estate number list; Generated garden export. District: Dibrugarh State: Assam; Original personal number. Phone type: Other. In original list: Yes</v>
      </c>
    </row>
    <row r="137" spans="1:15" ht="27" customHeight="1" x14ac:dyDescent="0.25">
      <c r="A137" s="50">
        <f>'WhatsApp Tracker'!AH35</f>
        <v>4436</v>
      </c>
      <c r="B137" s="50" t="str">
        <f>'WhatsApp Tracker'!AA35</f>
        <v>Review</v>
      </c>
      <c r="C137" s="50" t="str">
        <f>'WhatsApp Tracker'!M35</f>
        <v>Normal</v>
      </c>
      <c r="D137" s="50">
        <f>'WhatsApp Tracker'!AN35</f>
        <v>4</v>
      </c>
      <c r="E137" s="50" t="str">
        <f>'WhatsApp Tracker'!AL35</f>
        <v>Google Maps enrichment</v>
      </c>
      <c r="F137" s="50" t="str">
        <f>'WhatsApp Tracker'!B35</f>
        <v>Prabhat T.E.</v>
      </c>
      <c r="G137" s="50" t="str">
        <f>'WhatsApp Tracker'!C35</f>
        <v>Prabhat T.E.</v>
      </c>
      <c r="H137" s="50" t="str">
        <f>'WhatsApp Tracker'!D35</f>
        <v>9954430589</v>
      </c>
      <c r="I137" s="50" t="str">
        <f>'WhatsApp Tracker'!T35</f>
        <v>Delivered</v>
      </c>
      <c r="J137" s="50" t="str">
        <f>'WhatsApp Tracker'!U35</f>
        <v>Unknown</v>
      </c>
      <c r="K137" s="50" t="str">
        <f>'WhatsApp Tracker'!V35</f>
        <v>Unknown</v>
      </c>
      <c r="L137" s="50" t="str">
        <f>'WhatsApp Tracker'!W35</f>
        <v>Not offered</v>
      </c>
      <c r="M137" s="51" t="str">
        <f>'WhatsApp Tracker'!X35</f>
        <v/>
      </c>
      <c r="N137" s="50" t="str">
        <f>'WhatsApp Tracker'!AM35</f>
        <v>Lower priority: Maps result cannot be verified without manual check</v>
      </c>
      <c r="O137" s="50" t="str">
        <f>'WhatsApp Tracker'!AC35</f>
        <v>Imported from extract_garden. Confidence: High. Direct estate number list; Generated garden export. District: Dibrugarh State: Assam; Original personal number. Phone type: Other. In original list: Yes</v>
      </c>
    </row>
    <row r="138" spans="1:15" ht="27" customHeight="1" x14ac:dyDescent="0.25">
      <c r="A138" s="50">
        <f>'WhatsApp Tracker'!AH36</f>
        <v>4436</v>
      </c>
      <c r="B138" s="50" t="str">
        <f>'WhatsApp Tracker'!AA36</f>
        <v>Review</v>
      </c>
      <c r="C138" s="50" t="str">
        <f>'WhatsApp Tracker'!M36</f>
        <v>Normal</v>
      </c>
      <c r="D138" s="50">
        <f>'WhatsApp Tracker'!AN36</f>
        <v>4</v>
      </c>
      <c r="E138" s="50" t="str">
        <f>'WhatsApp Tracker'!AL36</f>
        <v>Google Maps enrichment</v>
      </c>
      <c r="F138" s="50" t="str">
        <f>'WhatsApp Tracker'!B36</f>
        <v>Rukong T.E.</v>
      </c>
      <c r="G138" s="50" t="str">
        <f>'WhatsApp Tracker'!C36</f>
        <v>Rukong T.E.</v>
      </c>
      <c r="H138" s="50" t="str">
        <f>'WhatsApp Tracker'!D36</f>
        <v>7002829252</v>
      </c>
      <c r="I138" s="50" t="str">
        <f>'WhatsApp Tracker'!T36</f>
        <v>Failed</v>
      </c>
      <c r="J138" s="50" t="str">
        <f>'WhatsApp Tracker'!U36</f>
        <v>Unknown</v>
      </c>
      <c r="K138" s="50" t="str">
        <f>'WhatsApp Tracker'!V36</f>
        <v>Unknown</v>
      </c>
      <c r="L138" s="50" t="str">
        <f>'WhatsApp Tracker'!W36</f>
        <v>Not offered</v>
      </c>
      <c r="M138" s="51" t="str">
        <f>'WhatsApp Tracker'!X36</f>
        <v/>
      </c>
      <c r="N138" s="50" t="str">
        <f>'WhatsApp Tracker'!AM36</f>
        <v>Lower priority: Maps result cannot be verified without manual check</v>
      </c>
      <c r="O138" s="50" t="str">
        <f>'WhatsApp Tracker'!AC36</f>
        <v>Imported from extract_garden. Confidence: High. Direct estate number list; Generated garden export. District: Dibrugarh State: Assam; Original personal number. Phone type: . In original list: Yes</v>
      </c>
    </row>
    <row r="139" spans="1:15" ht="27" customHeight="1" x14ac:dyDescent="0.25">
      <c r="A139" s="50">
        <f>'WhatsApp Tracker'!AH38</f>
        <v>4436</v>
      </c>
      <c r="B139" s="50" t="str">
        <f>'WhatsApp Tracker'!AA38</f>
        <v>Review</v>
      </c>
      <c r="C139" s="50" t="str">
        <f>'WhatsApp Tracker'!M38</f>
        <v>Normal</v>
      </c>
      <c r="D139" s="50">
        <f>'WhatsApp Tracker'!AN38</f>
        <v>4</v>
      </c>
      <c r="E139" s="50" t="str">
        <f>'WhatsApp Tracker'!AL38</f>
        <v>Google Maps enrichment</v>
      </c>
      <c r="F139" s="50" t="str">
        <f>'WhatsApp Tracker'!B38</f>
        <v>Santi T.E.</v>
      </c>
      <c r="G139" s="50" t="str">
        <f>'WhatsApp Tracker'!C38</f>
        <v>Santi T.E.</v>
      </c>
      <c r="H139" s="50" t="str">
        <f>'WhatsApp Tracker'!D38</f>
        <v>9101469254</v>
      </c>
      <c r="I139" s="50" t="str">
        <f>'WhatsApp Tracker'!T38</f>
        <v>Delivered</v>
      </c>
      <c r="J139" s="50" t="str">
        <f>'WhatsApp Tracker'!U38</f>
        <v>Unknown</v>
      </c>
      <c r="K139" s="50" t="str">
        <f>'WhatsApp Tracker'!V38</f>
        <v>Unknown</v>
      </c>
      <c r="L139" s="50" t="str">
        <f>'WhatsApp Tracker'!W38</f>
        <v>Not offered</v>
      </c>
      <c r="M139" s="51" t="str">
        <f>'WhatsApp Tracker'!X38</f>
        <v/>
      </c>
      <c r="N139" s="50" t="str">
        <f>'WhatsApp Tracker'!AM38</f>
        <v>Lower priority: Maps result cannot be verified without manual check</v>
      </c>
      <c r="O139" s="50" t="str">
        <f>'WhatsApp Tracker'!AC38</f>
        <v>Imported from extract_garden. Confidence: High. Direct estate number list; Generated garden export. District: Dibrugarh State: Assam; Original personal number. Phone type: . In original list: Yes</v>
      </c>
    </row>
    <row r="140" spans="1:15" ht="27" customHeight="1" x14ac:dyDescent="0.25">
      <c r="A140" s="50">
        <f>'WhatsApp Tracker'!AH39</f>
        <v>4436</v>
      </c>
      <c r="B140" s="50" t="str">
        <f>'WhatsApp Tracker'!AA39</f>
        <v>Review</v>
      </c>
      <c r="C140" s="50" t="str">
        <f>'WhatsApp Tracker'!M39</f>
        <v>Normal</v>
      </c>
      <c r="D140" s="50">
        <f>'WhatsApp Tracker'!AN39</f>
        <v>4</v>
      </c>
      <c r="E140" s="50" t="str">
        <f>'WhatsApp Tracker'!AL39</f>
        <v>Google Maps enrichment</v>
      </c>
      <c r="F140" s="50" t="str">
        <f>'WhatsApp Tracker'!B39</f>
        <v>Satishpur T.E.</v>
      </c>
      <c r="G140" s="50" t="str">
        <f>'WhatsApp Tracker'!C39</f>
        <v>Satishpur T.E.</v>
      </c>
      <c r="H140" s="50" t="str">
        <f>'WhatsApp Tracker'!D39</f>
        <v>7003122250</v>
      </c>
      <c r="I140" s="50" t="str">
        <f>'WhatsApp Tracker'!T39</f>
        <v>Delivered</v>
      </c>
      <c r="J140" s="50" t="str">
        <f>'WhatsApp Tracker'!U39</f>
        <v>Unknown</v>
      </c>
      <c r="K140" s="50" t="str">
        <f>'WhatsApp Tracker'!V39</f>
        <v>Unknown</v>
      </c>
      <c r="L140" s="50" t="str">
        <f>'WhatsApp Tracker'!W39</f>
        <v>Not offered</v>
      </c>
      <c r="M140" s="51" t="str">
        <f>'WhatsApp Tracker'!X39</f>
        <v/>
      </c>
      <c r="N140" s="50" t="str">
        <f>'WhatsApp Tracker'!AM39</f>
        <v>Lower priority: Maps result cannot be verified without manual check</v>
      </c>
      <c r="O140" s="50" t="str">
        <f>'WhatsApp Tracker'!AC39</f>
        <v>Imported from extract_garden. Confidence: High. Direct estate number list; Generated garden export. District: Dibrugarh State: Assam; Original personal number. Phone type: Other. In original list: Yes</v>
      </c>
    </row>
    <row r="141" spans="1:15" ht="27" customHeight="1" x14ac:dyDescent="0.25">
      <c r="A141" s="50">
        <f>'WhatsApp Tracker'!AH6</f>
        <v>3136</v>
      </c>
      <c r="B141" s="50" t="str">
        <f>'WhatsApp Tracker'!AA6</f>
        <v>Send WhatsApp</v>
      </c>
      <c r="C141" s="50" t="str">
        <f>'WhatsApp Tracker'!M6</f>
        <v>Normal</v>
      </c>
      <c r="D141" s="50">
        <f>'WhatsApp Tracker'!AN6</f>
        <v>1</v>
      </c>
      <c r="E141" s="50" t="str">
        <f>'WhatsApp Tracker'!AL6</f>
        <v>Original CRM/manual campaign tracker</v>
      </c>
      <c r="F141" s="50" t="str">
        <f>'WhatsApp Tracker'!B6</f>
        <v xml:space="preserve">Kothalguri T.E </v>
      </c>
      <c r="G141" s="50">
        <f>'WhatsApp Tracker'!C6</f>
        <v>0</v>
      </c>
      <c r="H141" s="50" t="str">
        <f>'WhatsApp Tracker'!D6</f>
        <v>8876321148</v>
      </c>
      <c r="I141" s="50" t="str">
        <f>'WhatsApp Tracker'!T6</f>
        <v>Not sent</v>
      </c>
      <c r="J141" s="50" t="str">
        <f>'WhatsApp Tracker'!U6</f>
        <v>Unknown</v>
      </c>
      <c r="K141" s="50" t="str">
        <f>'WhatsApp Tracker'!V6</f>
        <v>Unknown</v>
      </c>
      <c r="L141" s="50" t="str">
        <f>'WhatsApp Tracker'!W6</f>
        <v>Not offered</v>
      </c>
      <c r="M141" s="51" t="str">
        <f>'WhatsApp Tracker'!X6</f>
        <v/>
      </c>
      <c r="N141" s="50" t="str">
        <f>'WhatsApp Tracker'!AM6</f>
        <v>Existing CRM lead</v>
      </c>
      <c r="O141" s="50">
        <f>'WhatsApp Tracker'!AC6</f>
        <v>0</v>
      </c>
    </row>
    <row r="142" spans="1:15" ht="27" customHeight="1" x14ac:dyDescent="0.25">
      <c r="A142" s="50">
        <f>'WhatsApp Tracker'!AH7</f>
        <v>3136</v>
      </c>
      <c r="B142" s="50" t="str">
        <f>'WhatsApp Tracker'!AA7</f>
        <v>Send WhatsApp</v>
      </c>
      <c r="C142" s="50" t="str">
        <f>'WhatsApp Tracker'!M7</f>
        <v>Normal</v>
      </c>
      <c r="D142" s="50">
        <f>'WhatsApp Tracker'!AN7</f>
        <v>1</v>
      </c>
      <c r="E142" s="50" t="str">
        <f>'WhatsApp Tracker'!AL7</f>
        <v>Original CRM/manual campaign tracker</v>
      </c>
      <c r="F142" s="50" t="str">
        <f>'WhatsApp Tracker'!B7</f>
        <v>Balimara T.E</v>
      </c>
      <c r="G142" s="50" t="str">
        <f>'WhatsApp Tracker'!C7</f>
        <v>Balimara T.E</v>
      </c>
      <c r="H142" s="50" t="str">
        <f>'WhatsApp Tracker'!D7</f>
        <v>9435738646</v>
      </c>
      <c r="I142" s="50" t="str">
        <f>'WhatsApp Tracker'!T7</f>
        <v>Not sent</v>
      </c>
      <c r="J142" s="50" t="str">
        <f>'WhatsApp Tracker'!U7</f>
        <v>Unknown</v>
      </c>
      <c r="K142" s="50" t="str">
        <f>'WhatsApp Tracker'!V7</f>
        <v>Unknown</v>
      </c>
      <c r="L142" s="50" t="str">
        <f>'WhatsApp Tracker'!W7</f>
        <v>Not offered</v>
      </c>
      <c r="M142" s="51" t="str">
        <f>'WhatsApp Tracker'!X7</f>
        <v/>
      </c>
      <c r="N142" s="50" t="str">
        <f>'WhatsApp Tracker'!AM7</f>
        <v>Existing CRM lead</v>
      </c>
      <c r="O142" s="50">
        <f>'WhatsApp Tracker'!AC7</f>
        <v>0</v>
      </c>
    </row>
    <row r="143" spans="1:15" x14ac:dyDescent="0.25">
      <c r="A143" s="50">
        <f>'WhatsApp Tracker'!AH140</f>
        <v>9596</v>
      </c>
      <c r="B143" s="50" t="str">
        <f>'WhatsApp Tracker'!AA140</f>
        <v>Do not send</v>
      </c>
      <c r="C143" s="50" t="str">
        <f>'WhatsApp Tracker'!M140</f>
        <v>Hold</v>
      </c>
      <c r="D143" s="50">
        <f>'WhatsApp Tracker'!AN140</f>
        <v>5</v>
      </c>
      <c r="E143" s="50" t="str">
        <f>'WhatsApp Tracker'!AL140</f>
        <v>Parsed directory row</v>
      </c>
      <c r="F143" s="50" t="str">
        <f>'WhatsApp Tracker'!B140</f>
        <v>Imported contact</v>
      </c>
      <c r="G143" s="50">
        <f>'WhatsApp Tracker'!C140</f>
        <v>0</v>
      </c>
      <c r="H143" s="50" t="str">
        <f>'WhatsApp Tracker'!D140</f>
        <v>9435465363</v>
      </c>
      <c r="I143" s="50" t="str">
        <f>'WhatsApp Tracker'!T140</f>
        <v>Not sent</v>
      </c>
      <c r="J143" s="50" t="str">
        <f>'WhatsApp Tracker'!U140</f>
        <v>Unknown</v>
      </c>
      <c r="K143" s="50" t="str">
        <f>'WhatsApp Tracker'!V140</f>
        <v>Unknown</v>
      </c>
      <c r="L143" s="50" t="str">
        <f>'WhatsApp Tracker'!W140</f>
        <v>Not offered</v>
      </c>
      <c r="M143" s="51" t="str">
        <f>'WhatsApp Tracker'!X140</f>
        <v/>
      </c>
      <c r="N143" s="50" t="str">
        <f>'WhatsApp Tracker'!AM140</f>
        <v>Low confidence: verify before sending</v>
      </c>
      <c r="O143" s="50" t="str">
        <f>'WhatsApp Tracker'!AC140</f>
        <v>Imported from extract_garden. Confidence: Low. Parsed from Assam Tea Directory row, verify before sending</v>
      </c>
    </row>
    <row r="144" spans="1:15" x14ac:dyDescent="0.25">
      <c r="A144" s="50">
        <f>'WhatsApp Tracker'!AH141</f>
        <v>9596</v>
      </c>
      <c r="B144" s="50" t="str">
        <f>'WhatsApp Tracker'!AA141</f>
        <v>Do not send</v>
      </c>
      <c r="C144" s="50" t="str">
        <f>'WhatsApp Tracker'!M141</f>
        <v>Hold</v>
      </c>
      <c r="D144" s="50">
        <f>'WhatsApp Tracker'!AN141</f>
        <v>5</v>
      </c>
      <c r="E144" s="50" t="str">
        <f>'WhatsApp Tracker'!AL141</f>
        <v>Parsed directory row</v>
      </c>
      <c r="F144" s="50" t="str">
        <f>'WhatsApp Tracker'!B141</f>
        <v>ASSAM</v>
      </c>
      <c r="G144" s="50" t="str">
        <f>'WhatsApp Tracker'!C141</f>
        <v>ASSAM</v>
      </c>
      <c r="H144" s="50" t="str">
        <f>'WhatsApp Tracker'!D141</f>
        <v>9435095930</v>
      </c>
      <c r="I144" s="50" t="str">
        <f>'WhatsApp Tracker'!T141</f>
        <v>Not sent</v>
      </c>
      <c r="J144" s="50" t="str">
        <f>'WhatsApp Tracker'!U141</f>
        <v>Unknown</v>
      </c>
      <c r="K144" s="50" t="str">
        <f>'WhatsApp Tracker'!V141</f>
        <v>Unknown</v>
      </c>
      <c r="L144" s="50" t="str">
        <f>'WhatsApp Tracker'!W141</f>
        <v>Not offered</v>
      </c>
      <c r="M144" s="51" t="str">
        <f>'WhatsApp Tracker'!X141</f>
        <v/>
      </c>
      <c r="N144" s="50" t="str">
        <f>'WhatsApp Tracker'!AM141</f>
        <v>Low confidence: verify before sending</v>
      </c>
      <c r="O144" s="50" t="str">
        <f>'WhatsApp Tracker'!AC141</f>
        <v>Imported from extract_garden. Confidence: Low. Parsed from Assam Tea Directory row, verify before sending</v>
      </c>
    </row>
    <row r="145" spans="1:15" x14ac:dyDescent="0.25">
      <c r="A145" s="50">
        <f>'WhatsApp Tracker'!AH142</f>
        <v>9596</v>
      </c>
      <c r="B145" s="50" t="str">
        <f>'WhatsApp Tracker'!AA142</f>
        <v>Do not send</v>
      </c>
      <c r="C145" s="50" t="str">
        <f>'WhatsApp Tracker'!M142</f>
        <v>Hold</v>
      </c>
      <c r="D145" s="50">
        <f>'WhatsApp Tracker'!AN142</f>
        <v>5</v>
      </c>
      <c r="E145" s="50" t="str">
        <f>'WhatsApp Tracker'!AL142</f>
        <v>Parsed directory row</v>
      </c>
      <c r="F145" s="50" t="str">
        <f>'WhatsApp Tracker'!B142</f>
        <v>Imported contact</v>
      </c>
      <c r="G145" s="50">
        <f>'WhatsApp Tracker'!C142</f>
        <v>0</v>
      </c>
      <c r="H145" s="50" t="str">
        <f>'WhatsApp Tracker'!D142</f>
        <v>9435180144</v>
      </c>
      <c r="I145" s="50" t="str">
        <f>'WhatsApp Tracker'!T142</f>
        <v>Not sent</v>
      </c>
      <c r="J145" s="50" t="str">
        <f>'WhatsApp Tracker'!U142</f>
        <v>Unknown</v>
      </c>
      <c r="K145" s="50" t="str">
        <f>'WhatsApp Tracker'!V142</f>
        <v>Unknown</v>
      </c>
      <c r="L145" s="50" t="str">
        <f>'WhatsApp Tracker'!W142</f>
        <v>Not offered</v>
      </c>
      <c r="M145" s="51" t="str">
        <f>'WhatsApp Tracker'!X142</f>
        <v/>
      </c>
      <c r="N145" s="50" t="str">
        <f>'WhatsApp Tracker'!AM142</f>
        <v>Low confidence: verify before sending</v>
      </c>
      <c r="O145" s="50" t="str">
        <f>'WhatsApp Tracker'!AC142</f>
        <v>Imported from extract_garden. Confidence: Low. Parsed from Assam Tea Directory row, verify before sending</v>
      </c>
    </row>
    <row r="146" spans="1:15" x14ac:dyDescent="0.25">
      <c r="A146" s="50">
        <f>'WhatsApp Tracker'!AH143</f>
        <v>9596</v>
      </c>
      <c r="B146" s="50" t="str">
        <f>'WhatsApp Tracker'!AA143</f>
        <v>Do not send</v>
      </c>
      <c r="C146" s="50" t="str">
        <f>'WhatsApp Tracker'!M143</f>
        <v>Hold</v>
      </c>
      <c r="D146" s="50">
        <f>'WhatsApp Tracker'!AN143</f>
        <v>5</v>
      </c>
      <c r="E146" s="50" t="str">
        <f>'WhatsApp Tracker'!AL143</f>
        <v>Parsed directory row</v>
      </c>
      <c r="F146" s="50" t="str">
        <f>'WhatsApp Tracker'!B143</f>
        <v>Imported contact</v>
      </c>
      <c r="G146" s="50">
        <f>'WhatsApp Tracker'!C143</f>
        <v>0</v>
      </c>
      <c r="H146" s="50" t="str">
        <f>'WhatsApp Tracker'!D143</f>
        <v>9435079915</v>
      </c>
      <c r="I146" s="50" t="str">
        <f>'WhatsApp Tracker'!T143</f>
        <v>Not sent</v>
      </c>
      <c r="J146" s="50" t="str">
        <f>'WhatsApp Tracker'!U143</f>
        <v>Unknown</v>
      </c>
      <c r="K146" s="50" t="str">
        <f>'WhatsApp Tracker'!V143</f>
        <v>Unknown</v>
      </c>
      <c r="L146" s="50" t="str">
        <f>'WhatsApp Tracker'!W143</f>
        <v>Not offered</v>
      </c>
      <c r="M146" s="51" t="str">
        <f>'WhatsApp Tracker'!X143</f>
        <v/>
      </c>
      <c r="N146" s="50" t="str">
        <f>'WhatsApp Tracker'!AM143</f>
        <v>Low confidence: verify before sending</v>
      </c>
      <c r="O146" s="50" t="str">
        <f>'WhatsApp Tracker'!AC143</f>
        <v>Imported from extract_garden. Confidence: Low. Parsed from Assam Tea Directory row, verify before sending</v>
      </c>
    </row>
    <row r="147" spans="1:15" x14ac:dyDescent="0.25">
      <c r="A147" s="50">
        <f>'WhatsApp Tracker'!AH144</f>
        <v>9596</v>
      </c>
      <c r="B147" s="50" t="str">
        <f>'WhatsApp Tracker'!AA144</f>
        <v>Do not send</v>
      </c>
      <c r="C147" s="50" t="str">
        <f>'WhatsApp Tracker'!M144</f>
        <v>Hold</v>
      </c>
      <c r="D147" s="50">
        <f>'WhatsApp Tracker'!AN144</f>
        <v>5</v>
      </c>
      <c r="E147" s="50" t="str">
        <f>'WhatsApp Tracker'!AL144</f>
        <v>Parsed directory row</v>
      </c>
      <c r="F147" s="50" t="str">
        <f>'WhatsApp Tracker'!B144</f>
        <v>Imported contact</v>
      </c>
      <c r="G147" s="50">
        <f>'WhatsApp Tracker'!C144</f>
        <v>0</v>
      </c>
      <c r="H147" s="50" t="str">
        <f>'WhatsApp Tracker'!D144</f>
        <v>7399882662</v>
      </c>
      <c r="I147" s="50" t="str">
        <f>'WhatsApp Tracker'!T144</f>
        <v>Not sent</v>
      </c>
      <c r="J147" s="50" t="str">
        <f>'WhatsApp Tracker'!U144</f>
        <v>Unknown</v>
      </c>
      <c r="K147" s="50" t="str">
        <f>'WhatsApp Tracker'!V144</f>
        <v>Unknown</v>
      </c>
      <c r="L147" s="50" t="str">
        <f>'WhatsApp Tracker'!W144</f>
        <v>Not offered</v>
      </c>
      <c r="M147" s="51" t="str">
        <f>'WhatsApp Tracker'!X144</f>
        <v/>
      </c>
      <c r="N147" s="50" t="str">
        <f>'WhatsApp Tracker'!AM144</f>
        <v>Low confidence: verify before sending</v>
      </c>
      <c r="O147" s="50" t="str">
        <f>'WhatsApp Tracker'!AC144</f>
        <v>Imported from extract_garden. Confidence: Low. Parsed from Assam Tea Directory row, verify before sending</v>
      </c>
    </row>
    <row r="148" spans="1:15" x14ac:dyDescent="0.25">
      <c r="A148" s="50">
        <f>'WhatsApp Tracker'!AH145</f>
        <v>9596</v>
      </c>
      <c r="B148" s="50" t="str">
        <f>'WhatsApp Tracker'!AA145</f>
        <v>Do not send</v>
      </c>
      <c r="C148" s="50" t="str">
        <f>'WhatsApp Tracker'!M145</f>
        <v>Hold</v>
      </c>
      <c r="D148" s="50">
        <f>'WhatsApp Tracker'!AN145</f>
        <v>5</v>
      </c>
      <c r="E148" s="50" t="str">
        <f>'WhatsApp Tracker'!AL145</f>
        <v>Parsed directory row</v>
      </c>
      <c r="F148" s="50" t="str">
        <f>'WhatsApp Tracker'!B145</f>
        <v>Imported contact</v>
      </c>
      <c r="G148" s="50">
        <f>'WhatsApp Tracker'!C145</f>
        <v>0</v>
      </c>
      <c r="H148" s="50" t="str">
        <f>'WhatsApp Tracker'!D145</f>
        <v>9435010774</v>
      </c>
      <c r="I148" s="50" t="str">
        <f>'WhatsApp Tracker'!T145</f>
        <v>Not sent</v>
      </c>
      <c r="J148" s="50" t="str">
        <f>'WhatsApp Tracker'!U145</f>
        <v>Unknown</v>
      </c>
      <c r="K148" s="50" t="str">
        <f>'WhatsApp Tracker'!V145</f>
        <v>Unknown</v>
      </c>
      <c r="L148" s="50" t="str">
        <f>'WhatsApp Tracker'!W145</f>
        <v>Not offered</v>
      </c>
      <c r="M148" s="51" t="str">
        <f>'WhatsApp Tracker'!X145</f>
        <v/>
      </c>
      <c r="N148" s="50" t="str">
        <f>'WhatsApp Tracker'!AM145</f>
        <v>Low confidence: verify before sending</v>
      </c>
      <c r="O148" s="50" t="str">
        <f>'WhatsApp Tracker'!AC145</f>
        <v>Imported from extract_garden. Confidence: Low. Parsed from Assam Tea Directory row, verify before sending</v>
      </c>
    </row>
    <row r="149" spans="1:15" x14ac:dyDescent="0.25">
      <c r="A149" s="50">
        <f>'WhatsApp Tracker'!AH146</f>
        <v>9596</v>
      </c>
      <c r="B149" s="50" t="str">
        <f>'WhatsApp Tracker'!AA146</f>
        <v>Do not send</v>
      </c>
      <c r="C149" s="50" t="str">
        <f>'WhatsApp Tracker'!M146</f>
        <v>Hold</v>
      </c>
      <c r="D149" s="50">
        <f>'WhatsApp Tracker'!AN146</f>
        <v>5</v>
      </c>
      <c r="E149" s="50" t="str">
        <f>'WhatsApp Tracker'!AL146</f>
        <v>Parsed directory row</v>
      </c>
      <c r="F149" s="50" t="str">
        <f>'WhatsApp Tracker'!B146</f>
        <v>Imported contact</v>
      </c>
      <c r="G149" s="50">
        <f>'WhatsApp Tracker'!C146</f>
        <v>0</v>
      </c>
      <c r="H149" s="50" t="str">
        <f>'WhatsApp Tracker'!D146</f>
        <v>9435026844</v>
      </c>
      <c r="I149" s="50" t="str">
        <f>'WhatsApp Tracker'!T146</f>
        <v>Not sent</v>
      </c>
      <c r="J149" s="50" t="str">
        <f>'WhatsApp Tracker'!U146</f>
        <v>Unknown</v>
      </c>
      <c r="K149" s="50" t="str">
        <f>'WhatsApp Tracker'!V146</f>
        <v>Unknown</v>
      </c>
      <c r="L149" s="50" t="str">
        <f>'WhatsApp Tracker'!W146</f>
        <v>Not offered</v>
      </c>
      <c r="M149" s="51" t="str">
        <f>'WhatsApp Tracker'!X146</f>
        <v/>
      </c>
      <c r="N149" s="50" t="str">
        <f>'WhatsApp Tracker'!AM146</f>
        <v>Low confidence: verify before sending</v>
      </c>
      <c r="O149" s="50" t="str">
        <f>'WhatsApp Tracker'!AC146</f>
        <v>Imported from extract_garden. Confidence: Low. Parsed from Assam Tea Directory row, verify before sending</v>
      </c>
    </row>
    <row r="150" spans="1:15" x14ac:dyDescent="0.25">
      <c r="A150" s="50">
        <f>'WhatsApp Tracker'!AH147</f>
        <v>9596</v>
      </c>
      <c r="B150" s="50" t="str">
        <f>'WhatsApp Tracker'!AA147</f>
        <v>Do not send</v>
      </c>
      <c r="C150" s="50" t="str">
        <f>'WhatsApp Tracker'!M147</f>
        <v>Hold</v>
      </c>
      <c r="D150" s="50">
        <f>'WhatsApp Tracker'!AN147</f>
        <v>5</v>
      </c>
      <c r="E150" s="50" t="str">
        <f>'WhatsApp Tracker'!AL147</f>
        <v>Parsed directory row</v>
      </c>
      <c r="F150" s="50" t="str">
        <f>'WhatsApp Tracker'!B147</f>
        <v>Imported contact</v>
      </c>
      <c r="G150" s="50">
        <f>'WhatsApp Tracker'!C147</f>
        <v>0</v>
      </c>
      <c r="H150" s="50" t="str">
        <f>'WhatsApp Tracker'!D147</f>
        <v>9830019050</v>
      </c>
      <c r="I150" s="50" t="str">
        <f>'WhatsApp Tracker'!T147</f>
        <v>Not sent</v>
      </c>
      <c r="J150" s="50" t="str">
        <f>'WhatsApp Tracker'!U147</f>
        <v>Unknown</v>
      </c>
      <c r="K150" s="50" t="str">
        <f>'WhatsApp Tracker'!V147</f>
        <v>Unknown</v>
      </c>
      <c r="L150" s="50" t="str">
        <f>'WhatsApp Tracker'!W147</f>
        <v>Not offered</v>
      </c>
      <c r="M150" s="51" t="str">
        <f>'WhatsApp Tracker'!X147</f>
        <v/>
      </c>
      <c r="N150" s="50" t="str">
        <f>'WhatsApp Tracker'!AM147</f>
        <v>Low confidence: verify before sending</v>
      </c>
      <c r="O150" s="50" t="str">
        <f>'WhatsApp Tracker'!AC147</f>
        <v>Imported from extract_garden. Confidence: Low. Parsed from Assam Tea Directory row, verify before sending</v>
      </c>
    </row>
    <row r="151" spans="1:15" x14ac:dyDescent="0.25">
      <c r="A151" s="50">
        <f>'WhatsApp Tracker'!AH148</f>
        <v>9596</v>
      </c>
      <c r="B151" s="50" t="str">
        <f>'WhatsApp Tracker'!AA148</f>
        <v>Do not send</v>
      </c>
      <c r="C151" s="50" t="str">
        <f>'WhatsApp Tracker'!M148</f>
        <v>Hold</v>
      </c>
      <c r="D151" s="50">
        <f>'WhatsApp Tracker'!AN148</f>
        <v>5</v>
      </c>
      <c r="E151" s="50" t="str">
        <f>'WhatsApp Tracker'!AL148</f>
        <v>Parsed directory row</v>
      </c>
      <c r="F151" s="50" t="str">
        <f>'WhatsApp Tracker'!B148</f>
        <v>Imported contact</v>
      </c>
      <c r="G151" s="50">
        <f>'WhatsApp Tracker'!C148</f>
        <v>0</v>
      </c>
      <c r="H151" s="50" t="str">
        <f>'WhatsApp Tracker'!D148</f>
        <v>9954229915</v>
      </c>
      <c r="I151" s="50" t="str">
        <f>'WhatsApp Tracker'!T148</f>
        <v>Not sent</v>
      </c>
      <c r="J151" s="50" t="str">
        <f>'WhatsApp Tracker'!U148</f>
        <v>Unknown</v>
      </c>
      <c r="K151" s="50" t="str">
        <f>'WhatsApp Tracker'!V148</f>
        <v>Unknown</v>
      </c>
      <c r="L151" s="50" t="str">
        <f>'WhatsApp Tracker'!W148</f>
        <v>Not offered</v>
      </c>
      <c r="M151" s="51" t="str">
        <f>'WhatsApp Tracker'!X148</f>
        <v/>
      </c>
      <c r="N151" s="50" t="str">
        <f>'WhatsApp Tracker'!AM148</f>
        <v>Low confidence: verify before sending</v>
      </c>
      <c r="O151" s="50" t="str">
        <f>'WhatsApp Tracker'!AC148</f>
        <v>Imported from extract_garden. Confidence: Low. Parsed from Assam Tea Directory row, verify before sending</v>
      </c>
    </row>
    <row r="152" spans="1:15" x14ac:dyDescent="0.25">
      <c r="A152" s="50">
        <f>'WhatsApp Tracker'!AH149</f>
        <v>9596</v>
      </c>
      <c r="B152" s="50" t="str">
        <f>'WhatsApp Tracker'!AA149</f>
        <v>Do not send</v>
      </c>
      <c r="C152" s="50" t="str">
        <f>'WhatsApp Tracker'!M149</f>
        <v>Hold</v>
      </c>
      <c r="D152" s="50">
        <f>'WhatsApp Tracker'!AN149</f>
        <v>5</v>
      </c>
      <c r="E152" s="50" t="str">
        <f>'WhatsApp Tracker'!AL149</f>
        <v>Parsed directory row</v>
      </c>
      <c r="F152" s="50" t="str">
        <f>'WhatsApp Tracker'!B149</f>
        <v>Imported contact</v>
      </c>
      <c r="G152" s="50">
        <f>'WhatsApp Tracker'!C149</f>
        <v>0</v>
      </c>
      <c r="H152" s="50" t="str">
        <f>'WhatsApp Tracker'!D149</f>
        <v>9435158600</v>
      </c>
      <c r="I152" s="50" t="str">
        <f>'WhatsApp Tracker'!T149</f>
        <v>Not sent</v>
      </c>
      <c r="J152" s="50" t="str">
        <f>'WhatsApp Tracker'!U149</f>
        <v>Unknown</v>
      </c>
      <c r="K152" s="50" t="str">
        <f>'WhatsApp Tracker'!V149</f>
        <v>Unknown</v>
      </c>
      <c r="L152" s="50" t="str">
        <f>'WhatsApp Tracker'!W149</f>
        <v>Not offered</v>
      </c>
      <c r="M152" s="51" t="str">
        <f>'WhatsApp Tracker'!X149</f>
        <v/>
      </c>
      <c r="N152" s="50" t="str">
        <f>'WhatsApp Tracker'!AM149</f>
        <v>Low confidence: verify before sending</v>
      </c>
      <c r="O152" s="50" t="str">
        <f>'WhatsApp Tracker'!AC149</f>
        <v>Imported from extract_garden. Confidence: Low. Parsed from Assam Tea Directory row, verify before sending</v>
      </c>
    </row>
    <row r="153" spans="1:15" x14ac:dyDescent="0.25">
      <c r="A153" s="50">
        <f>'WhatsApp Tracker'!AH150</f>
        <v>9596</v>
      </c>
      <c r="B153" s="50" t="str">
        <f>'WhatsApp Tracker'!AA150</f>
        <v>Do not send</v>
      </c>
      <c r="C153" s="50" t="str">
        <f>'WhatsApp Tracker'!M150</f>
        <v>Hold</v>
      </c>
      <c r="D153" s="50">
        <f>'WhatsApp Tracker'!AN150</f>
        <v>5</v>
      </c>
      <c r="E153" s="50" t="str">
        <f>'WhatsApp Tracker'!AL150</f>
        <v>Parsed directory row</v>
      </c>
      <c r="F153" s="50" t="str">
        <f>'WhatsApp Tracker'!B150</f>
        <v>Imported contact</v>
      </c>
      <c r="G153" s="50">
        <f>'WhatsApp Tracker'!C150</f>
        <v>0</v>
      </c>
      <c r="H153" s="50" t="str">
        <f>'WhatsApp Tracker'!D150</f>
        <v>9954215784</v>
      </c>
      <c r="I153" s="50" t="str">
        <f>'WhatsApp Tracker'!T150</f>
        <v>Not sent</v>
      </c>
      <c r="J153" s="50" t="str">
        <f>'WhatsApp Tracker'!U150</f>
        <v>Unknown</v>
      </c>
      <c r="K153" s="50" t="str">
        <f>'WhatsApp Tracker'!V150</f>
        <v>Unknown</v>
      </c>
      <c r="L153" s="50" t="str">
        <f>'WhatsApp Tracker'!W150</f>
        <v>Not offered</v>
      </c>
      <c r="M153" s="51" t="str">
        <f>'WhatsApp Tracker'!X150</f>
        <v/>
      </c>
      <c r="N153" s="50" t="str">
        <f>'WhatsApp Tracker'!AM150</f>
        <v>Low confidence: verify before sending</v>
      </c>
      <c r="O153" s="50" t="str">
        <f>'WhatsApp Tracker'!AC150</f>
        <v>Imported from extract_garden. Confidence: Low. Parsed from Assam Tea Directory row, verify before sending</v>
      </c>
    </row>
    <row r="154" spans="1:15" x14ac:dyDescent="0.25">
      <c r="A154" s="50">
        <f>'WhatsApp Tracker'!AH151</f>
        <v>9596</v>
      </c>
      <c r="B154" s="50" t="str">
        <f>'WhatsApp Tracker'!AA151</f>
        <v>Do not send</v>
      </c>
      <c r="C154" s="50" t="str">
        <f>'WhatsApp Tracker'!M151</f>
        <v>Hold</v>
      </c>
      <c r="D154" s="50">
        <f>'WhatsApp Tracker'!AN151</f>
        <v>5</v>
      </c>
      <c r="E154" s="50" t="str">
        <f>'WhatsApp Tracker'!AL151</f>
        <v>Parsed directory row</v>
      </c>
      <c r="F154" s="50" t="str">
        <f>'WhatsApp Tracker'!B151</f>
        <v>Imported contact</v>
      </c>
      <c r="G154" s="50">
        <f>'WhatsApp Tracker'!C151</f>
        <v>0</v>
      </c>
      <c r="H154" s="50" t="str">
        <f>'WhatsApp Tracker'!D151</f>
        <v>9435525015</v>
      </c>
      <c r="I154" s="50" t="str">
        <f>'WhatsApp Tracker'!T151</f>
        <v>Not sent</v>
      </c>
      <c r="J154" s="50" t="str">
        <f>'WhatsApp Tracker'!U151</f>
        <v>Unknown</v>
      </c>
      <c r="K154" s="50" t="str">
        <f>'WhatsApp Tracker'!V151</f>
        <v>Unknown</v>
      </c>
      <c r="L154" s="50" t="str">
        <f>'WhatsApp Tracker'!W151</f>
        <v>Not offered</v>
      </c>
      <c r="M154" s="51" t="str">
        <f>'WhatsApp Tracker'!X151</f>
        <v/>
      </c>
      <c r="N154" s="50" t="str">
        <f>'WhatsApp Tracker'!AM151</f>
        <v>Low confidence: verify before sending</v>
      </c>
      <c r="O154" s="50" t="str">
        <f>'WhatsApp Tracker'!AC151</f>
        <v>Imported from extract_garden. Confidence: Low. Parsed from Assam Tea Directory row, verify before sending</v>
      </c>
    </row>
    <row r="155" spans="1:15" x14ac:dyDescent="0.25">
      <c r="A155" s="50">
        <f>'WhatsApp Tracker'!AH152</f>
        <v>9596</v>
      </c>
      <c r="B155" s="50" t="str">
        <f>'WhatsApp Tracker'!AA152</f>
        <v>Do not send</v>
      </c>
      <c r="C155" s="50" t="str">
        <f>'WhatsApp Tracker'!M152</f>
        <v>Hold</v>
      </c>
      <c r="D155" s="50">
        <f>'WhatsApp Tracker'!AN152</f>
        <v>5</v>
      </c>
      <c r="E155" s="50" t="str">
        <f>'WhatsApp Tracker'!AL152</f>
        <v>Parsed directory row</v>
      </c>
      <c r="F155" s="50" t="str">
        <f>'WhatsApp Tracker'!B152</f>
        <v>Imported contact</v>
      </c>
      <c r="G155" s="50">
        <f>'WhatsApp Tracker'!C152</f>
        <v>0</v>
      </c>
      <c r="H155" s="50" t="str">
        <f>'WhatsApp Tracker'!D152</f>
        <v>9435139980</v>
      </c>
      <c r="I155" s="50" t="str">
        <f>'WhatsApp Tracker'!T152</f>
        <v>Not sent</v>
      </c>
      <c r="J155" s="50" t="str">
        <f>'WhatsApp Tracker'!U152</f>
        <v>Unknown</v>
      </c>
      <c r="K155" s="50" t="str">
        <f>'WhatsApp Tracker'!V152</f>
        <v>Unknown</v>
      </c>
      <c r="L155" s="50" t="str">
        <f>'WhatsApp Tracker'!W152</f>
        <v>Not offered</v>
      </c>
      <c r="M155" s="51" t="str">
        <f>'WhatsApp Tracker'!X152</f>
        <v/>
      </c>
      <c r="N155" s="50" t="str">
        <f>'WhatsApp Tracker'!AM152</f>
        <v>Low confidence: verify before sending</v>
      </c>
      <c r="O155" s="50" t="str">
        <f>'WhatsApp Tracker'!AC152</f>
        <v>Imported from extract_garden. Confidence: Low. Parsed from Assam Tea Directory row, verify before sending</v>
      </c>
    </row>
    <row r="156" spans="1:15" x14ac:dyDescent="0.25">
      <c r="A156" s="50">
        <f>'WhatsApp Tracker'!AH153</f>
        <v>9596</v>
      </c>
      <c r="B156" s="50" t="str">
        <f>'WhatsApp Tracker'!AA153</f>
        <v>Do not send</v>
      </c>
      <c r="C156" s="50" t="str">
        <f>'WhatsApp Tracker'!M153</f>
        <v>Hold</v>
      </c>
      <c r="D156" s="50">
        <f>'WhatsApp Tracker'!AN153</f>
        <v>5</v>
      </c>
      <c r="E156" s="50" t="str">
        <f>'WhatsApp Tracker'!AL153</f>
        <v>Parsed directory row</v>
      </c>
      <c r="F156" s="50" t="str">
        <f>'WhatsApp Tracker'!B153</f>
        <v>Imported contact</v>
      </c>
      <c r="G156" s="50">
        <f>'WhatsApp Tracker'!C153</f>
        <v>0</v>
      </c>
      <c r="H156" s="50" t="str">
        <f>'WhatsApp Tracker'!D153</f>
        <v>9954499218</v>
      </c>
      <c r="I156" s="50" t="str">
        <f>'WhatsApp Tracker'!T153</f>
        <v>Not sent</v>
      </c>
      <c r="J156" s="50" t="str">
        <f>'WhatsApp Tracker'!U153</f>
        <v>Unknown</v>
      </c>
      <c r="K156" s="50" t="str">
        <f>'WhatsApp Tracker'!V153</f>
        <v>Unknown</v>
      </c>
      <c r="L156" s="50" t="str">
        <f>'WhatsApp Tracker'!W153</f>
        <v>Not offered</v>
      </c>
      <c r="M156" s="51" t="str">
        <f>'WhatsApp Tracker'!X153</f>
        <v/>
      </c>
      <c r="N156" s="50" t="str">
        <f>'WhatsApp Tracker'!AM153</f>
        <v>Low confidence: verify before sending</v>
      </c>
      <c r="O156" s="50" t="str">
        <f>'WhatsApp Tracker'!AC153</f>
        <v>Imported from extract_garden. Confidence: Low. Parsed from Assam Tea Directory row, verify before sending</v>
      </c>
    </row>
    <row r="157" spans="1:15" x14ac:dyDescent="0.25">
      <c r="A157" s="50">
        <f>'WhatsApp Tracker'!AH154</f>
        <v>9596</v>
      </c>
      <c r="B157" s="50" t="str">
        <f>'WhatsApp Tracker'!AA154</f>
        <v>Do not send</v>
      </c>
      <c r="C157" s="50" t="str">
        <f>'WhatsApp Tracker'!M154</f>
        <v>Hold</v>
      </c>
      <c r="D157" s="50">
        <f>'WhatsApp Tracker'!AN154</f>
        <v>5</v>
      </c>
      <c r="E157" s="50" t="str">
        <f>'WhatsApp Tracker'!AL154</f>
        <v>Parsed directory row</v>
      </c>
      <c r="F157" s="50" t="str">
        <f>'WhatsApp Tracker'!B154</f>
        <v>Imported contact</v>
      </c>
      <c r="G157" s="50">
        <f>'WhatsApp Tracker'!C154</f>
        <v>0</v>
      </c>
      <c r="H157" s="50" t="str">
        <f>'WhatsApp Tracker'!D154</f>
        <v>9435151646</v>
      </c>
      <c r="I157" s="50" t="str">
        <f>'WhatsApp Tracker'!T154</f>
        <v>Not sent</v>
      </c>
      <c r="J157" s="50" t="str">
        <f>'WhatsApp Tracker'!U154</f>
        <v>Unknown</v>
      </c>
      <c r="K157" s="50" t="str">
        <f>'WhatsApp Tracker'!V154</f>
        <v>Unknown</v>
      </c>
      <c r="L157" s="50" t="str">
        <f>'WhatsApp Tracker'!W154</f>
        <v>Not offered</v>
      </c>
      <c r="M157" s="51" t="str">
        <f>'WhatsApp Tracker'!X154</f>
        <v/>
      </c>
      <c r="N157" s="50" t="str">
        <f>'WhatsApp Tracker'!AM154</f>
        <v>Low confidence: verify before sending</v>
      </c>
      <c r="O157" s="50" t="str">
        <f>'WhatsApp Tracker'!AC154</f>
        <v>Imported from extract_garden. Confidence: Low. Parsed from Assam Tea Directory row, verify before sending</v>
      </c>
    </row>
    <row r="158" spans="1:15" x14ac:dyDescent="0.25">
      <c r="A158" s="50">
        <f>'WhatsApp Tracker'!AH155</f>
        <v>9596</v>
      </c>
      <c r="B158" s="50" t="str">
        <f>'WhatsApp Tracker'!AA155</f>
        <v>Do not send</v>
      </c>
      <c r="C158" s="50" t="str">
        <f>'WhatsApp Tracker'!M155</f>
        <v>Hold</v>
      </c>
      <c r="D158" s="50">
        <f>'WhatsApp Tracker'!AN155</f>
        <v>5</v>
      </c>
      <c r="E158" s="50" t="str">
        <f>'WhatsApp Tracker'!AL155</f>
        <v>Parsed directory row</v>
      </c>
      <c r="F158" s="50" t="str">
        <f>'WhatsApp Tracker'!B155</f>
        <v>Imported contact</v>
      </c>
      <c r="G158" s="50">
        <f>'WhatsApp Tracker'!C155</f>
        <v>0</v>
      </c>
      <c r="H158" s="50" t="str">
        <f>'WhatsApp Tracker'!D155</f>
        <v>9435032280</v>
      </c>
      <c r="I158" s="50" t="str">
        <f>'WhatsApp Tracker'!T155</f>
        <v>Not sent</v>
      </c>
      <c r="J158" s="50" t="str">
        <f>'WhatsApp Tracker'!U155</f>
        <v>Unknown</v>
      </c>
      <c r="K158" s="50" t="str">
        <f>'WhatsApp Tracker'!V155</f>
        <v>Unknown</v>
      </c>
      <c r="L158" s="50" t="str">
        <f>'WhatsApp Tracker'!W155</f>
        <v>Not offered</v>
      </c>
      <c r="M158" s="51" t="str">
        <f>'WhatsApp Tracker'!X155</f>
        <v/>
      </c>
      <c r="N158" s="50" t="str">
        <f>'WhatsApp Tracker'!AM155</f>
        <v>Low confidence: verify before sending</v>
      </c>
      <c r="O158" s="50" t="str">
        <f>'WhatsApp Tracker'!AC155</f>
        <v>Imported from extract_garden. Confidence: Low. Parsed from Assam Tea Directory row, verify before sending</v>
      </c>
    </row>
    <row r="159" spans="1:15" x14ac:dyDescent="0.25">
      <c r="A159" s="50">
        <f>'WhatsApp Tracker'!AH156</f>
        <v>9596</v>
      </c>
      <c r="B159" s="50" t="str">
        <f>'WhatsApp Tracker'!AA156</f>
        <v>Do not send</v>
      </c>
      <c r="C159" s="50" t="str">
        <f>'WhatsApp Tracker'!M156</f>
        <v>Hold</v>
      </c>
      <c r="D159" s="50">
        <f>'WhatsApp Tracker'!AN156</f>
        <v>5</v>
      </c>
      <c r="E159" s="50" t="str">
        <f>'WhatsApp Tracker'!AL156</f>
        <v>Parsed directory row</v>
      </c>
      <c r="F159" s="50" t="str">
        <f>'WhatsApp Tracker'!B156</f>
        <v>Imported contact</v>
      </c>
      <c r="G159" s="50">
        <f>'WhatsApp Tracker'!C156</f>
        <v>0</v>
      </c>
      <c r="H159" s="50" t="str">
        <f>'WhatsApp Tracker'!D156</f>
        <v>9435092011</v>
      </c>
      <c r="I159" s="50" t="str">
        <f>'WhatsApp Tracker'!T156</f>
        <v>Not sent</v>
      </c>
      <c r="J159" s="50" t="str">
        <f>'WhatsApp Tracker'!U156</f>
        <v>Unknown</v>
      </c>
      <c r="K159" s="50" t="str">
        <f>'WhatsApp Tracker'!V156</f>
        <v>Unknown</v>
      </c>
      <c r="L159" s="50" t="str">
        <f>'WhatsApp Tracker'!W156</f>
        <v>Not offered</v>
      </c>
      <c r="M159" s="51" t="str">
        <f>'WhatsApp Tracker'!X156</f>
        <v/>
      </c>
      <c r="N159" s="50" t="str">
        <f>'WhatsApp Tracker'!AM156</f>
        <v>Low confidence: verify before sending</v>
      </c>
      <c r="O159" s="50" t="str">
        <f>'WhatsApp Tracker'!AC156</f>
        <v>Imported from extract_garden. Confidence: Low. Parsed from Assam Tea Directory row, verify before sending</v>
      </c>
    </row>
    <row r="160" spans="1:15" x14ac:dyDescent="0.25">
      <c r="A160" s="50">
        <f>'WhatsApp Tracker'!AH157</f>
        <v>9596</v>
      </c>
      <c r="B160" s="50" t="str">
        <f>'WhatsApp Tracker'!AA157</f>
        <v>Do not send</v>
      </c>
      <c r="C160" s="50" t="str">
        <f>'WhatsApp Tracker'!M157</f>
        <v>Hold</v>
      </c>
      <c r="D160" s="50">
        <f>'WhatsApp Tracker'!AN157</f>
        <v>5</v>
      </c>
      <c r="E160" s="50" t="str">
        <f>'WhatsApp Tracker'!AL157</f>
        <v>Parsed directory row</v>
      </c>
      <c r="F160" s="50" t="str">
        <f>'WhatsApp Tracker'!B157</f>
        <v>Imported contact</v>
      </c>
      <c r="G160" s="50">
        <f>'WhatsApp Tracker'!C157</f>
        <v>0</v>
      </c>
      <c r="H160" s="50" t="str">
        <f>'WhatsApp Tracker'!D157</f>
        <v>9854307994</v>
      </c>
      <c r="I160" s="50" t="str">
        <f>'WhatsApp Tracker'!T157</f>
        <v>Not sent</v>
      </c>
      <c r="J160" s="50" t="str">
        <f>'WhatsApp Tracker'!U157</f>
        <v>Unknown</v>
      </c>
      <c r="K160" s="50" t="str">
        <f>'WhatsApp Tracker'!V157</f>
        <v>Unknown</v>
      </c>
      <c r="L160" s="50" t="str">
        <f>'WhatsApp Tracker'!W157</f>
        <v>Not offered</v>
      </c>
      <c r="M160" s="51" t="str">
        <f>'WhatsApp Tracker'!X157</f>
        <v/>
      </c>
      <c r="N160" s="50" t="str">
        <f>'WhatsApp Tracker'!AM157</f>
        <v>Low confidence: verify before sending</v>
      </c>
      <c r="O160" s="50" t="str">
        <f>'WhatsApp Tracker'!AC157</f>
        <v>Imported from extract_garden. Confidence: Low. Parsed from Assam Tea Directory row, verify before sending</v>
      </c>
    </row>
    <row r="161" spans="1:15" x14ac:dyDescent="0.25">
      <c r="A161" s="50">
        <f>'WhatsApp Tracker'!AH158</f>
        <v>9596</v>
      </c>
      <c r="B161" s="50" t="str">
        <f>'WhatsApp Tracker'!AA158</f>
        <v>Do not send</v>
      </c>
      <c r="C161" s="50" t="str">
        <f>'WhatsApp Tracker'!M158</f>
        <v>Hold</v>
      </c>
      <c r="D161" s="50">
        <f>'WhatsApp Tracker'!AN158</f>
        <v>5</v>
      </c>
      <c r="E161" s="50" t="str">
        <f>'WhatsApp Tracker'!AL158</f>
        <v>Parsed directory row</v>
      </c>
      <c r="F161" s="50" t="str">
        <f>'WhatsApp Tracker'!B158</f>
        <v>Imported contact</v>
      </c>
      <c r="G161" s="50">
        <f>'WhatsApp Tracker'!C158</f>
        <v>0</v>
      </c>
      <c r="H161" s="50" t="str">
        <f>'WhatsApp Tracker'!D158</f>
        <v>9435279922</v>
      </c>
      <c r="I161" s="50" t="str">
        <f>'WhatsApp Tracker'!T158</f>
        <v>Not sent</v>
      </c>
      <c r="J161" s="50" t="str">
        <f>'WhatsApp Tracker'!U158</f>
        <v>Unknown</v>
      </c>
      <c r="K161" s="50" t="str">
        <f>'WhatsApp Tracker'!V158</f>
        <v>Unknown</v>
      </c>
      <c r="L161" s="50" t="str">
        <f>'WhatsApp Tracker'!W158</f>
        <v>Not offered</v>
      </c>
      <c r="M161" s="51" t="str">
        <f>'WhatsApp Tracker'!X158</f>
        <v/>
      </c>
      <c r="N161" s="50" t="str">
        <f>'WhatsApp Tracker'!AM158</f>
        <v>Low confidence: verify before sending</v>
      </c>
      <c r="O161" s="50" t="str">
        <f>'WhatsApp Tracker'!AC158</f>
        <v>Imported from extract_garden. Confidence: Low. Parsed from Assam Tea Directory row, verify before sending</v>
      </c>
    </row>
    <row r="162" spans="1:15" x14ac:dyDescent="0.25">
      <c r="A162" s="50">
        <f>'WhatsApp Tracker'!AH159</f>
        <v>9596</v>
      </c>
      <c r="B162" s="50" t="str">
        <f>'WhatsApp Tracker'!AA159</f>
        <v>Do not send</v>
      </c>
      <c r="C162" s="50" t="str">
        <f>'WhatsApp Tracker'!M159</f>
        <v>Hold</v>
      </c>
      <c r="D162" s="50">
        <f>'WhatsApp Tracker'!AN159</f>
        <v>5</v>
      </c>
      <c r="E162" s="50" t="str">
        <f>'WhatsApp Tracker'!AL159</f>
        <v>Parsed directory row</v>
      </c>
      <c r="F162" s="50" t="str">
        <f>'WhatsApp Tracker'!B159</f>
        <v>Imported contact</v>
      </c>
      <c r="G162" s="50">
        <f>'WhatsApp Tracker'!C159</f>
        <v>0</v>
      </c>
      <c r="H162" s="50" t="str">
        <f>'WhatsApp Tracker'!D159</f>
        <v>9435178511</v>
      </c>
      <c r="I162" s="50" t="str">
        <f>'WhatsApp Tracker'!T159</f>
        <v>Not sent</v>
      </c>
      <c r="J162" s="50" t="str">
        <f>'WhatsApp Tracker'!U159</f>
        <v>Unknown</v>
      </c>
      <c r="K162" s="50" t="str">
        <f>'WhatsApp Tracker'!V159</f>
        <v>Unknown</v>
      </c>
      <c r="L162" s="50" t="str">
        <f>'WhatsApp Tracker'!W159</f>
        <v>Not offered</v>
      </c>
      <c r="M162" s="51" t="str">
        <f>'WhatsApp Tracker'!X159</f>
        <v/>
      </c>
      <c r="N162" s="50" t="str">
        <f>'WhatsApp Tracker'!AM159</f>
        <v>Low confidence: verify before sending</v>
      </c>
      <c r="O162" s="50" t="str">
        <f>'WhatsApp Tracker'!AC159</f>
        <v>Imported from extract_garden. Confidence: Low. Parsed from Assam Tea Directory row, verify before sending</v>
      </c>
    </row>
    <row r="163" spans="1:15" x14ac:dyDescent="0.25">
      <c r="A163" s="50">
        <f>'WhatsApp Tracker'!AH160</f>
        <v>9596</v>
      </c>
      <c r="B163" s="50" t="str">
        <f>'WhatsApp Tracker'!AA160</f>
        <v>Do not send</v>
      </c>
      <c r="C163" s="50" t="str">
        <f>'WhatsApp Tracker'!M160</f>
        <v>Hold</v>
      </c>
      <c r="D163" s="50">
        <f>'WhatsApp Tracker'!AN160</f>
        <v>5</v>
      </c>
      <c r="E163" s="50" t="str">
        <f>'WhatsApp Tracker'!AL160</f>
        <v>Parsed directory row</v>
      </c>
      <c r="F163" s="50" t="str">
        <f>'WhatsApp Tracker'!B160</f>
        <v>Imported contact</v>
      </c>
      <c r="G163" s="50">
        <f>'WhatsApp Tracker'!C160</f>
        <v>0</v>
      </c>
      <c r="H163" s="50" t="str">
        <f>'WhatsApp Tracker'!D160</f>
        <v>9678797326</v>
      </c>
      <c r="I163" s="50" t="str">
        <f>'WhatsApp Tracker'!T160</f>
        <v>Not sent</v>
      </c>
      <c r="J163" s="50" t="str">
        <f>'WhatsApp Tracker'!U160</f>
        <v>Unknown</v>
      </c>
      <c r="K163" s="50" t="str">
        <f>'WhatsApp Tracker'!V160</f>
        <v>Unknown</v>
      </c>
      <c r="L163" s="50" t="str">
        <f>'WhatsApp Tracker'!W160</f>
        <v>Not offered</v>
      </c>
      <c r="M163" s="51" t="str">
        <f>'WhatsApp Tracker'!X160</f>
        <v/>
      </c>
      <c r="N163" s="50" t="str">
        <f>'WhatsApp Tracker'!AM160</f>
        <v>Low confidence: verify before sending</v>
      </c>
      <c r="O163" s="50" t="str">
        <f>'WhatsApp Tracker'!AC160</f>
        <v>Imported from extract_garden. Confidence: Low. Parsed from Assam Tea Directory row, verify before sending</v>
      </c>
    </row>
    <row r="164" spans="1:15" x14ac:dyDescent="0.25">
      <c r="A164" s="50">
        <f>'WhatsApp Tracker'!AH161</f>
        <v>9596</v>
      </c>
      <c r="B164" s="50" t="str">
        <f>'WhatsApp Tracker'!AA161</f>
        <v>Do not send</v>
      </c>
      <c r="C164" s="50" t="str">
        <f>'WhatsApp Tracker'!M161</f>
        <v>Hold</v>
      </c>
      <c r="D164" s="50">
        <f>'WhatsApp Tracker'!AN161</f>
        <v>5</v>
      </c>
      <c r="E164" s="50" t="str">
        <f>'WhatsApp Tracker'!AL161</f>
        <v>Parsed directory row</v>
      </c>
      <c r="F164" s="50" t="str">
        <f>'WhatsApp Tracker'!B161</f>
        <v>OUPHULIACHARIALI, DIST: CO</v>
      </c>
      <c r="G164" s="50" t="str">
        <f>'WhatsApp Tracker'!C161</f>
        <v>OUPHULIACHARIALI, DIST: CO</v>
      </c>
      <c r="H164" s="50" t="str">
        <f>'WhatsApp Tracker'!D161</f>
        <v>9831171005</v>
      </c>
      <c r="I164" s="50" t="str">
        <f>'WhatsApp Tracker'!T161</f>
        <v>Not sent</v>
      </c>
      <c r="J164" s="50" t="str">
        <f>'WhatsApp Tracker'!U161</f>
        <v>Unknown</v>
      </c>
      <c r="K164" s="50" t="str">
        <f>'WhatsApp Tracker'!V161</f>
        <v>Unknown</v>
      </c>
      <c r="L164" s="50" t="str">
        <f>'WhatsApp Tracker'!W161</f>
        <v>Not offered</v>
      </c>
      <c r="M164" s="51" t="str">
        <f>'WhatsApp Tracker'!X161</f>
        <v/>
      </c>
      <c r="N164" s="50" t="str">
        <f>'WhatsApp Tracker'!AM161</f>
        <v>Low confidence: verify before sending</v>
      </c>
      <c r="O164" s="50" t="str">
        <f>'WhatsApp Tracker'!AC161</f>
        <v>Imported from extract_garden. Confidence: Low. Parsed from Assam Tea Directory row, verify before sending</v>
      </c>
    </row>
    <row r="165" spans="1:15" x14ac:dyDescent="0.25">
      <c r="A165" s="50">
        <f>'WhatsApp Tracker'!AH162</f>
        <v>9596</v>
      </c>
      <c r="B165" s="50" t="str">
        <f>'WhatsApp Tracker'!AA162</f>
        <v>Do not send</v>
      </c>
      <c r="C165" s="50" t="str">
        <f>'WhatsApp Tracker'!M162</f>
        <v>Hold</v>
      </c>
      <c r="D165" s="50">
        <f>'WhatsApp Tracker'!AN162</f>
        <v>5</v>
      </c>
      <c r="E165" s="50" t="str">
        <f>'WhatsApp Tracker'!AL162</f>
        <v>Parsed directory row</v>
      </c>
      <c r="F165" s="50" t="str">
        <f>'WhatsApp Tracker'!B162</f>
        <v>Imported contact</v>
      </c>
      <c r="G165" s="50">
        <f>'WhatsApp Tracker'!C162</f>
        <v>0</v>
      </c>
      <c r="H165" s="50" t="str">
        <f>'WhatsApp Tracker'!D162</f>
        <v>9854178350</v>
      </c>
      <c r="I165" s="50" t="str">
        <f>'WhatsApp Tracker'!T162</f>
        <v>Not sent</v>
      </c>
      <c r="J165" s="50" t="str">
        <f>'WhatsApp Tracker'!U162</f>
        <v>Unknown</v>
      </c>
      <c r="K165" s="50" t="str">
        <f>'WhatsApp Tracker'!V162</f>
        <v>Unknown</v>
      </c>
      <c r="L165" s="50" t="str">
        <f>'WhatsApp Tracker'!W162</f>
        <v>Not offered</v>
      </c>
      <c r="M165" s="51" t="str">
        <f>'WhatsApp Tracker'!X162</f>
        <v/>
      </c>
      <c r="N165" s="50" t="str">
        <f>'WhatsApp Tracker'!AM162</f>
        <v>Low confidence: verify before sending</v>
      </c>
      <c r="O165" s="50" t="str">
        <f>'WhatsApp Tracker'!AC162</f>
        <v>Imported from extract_garden. Confidence: Low. Parsed from Assam Tea Directory row, verify before sending</v>
      </c>
    </row>
    <row r="166" spans="1:15" x14ac:dyDescent="0.25">
      <c r="A166" s="50">
        <f>'WhatsApp Tracker'!AH163</f>
        <v>9596</v>
      </c>
      <c r="B166" s="50" t="str">
        <f>'WhatsApp Tracker'!AA163</f>
        <v>Do not send</v>
      </c>
      <c r="C166" s="50" t="str">
        <f>'WhatsApp Tracker'!M163</f>
        <v>Hold</v>
      </c>
      <c r="D166" s="50">
        <f>'WhatsApp Tracker'!AN163</f>
        <v>5</v>
      </c>
      <c r="E166" s="50" t="str">
        <f>'WhatsApp Tracker'!AL163</f>
        <v>Parsed directory row</v>
      </c>
      <c r="F166" s="50" t="str">
        <f>'WhatsApp Tracker'!B163</f>
        <v>Imported contact</v>
      </c>
      <c r="G166" s="50">
        <f>'WhatsApp Tracker'!C163</f>
        <v>0</v>
      </c>
      <c r="H166" s="50" t="str">
        <f>'WhatsApp Tracker'!D163</f>
        <v>9435170877</v>
      </c>
      <c r="I166" s="50" t="str">
        <f>'WhatsApp Tracker'!T163</f>
        <v>Not sent</v>
      </c>
      <c r="J166" s="50" t="str">
        <f>'WhatsApp Tracker'!U163</f>
        <v>Unknown</v>
      </c>
      <c r="K166" s="50" t="str">
        <f>'WhatsApp Tracker'!V163</f>
        <v>Unknown</v>
      </c>
      <c r="L166" s="50" t="str">
        <f>'WhatsApp Tracker'!W163</f>
        <v>Not offered</v>
      </c>
      <c r="M166" s="51" t="str">
        <f>'WhatsApp Tracker'!X163</f>
        <v/>
      </c>
      <c r="N166" s="50" t="str">
        <f>'WhatsApp Tracker'!AM163</f>
        <v>Low confidence: verify before sending</v>
      </c>
      <c r="O166" s="50" t="str">
        <f>'WhatsApp Tracker'!AC163</f>
        <v>Imported from extract_garden. Confidence: Low. Parsed from Assam Tea Directory row, verify before sending</v>
      </c>
    </row>
    <row r="167" spans="1:15" x14ac:dyDescent="0.25">
      <c r="A167" s="50">
        <f>'WhatsApp Tracker'!AH164</f>
        <v>9596</v>
      </c>
      <c r="B167" s="50" t="str">
        <f>'WhatsApp Tracker'!AA164</f>
        <v>Do not send</v>
      </c>
      <c r="C167" s="50" t="str">
        <f>'WhatsApp Tracker'!M164</f>
        <v>Hold</v>
      </c>
      <c r="D167" s="50">
        <f>'WhatsApp Tracker'!AN164</f>
        <v>5</v>
      </c>
      <c r="E167" s="50" t="str">
        <f>'WhatsApp Tracker'!AL164</f>
        <v>Parsed directory row</v>
      </c>
      <c r="F167" s="50" t="str">
        <f>'WhatsApp Tracker'!B164</f>
        <v>Imported contact</v>
      </c>
      <c r="G167" s="50">
        <f>'WhatsApp Tracker'!C164</f>
        <v>0</v>
      </c>
      <c r="H167" s="50" t="str">
        <f>'WhatsApp Tracker'!D164</f>
        <v>9435134829</v>
      </c>
      <c r="I167" s="50" t="str">
        <f>'WhatsApp Tracker'!T164</f>
        <v>Not sent</v>
      </c>
      <c r="J167" s="50" t="str">
        <f>'WhatsApp Tracker'!U164</f>
        <v>Unknown</v>
      </c>
      <c r="K167" s="50" t="str">
        <f>'WhatsApp Tracker'!V164</f>
        <v>Unknown</v>
      </c>
      <c r="L167" s="50" t="str">
        <f>'WhatsApp Tracker'!W164</f>
        <v>Not offered</v>
      </c>
      <c r="M167" s="51" t="str">
        <f>'WhatsApp Tracker'!X164</f>
        <v/>
      </c>
      <c r="N167" s="50" t="str">
        <f>'WhatsApp Tracker'!AM164</f>
        <v>Low confidence: verify before sending</v>
      </c>
      <c r="O167" s="50" t="str">
        <f>'WhatsApp Tracker'!AC164</f>
        <v>Imported from extract_garden. Confidence: Low. Parsed from Assam Tea Directory row, verify before sending</v>
      </c>
    </row>
    <row r="168" spans="1:15" x14ac:dyDescent="0.25">
      <c r="A168" s="50">
        <f>'WhatsApp Tracker'!AH165</f>
        <v>9596</v>
      </c>
      <c r="B168" s="50" t="str">
        <f>'WhatsApp Tracker'!AA165</f>
        <v>Do not send</v>
      </c>
      <c r="C168" s="50" t="str">
        <f>'WhatsApp Tracker'!M165</f>
        <v>Hold</v>
      </c>
      <c r="D168" s="50">
        <f>'WhatsApp Tracker'!AN165</f>
        <v>5</v>
      </c>
      <c r="E168" s="50" t="str">
        <f>'WhatsApp Tracker'!AL165</f>
        <v>Parsed directory row</v>
      </c>
      <c r="F168" s="50" t="str">
        <f>'WhatsApp Tracker'!B165</f>
        <v>Imported contact</v>
      </c>
      <c r="G168" s="50">
        <f>'WhatsApp Tracker'!C165</f>
        <v>0</v>
      </c>
      <c r="H168" s="50" t="str">
        <f>'WhatsApp Tracker'!D165</f>
        <v>9435532528</v>
      </c>
      <c r="I168" s="50" t="str">
        <f>'WhatsApp Tracker'!T165</f>
        <v>Not sent</v>
      </c>
      <c r="J168" s="50" t="str">
        <f>'WhatsApp Tracker'!U165</f>
        <v>Unknown</v>
      </c>
      <c r="K168" s="50" t="str">
        <f>'WhatsApp Tracker'!V165</f>
        <v>Unknown</v>
      </c>
      <c r="L168" s="50" t="str">
        <f>'WhatsApp Tracker'!W165</f>
        <v>Not offered</v>
      </c>
      <c r="M168" s="51" t="str">
        <f>'WhatsApp Tracker'!X165</f>
        <v/>
      </c>
      <c r="N168" s="50" t="str">
        <f>'WhatsApp Tracker'!AM165</f>
        <v>Low confidence: verify before sending</v>
      </c>
      <c r="O168" s="50" t="str">
        <f>'WhatsApp Tracker'!AC165</f>
        <v>Imported from extract_garden. Confidence: Low. Parsed from Assam Tea Directory row, verify before sending</v>
      </c>
    </row>
    <row r="169" spans="1:15" x14ac:dyDescent="0.25">
      <c r="A169" s="50">
        <f>'WhatsApp Tracker'!AH166</f>
        <v>9596</v>
      </c>
      <c r="B169" s="50" t="str">
        <f>'WhatsApp Tracker'!AA166</f>
        <v>Do not send</v>
      </c>
      <c r="C169" s="50" t="str">
        <f>'WhatsApp Tracker'!M166</f>
        <v>Hold</v>
      </c>
      <c r="D169" s="50">
        <f>'WhatsApp Tracker'!AN166</f>
        <v>5</v>
      </c>
      <c r="E169" s="50" t="str">
        <f>'WhatsApp Tracker'!AL166</f>
        <v>Parsed directory row</v>
      </c>
      <c r="F169" s="50" t="str">
        <f>'WhatsApp Tracker'!B166</f>
        <v>Imported contact</v>
      </c>
      <c r="G169" s="50">
        <f>'WhatsApp Tracker'!C166</f>
        <v>0</v>
      </c>
      <c r="H169" s="50" t="str">
        <f>'WhatsApp Tracker'!D166</f>
        <v>8011668091</v>
      </c>
      <c r="I169" s="50" t="str">
        <f>'WhatsApp Tracker'!T166</f>
        <v>Not sent</v>
      </c>
      <c r="J169" s="50" t="str">
        <f>'WhatsApp Tracker'!U166</f>
        <v>Unknown</v>
      </c>
      <c r="K169" s="50" t="str">
        <f>'WhatsApp Tracker'!V166</f>
        <v>Unknown</v>
      </c>
      <c r="L169" s="50" t="str">
        <f>'WhatsApp Tracker'!W166</f>
        <v>Not offered</v>
      </c>
      <c r="M169" s="51" t="str">
        <f>'WhatsApp Tracker'!X166</f>
        <v/>
      </c>
      <c r="N169" s="50" t="str">
        <f>'WhatsApp Tracker'!AM166</f>
        <v>Low confidence: verify before sending</v>
      </c>
      <c r="O169" s="50" t="str">
        <f>'WhatsApp Tracker'!AC166</f>
        <v>Imported from extract_garden. Confidence: Low. Parsed from Assam Tea Directory row, verify before sending</v>
      </c>
    </row>
    <row r="170" spans="1:15" x14ac:dyDescent="0.25">
      <c r="A170" s="50">
        <f>'WhatsApp Tracker'!AH167</f>
        <v>9596</v>
      </c>
      <c r="B170" s="50" t="str">
        <f>'WhatsApp Tracker'!AA167</f>
        <v>Do not send</v>
      </c>
      <c r="C170" s="50" t="str">
        <f>'WhatsApp Tracker'!M167</f>
        <v>Hold</v>
      </c>
      <c r="D170" s="50">
        <f>'WhatsApp Tracker'!AN167</f>
        <v>5</v>
      </c>
      <c r="E170" s="50" t="str">
        <f>'WhatsApp Tracker'!AL167</f>
        <v>Parsed directory row</v>
      </c>
      <c r="F170" s="50" t="str">
        <f>'WhatsApp Tracker'!B167</f>
        <v>Imported contact</v>
      </c>
      <c r="G170" s="50">
        <f>'WhatsApp Tracker'!C167</f>
        <v>0</v>
      </c>
      <c r="H170" s="50" t="str">
        <f>'WhatsApp Tracker'!D167</f>
        <v>9435130842</v>
      </c>
      <c r="I170" s="50" t="str">
        <f>'WhatsApp Tracker'!T167</f>
        <v>Not sent</v>
      </c>
      <c r="J170" s="50" t="str">
        <f>'WhatsApp Tracker'!U167</f>
        <v>Unknown</v>
      </c>
      <c r="K170" s="50" t="str">
        <f>'WhatsApp Tracker'!V167</f>
        <v>Unknown</v>
      </c>
      <c r="L170" s="50" t="str">
        <f>'WhatsApp Tracker'!W167</f>
        <v>Not offered</v>
      </c>
      <c r="M170" s="51" t="str">
        <f>'WhatsApp Tracker'!X167</f>
        <v/>
      </c>
      <c r="N170" s="50" t="str">
        <f>'WhatsApp Tracker'!AM167</f>
        <v>Low confidence: verify before sending</v>
      </c>
      <c r="O170" s="50" t="str">
        <f>'WhatsApp Tracker'!AC167</f>
        <v>Imported from extract_garden. Confidence: Low. Parsed from Assam Tea Directory row, verify before sending</v>
      </c>
    </row>
    <row r="171" spans="1:15" x14ac:dyDescent="0.25">
      <c r="A171" s="50">
        <f>'WhatsApp Tracker'!AH168</f>
        <v>9596</v>
      </c>
      <c r="B171" s="50" t="str">
        <f>'WhatsApp Tracker'!AA168</f>
        <v>Do not send</v>
      </c>
      <c r="C171" s="50" t="str">
        <f>'WhatsApp Tracker'!M168</f>
        <v>Hold</v>
      </c>
      <c r="D171" s="50">
        <f>'WhatsApp Tracker'!AN168</f>
        <v>5</v>
      </c>
      <c r="E171" s="50" t="str">
        <f>'WhatsApp Tracker'!AL168</f>
        <v>Parsed directory row</v>
      </c>
      <c r="F171" s="50" t="str">
        <f>'WhatsApp Tracker'!B168</f>
        <v>Imported contact</v>
      </c>
      <c r="G171" s="50">
        <f>'WhatsApp Tracker'!C168</f>
        <v>0</v>
      </c>
      <c r="H171" s="50" t="str">
        <f>'WhatsApp Tracker'!D168</f>
        <v>9435335860</v>
      </c>
      <c r="I171" s="50" t="str">
        <f>'WhatsApp Tracker'!T168</f>
        <v>Not sent</v>
      </c>
      <c r="J171" s="50" t="str">
        <f>'WhatsApp Tracker'!U168</f>
        <v>Unknown</v>
      </c>
      <c r="K171" s="50" t="str">
        <f>'WhatsApp Tracker'!V168</f>
        <v>Unknown</v>
      </c>
      <c r="L171" s="50" t="str">
        <f>'WhatsApp Tracker'!W168</f>
        <v>Not offered</v>
      </c>
      <c r="M171" s="51" t="str">
        <f>'WhatsApp Tracker'!X168</f>
        <v/>
      </c>
      <c r="N171" s="50" t="str">
        <f>'WhatsApp Tracker'!AM168</f>
        <v>Low confidence: verify before sending</v>
      </c>
      <c r="O171" s="50" t="str">
        <f>'WhatsApp Tracker'!AC168</f>
        <v>Imported from extract_garden. Confidence: Low. Parsed from Assam Tea Directory row, verify before sending</v>
      </c>
    </row>
    <row r="172" spans="1:15" x14ac:dyDescent="0.25">
      <c r="A172" s="50">
        <f>'WhatsApp Tracker'!AH169</f>
        <v>9596</v>
      </c>
      <c r="B172" s="50" t="str">
        <f>'WhatsApp Tracker'!AA169</f>
        <v>Do not send</v>
      </c>
      <c r="C172" s="50" t="str">
        <f>'WhatsApp Tracker'!M169</f>
        <v>Hold</v>
      </c>
      <c r="D172" s="50">
        <f>'WhatsApp Tracker'!AN169</f>
        <v>5</v>
      </c>
      <c r="E172" s="50" t="str">
        <f>'WhatsApp Tracker'!AL169</f>
        <v>Parsed directory row</v>
      </c>
      <c r="F172" s="50" t="str">
        <f>'WhatsApp Tracker'!B169</f>
        <v>Imported contact</v>
      </c>
      <c r="G172" s="50">
        <f>'WhatsApp Tracker'!C169</f>
        <v>0</v>
      </c>
      <c r="H172" s="50" t="str">
        <f>'WhatsApp Tracker'!D169</f>
        <v>9613852219</v>
      </c>
      <c r="I172" s="50" t="str">
        <f>'WhatsApp Tracker'!T169</f>
        <v>Not sent</v>
      </c>
      <c r="J172" s="50" t="str">
        <f>'WhatsApp Tracker'!U169</f>
        <v>Unknown</v>
      </c>
      <c r="K172" s="50" t="str">
        <f>'WhatsApp Tracker'!V169</f>
        <v>Unknown</v>
      </c>
      <c r="L172" s="50" t="str">
        <f>'WhatsApp Tracker'!W169</f>
        <v>Not offered</v>
      </c>
      <c r="M172" s="51" t="str">
        <f>'WhatsApp Tracker'!X169</f>
        <v/>
      </c>
      <c r="N172" s="50" t="str">
        <f>'WhatsApp Tracker'!AM169</f>
        <v>Low confidence: verify before sending</v>
      </c>
      <c r="O172" s="50" t="str">
        <f>'WhatsApp Tracker'!AC169</f>
        <v>Imported from extract_garden. Confidence: Low. Parsed from Assam Tea Directory row, verify before sending</v>
      </c>
    </row>
    <row r="173" spans="1:15" x14ac:dyDescent="0.25">
      <c r="A173" s="50">
        <f>'WhatsApp Tracker'!AH170</f>
        <v>9596</v>
      </c>
      <c r="B173" s="50" t="str">
        <f>'WhatsApp Tracker'!AA170</f>
        <v>Do not send</v>
      </c>
      <c r="C173" s="50" t="str">
        <f>'WhatsApp Tracker'!M170</f>
        <v>Hold</v>
      </c>
      <c r="D173" s="50">
        <f>'WhatsApp Tracker'!AN170</f>
        <v>5</v>
      </c>
      <c r="E173" s="50" t="str">
        <f>'WhatsApp Tracker'!AL170</f>
        <v>Parsed directory row</v>
      </c>
      <c r="F173" s="50" t="str">
        <f>'WhatsApp Tracker'!B170</f>
        <v>Imported contact</v>
      </c>
      <c r="G173" s="50">
        <f>'WhatsApp Tracker'!C170</f>
        <v>0</v>
      </c>
      <c r="H173" s="50" t="str">
        <f>'WhatsApp Tracker'!D170</f>
        <v>9435158810</v>
      </c>
      <c r="I173" s="50" t="str">
        <f>'WhatsApp Tracker'!T170</f>
        <v>Not sent</v>
      </c>
      <c r="J173" s="50" t="str">
        <f>'WhatsApp Tracker'!U170</f>
        <v>Unknown</v>
      </c>
      <c r="K173" s="50" t="str">
        <f>'WhatsApp Tracker'!V170</f>
        <v>Unknown</v>
      </c>
      <c r="L173" s="50" t="str">
        <f>'WhatsApp Tracker'!W170</f>
        <v>Not offered</v>
      </c>
      <c r="M173" s="51" t="str">
        <f>'WhatsApp Tracker'!X170</f>
        <v/>
      </c>
      <c r="N173" s="50" t="str">
        <f>'WhatsApp Tracker'!AM170</f>
        <v>Low confidence: verify before sending</v>
      </c>
      <c r="O173" s="50" t="str">
        <f>'WhatsApp Tracker'!AC170</f>
        <v>Imported from extract_garden. Confidence: Low. Parsed from Assam Tea Directory row, verify before sending</v>
      </c>
    </row>
    <row r="174" spans="1:15" x14ac:dyDescent="0.25">
      <c r="A174" s="50">
        <f>'WhatsApp Tracker'!AH171</f>
        <v>9596</v>
      </c>
      <c r="B174" s="50" t="str">
        <f>'WhatsApp Tracker'!AA171</f>
        <v>Do not send</v>
      </c>
      <c r="C174" s="50" t="str">
        <f>'WhatsApp Tracker'!M171</f>
        <v>Hold</v>
      </c>
      <c r="D174" s="50">
        <f>'WhatsApp Tracker'!AN171</f>
        <v>5</v>
      </c>
      <c r="E174" s="50" t="str">
        <f>'WhatsApp Tracker'!AL171</f>
        <v>Parsed directory row</v>
      </c>
      <c r="F174" s="50" t="str">
        <f>'WhatsApp Tracker'!B171</f>
        <v>Imported contact</v>
      </c>
      <c r="G174" s="50">
        <f>'WhatsApp Tracker'!C171</f>
        <v>0</v>
      </c>
      <c r="H174" s="50" t="str">
        <f>'WhatsApp Tracker'!D171</f>
        <v>9433602746</v>
      </c>
      <c r="I174" s="50" t="str">
        <f>'WhatsApp Tracker'!T171</f>
        <v>Not sent</v>
      </c>
      <c r="J174" s="50" t="str">
        <f>'WhatsApp Tracker'!U171</f>
        <v>Unknown</v>
      </c>
      <c r="K174" s="50" t="str">
        <f>'WhatsApp Tracker'!V171</f>
        <v>Unknown</v>
      </c>
      <c r="L174" s="50" t="str">
        <f>'WhatsApp Tracker'!W171</f>
        <v>Not offered</v>
      </c>
      <c r="M174" s="51" t="str">
        <f>'WhatsApp Tracker'!X171</f>
        <v/>
      </c>
      <c r="N174" s="50" t="str">
        <f>'WhatsApp Tracker'!AM171</f>
        <v>Low confidence: verify before sending</v>
      </c>
      <c r="O174" s="50" t="str">
        <f>'WhatsApp Tracker'!AC171</f>
        <v>Imported from extract_garden. Confidence: Low. Parsed from Assam Tea Directory row, verify before sending</v>
      </c>
    </row>
    <row r="175" spans="1:15" x14ac:dyDescent="0.25">
      <c r="A175" s="50">
        <f>'WhatsApp Tracker'!AH172</f>
        <v>9596</v>
      </c>
      <c r="B175" s="50" t="str">
        <f>'WhatsApp Tracker'!AA172</f>
        <v>Do not send</v>
      </c>
      <c r="C175" s="50" t="str">
        <f>'WhatsApp Tracker'!M172</f>
        <v>Hold</v>
      </c>
      <c r="D175" s="50">
        <f>'WhatsApp Tracker'!AN172</f>
        <v>5</v>
      </c>
      <c r="E175" s="50" t="str">
        <f>'WhatsApp Tracker'!AL172</f>
        <v>Parsed directory row</v>
      </c>
      <c r="F175" s="50" t="str">
        <f>'WhatsApp Tracker'!B172</f>
        <v>Imported contact</v>
      </c>
      <c r="G175" s="50">
        <f>'WhatsApp Tracker'!C172</f>
        <v>0</v>
      </c>
      <c r="H175" s="50" t="str">
        <f>'WhatsApp Tracker'!D172</f>
        <v>9435053610</v>
      </c>
      <c r="I175" s="50" t="str">
        <f>'WhatsApp Tracker'!T172</f>
        <v>Not sent</v>
      </c>
      <c r="J175" s="50" t="str">
        <f>'WhatsApp Tracker'!U172</f>
        <v>Unknown</v>
      </c>
      <c r="K175" s="50" t="str">
        <f>'WhatsApp Tracker'!V172</f>
        <v>Unknown</v>
      </c>
      <c r="L175" s="50" t="str">
        <f>'WhatsApp Tracker'!W172</f>
        <v>Not offered</v>
      </c>
      <c r="M175" s="51" t="str">
        <f>'WhatsApp Tracker'!X172</f>
        <v/>
      </c>
      <c r="N175" s="50" t="str">
        <f>'WhatsApp Tracker'!AM172</f>
        <v>Low confidence: verify before sending</v>
      </c>
      <c r="O175" s="50" t="str">
        <f>'WhatsApp Tracker'!AC172</f>
        <v>Imported from extract_garden. Confidence: Low. Parsed from Assam Tea Directory row, verify before sending</v>
      </c>
    </row>
    <row r="176" spans="1:15" x14ac:dyDescent="0.25">
      <c r="A176" s="50">
        <f>'WhatsApp Tracker'!AH173</f>
        <v>9596</v>
      </c>
      <c r="B176" s="50" t="str">
        <f>'WhatsApp Tracker'!AA173</f>
        <v>Do not send</v>
      </c>
      <c r="C176" s="50" t="str">
        <f>'WhatsApp Tracker'!M173</f>
        <v>Hold</v>
      </c>
      <c r="D176" s="50">
        <f>'WhatsApp Tracker'!AN173</f>
        <v>5</v>
      </c>
      <c r="E176" s="50" t="str">
        <f>'WhatsApp Tracker'!AL173</f>
        <v>Parsed directory row</v>
      </c>
      <c r="F176" s="50" t="str">
        <f>'WhatsApp Tracker'!B173</f>
        <v>Imported contact</v>
      </c>
      <c r="G176" s="50">
        <f>'WhatsApp Tracker'!C173</f>
        <v>0</v>
      </c>
      <c r="H176" s="50" t="str">
        <f>'WhatsApp Tracker'!D173</f>
        <v>9435054366</v>
      </c>
      <c r="I176" s="50" t="str">
        <f>'WhatsApp Tracker'!T173</f>
        <v>Not sent</v>
      </c>
      <c r="J176" s="50" t="str">
        <f>'WhatsApp Tracker'!U173</f>
        <v>Unknown</v>
      </c>
      <c r="K176" s="50" t="str">
        <f>'WhatsApp Tracker'!V173</f>
        <v>Unknown</v>
      </c>
      <c r="L176" s="50" t="str">
        <f>'WhatsApp Tracker'!W173</f>
        <v>Not offered</v>
      </c>
      <c r="M176" s="51" t="str">
        <f>'WhatsApp Tracker'!X173</f>
        <v/>
      </c>
      <c r="N176" s="50" t="str">
        <f>'WhatsApp Tracker'!AM173</f>
        <v>Low confidence: verify before sending</v>
      </c>
      <c r="O176" s="50" t="str">
        <f>'WhatsApp Tracker'!AC173</f>
        <v>Imported from extract_garden. Confidence: Low. Parsed from Assam Tea Directory row, verify before sending</v>
      </c>
    </row>
    <row r="177" spans="1:15" x14ac:dyDescent="0.25">
      <c r="A177" s="50">
        <f>'WhatsApp Tracker'!AH174</f>
        <v>9596</v>
      </c>
      <c r="B177" s="50" t="str">
        <f>'WhatsApp Tracker'!AA174</f>
        <v>Do not send</v>
      </c>
      <c r="C177" s="50" t="str">
        <f>'WhatsApp Tracker'!M174</f>
        <v>Hold</v>
      </c>
      <c r="D177" s="50">
        <f>'WhatsApp Tracker'!AN174</f>
        <v>5</v>
      </c>
      <c r="E177" s="50" t="str">
        <f>'WhatsApp Tracker'!AL174</f>
        <v>Parsed directory row</v>
      </c>
      <c r="F177" s="50" t="str">
        <f>'WhatsApp Tracker'!B174</f>
        <v>Imported contact</v>
      </c>
      <c r="G177" s="50">
        <f>'WhatsApp Tracker'!C174</f>
        <v>0</v>
      </c>
      <c r="H177" s="50" t="str">
        <f>'WhatsApp Tracker'!D174</f>
        <v>9435422512</v>
      </c>
      <c r="I177" s="50" t="str">
        <f>'WhatsApp Tracker'!T174</f>
        <v>Not sent</v>
      </c>
      <c r="J177" s="50" t="str">
        <f>'WhatsApp Tracker'!U174</f>
        <v>Unknown</v>
      </c>
      <c r="K177" s="50" t="str">
        <f>'WhatsApp Tracker'!V174</f>
        <v>Unknown</v>
      </c>
      <c r="L177" s="50" t="str">
        <f>'WhatsApp Tracker'!W174</f>
        <v>Not offered</v>
      </c>
      <c r="M177" s="51" t="str">
        <f>'WhatsApp Tracker'!X174</f>
        <v/>
      </c>
      <c r="N177" s="50" t="str">
        <f>'WhatsApp Tracker'!AM174</f>
        <v>Low confidence: verify before sending</v>
      </c>
      <c r="O177" s="50" t="str">
        <f>'WhatsApp Tracker'!AC174</f>
        <v>Imported from extract_garden. Confidence: Low. Parsed from Assam Tea Directory row, verify before sending</v>
      </c>
    </row>
    <row r="178" spans="1:15" x14ac:dyDescent="0.25">
      <c r="A178" s="50">
        <f>'WhatsApp Tracker'!AH175</f>
        <v>9596</v>
      </c>
      <c r="B178" s="50" t="str">
        <f>'WhatsApp Tracker'!AA175</f>
        <v>Do not send</v>
      </c>
      <c r="C178" s="50" t="str">
        <f>'WhatsApp Tracker'!M175</f>
        <v>Hold</v>
      </c>
      <c r="D178" s="50">
        <f>'WhatsApp Tracker'!AN175</f>
        <v>5</v>
      </c>
      <c r="E178" s="50" t="str">
        <f>'WhatsApp Tracker'!AL175</f>
        <v>Parsed directory row</v>
      </c>
      <c r="F178" s="50" t="str">
        <f>'WhatsApp Tracker'!B175</f>
        <v>Imported contact</v>
      </c>
      <c r="G178" s="50">
        <f>'WhatsApp Tracker'!C175</f>
        <v>0</v>
      </c>
      <c r="H178" s="50" t="str">
        <f>'WhatsApp Tracker'!D175</f>
        <v>9613732229</v>
      </c>
      <c r="I178" s="50" t="str">
        <f>'WhatsApp Tracker'!T175</f>
        <v>Not sent</v>
      </c>
      <c r="J178" s="50" t="str">
        <f>'WhatsApp Tracker'!U175</f>
        <v>Unknown</v>
      </c>
      <c r="K178" s="50" t="str">
        <f>'WhatsApp Tracker'!V175</f>
        <v>Unknown</v>
      </c>
      <c r="L178" s="50" t="str">
        <f>'WhatsApp Tracker'!W175</f>
        <v>Not offered</v>
      </c>
      <c r="M178" s="51" t="str">
        <f>'WhatsApp Tracker'!X175</f>
        <v/>
      </c>
      <c r="N178" s="50" t="str">
        <f>'WhatsApp Tracker'!AM175</f>
        <v>Low confidence: verify before sending</v>
      </c>
      <c r="O178" s="50" t="str">
        <f>'WhatsApp Tracker'!AC175</f>
        <v>Imported from extract_garden. Confidence: Low. Parsed from Assam Tea Directory row, verify before sending</v>
      </c>
    </row>
    <row r="179" spans="1:15" x14ac:dyDescent="0.25">
      <c r="A179" s="50">
        <f>'WhatsApp Tracker'!AH176</f>
        <v>9596</v>
      </c>
      <c r="B179" s="50" t="str">
        <f>'WhatsApp Tracker'!AA176</f>
        <v>Do not send</v>
      </c>
      <c r="C179" s="50" t="str">
        <f>'WhatsApp Tracker'!M176</f>
        <v>Hold</v>
      </c>
      <c r="D179" s="50">
        <f>'WhatsApp Tracker'!AN176</f>
        <v>5</v>
      </c>
      <c r="E179" s="50" t="str">
        <f>'WhatsApp Tracker'!AL176</f>
        <v>Parsed directory row</v>
      </c>
      <c r="F179" s="50" t="str">
        <f>'WhatsApp Tracker'!B176</f>
        <v>Imported contact</v>
      </c>
      <c r="G179" s="50">
        <f>'WhatsApp Tracker'!C176</f>
        <v>0</v>
      </c>
      <c r="H179" s="50" t="str">
        <f>'WhatsApp Tracker'!D176</f>
        <v>9435700488</v>
      </c>
      <c r="I179" s="50" t="str">
        <f>'WhatsApp Tracker'!T176</f>
        <v>Not sent</v>
      </c>
      <c r="J179" s="50" t="str">
        <f>'WhatsApp Tracker'!U176</f>
        <v>Unknown</v>
      </c>
      <c r="K179" s="50" t="str">
        <f>'WhatsApp Tracker'!V176</f>
        <v>Unknown</v>
      </c>
      <c r="L179" s="50" t="str">
        <f>'WhatsApp Tracker'!W176</f>
        <v>Not offered</v>
      </c>
      <c r="M179" s="51" t="str">
        <f>'WhatsApp Tracker'!X176</f>
        <v/>
      </c>
      <c r="N179" s="50" t="str">
        <f>'WhatsApp Tracker'!AM176</f>
        <v>Low confidence: verify before sending</v>
      </c>
      <c r="O179" s="50" t="str">
        <f>'WhatsApp Tracker'!AC176</f>
        <v>Imported from extract_garden. Confidence: Low. Parsed from Assam Tea Directory row, verify before sending</v>
      </c>
    </row>
    <row r="180" spans="1:15" x14ac:dyDescent="0.25">
      <c r="A180" s="50">
        <f>'WhatsApp Tracker'!AH177</f>
        <v>9596</v>
      </c>
      <c r="B180" s="50" t="str">
        <f>'WhatsApp Tracker'!AA177</f>
        <v>Do not send</v>
      </c>
      <c r="C180" s="50" t="str">
        <f>'WhatsApp Tracker'!M177</f>
        <v>Hold</v>
      </c>
      <c r="D180" s="50">
        <f>'WhatsApp Tracker'!AN177</f>
        <v>5</v>
      </c>
      <c r="E180" s="50" t="str">
        <f>'WhatsApp Tracker'!AL177</f>
        <v>Parsed directory row</v>
      </c>
      <c r="F180" s="50" t="str">
        <f>'WhatsApp Tracker'!B177</f>
        <v>Imported contact</v>
      </c>
      <c r="G180" s="50">
        <f>'WhatsApp Tracker'!C177</f>
        <v>0</v>
      </c>
      <c r="H180" s="50" t="str">
        <f>'WhatsApp Tracker'!D177</f>
        <v>9435053849</v>
      </c>
      <c r="I180" s="50" t="str">
        <f>'WhatsApp Tracker'!T177</f>
        <v>Not sent</v>
      </c>
      <c r="J180" s="50" t="str">
        <f>'WhatsApp Tracker'!U177</f>
        <v>Unknown</v>
      </c>
      <c r="K180" s="50" t="str">
        <f>'WhatsApp Tracker'!V177</f>
        <v>Unknown</v>
      </c>
      <c r="L180" s="50" t="str">
        <f>'WhatsApp Tracker'!W177</f>
        <v>Not offered</v>
      </c>
      <c r="M180" s="51" t="str">
        <f>'WhatsApp Tracker'!X177</f>
        <v/>
      </c>
      <c r="N180" s="50" t="str">
        <f>'WhatsApp Tracker'!AM177</f>
        <v>Low confidence: verify before sending</v>
      </c>
      <c r="O180" s="50" t="str">
        <f>'WhatsApp Tracker'!AC177</f>
        <v>Imported from extract_garden. Confidence: Low. Parsed from Assam Tea Directory row, verify before sending</v>
      </c>
    </row>
    <row r="181" spans="1:15" x14ac:dyDescent="0.25">
      <c r="A181" s="50">
        <f>'WhatsApp Tracker'!AH178</f>
        <v>9596</v>
      </c>
      <c r="B181" s="50" t="str">
        <f>'WhatsApp Tracker'!AA178</f>
        <v>Do not send</v>
      </c>
      <c r="C181" s="50" t="str">
        <f>'WhatsApp Tracker'!M178</f>
        <v>Hold</v>
      </c>
      <c r="D181" s="50">
        <f>'WhatsApp Tracker'!AN178</f>
        <v>5</v>
      </c>
      <c r="E181" s="50" t="str">
        <f>'WhatsApp Tracker'!AL178</f>
        <v>Parsed directory row</v>
      </c>
      <c r="F181" s="50" t="str">
        <f>'WhatsApp Tracker'!B178</f>
        <v>Imported contact</v>
      </c>
      <c r="G181" s="50">
        <f>'WhatsApp Tracker'!C178</f>
        <v>0</v>
      </c>
      <c r="H181" s="50" t="str">
        <f>'WhatsApp Tracker'!D178</f>
        <v>9435051003</v>
      </c>
      <c r="I181" s="50" t="str">
        <f>'WhatsApp Tracker'!T178</f>
        <v>Not sent</v>
      </c>
      <c r="J181" s="50" t="str">
        <f>'WhatsApp Tracker'!U178</f>
        <v>Unknown</v>
      </c>
      <c r="K181" s="50" t="str">
        <f>'WhatsApp Tracker'!V178</f>
        <v>Unknown</v>
      </c>
      <c r="L181" s="50" t="str">
        <f>'WhatsApp Tracker'!W178</f>
        <v>Not offered</v>
      </c>
      <c r="M181" s="51" t="str">
        <f>'WhatsApp Tracker'!X178</f>
        <v/>
      </c>
      <c r="N181" s="50" t="str">
        <f>'WhatsApp Tracker'!AM178</f>
        <v>Low confidence: verify before sending</v>
      </c>
      <c r="O181" s="50" t="str">
        <f>'WhatsApp Tracker'!AC178</f>
        <v>Imported from extract_garden. Confidence: Low. Parsed from Assam Tea Directory row, verify before sending</v>
      </c>
    </row>
    <row r="182" spans="1:15" x14ac:dyDescent="0.25">
      <c r="A182" s="50">
        <f>'WhatsApp Tracker'!AH179</f>
        <v>9596</v>
      </c>
      <c r="B182" s="50" t="str">
        <f>'WhatsApp Tracker'!AA179</f>
        <v>Do not send</v>
      </c>
      <c r="C182" s="50" t="str">
        <f>'WhatsApp Tracker'!M179</f>
        <v>Hold</v>
      </c>
      <c r="D182" s="50">
        <f>'WhatsApp Tracker'!AN179</f>
        <v>5</v>
      </c>
      <c r="E182" s="50" t="str">
        <f>'WhatsApp Tracker'!AL179</f>
        <v>Parsed directory row</v>
      </c>
      <c r="F182" s="50" t="str">
        <f>'WhatsApp Tracker'!B179</f>
        <v>Imported contact</v>
      </c>
      <c r="G182" s="50">
        <f>'WhatsApp Tracker'!C179</f>
        <v>0</v>
      </c>
      <c r="H182" s="50" t="str">
        <f>'WhatsApp Tracker'!D179</f>
        <v>9435034697</v>
      </c>
      <c r="I182" s="50" t="str">
        <f>'WhatsApp Tracker'!T179</f>
        <v>Not sent</v>
      </c>
      <c r="J182" s="50" t="str">
        <f>'WhatsApp Tracker'!U179</f>
        <v>Unknown</v>
      </c>
      <c r="K182" s="50" t="str">
        <f>'WhatsApp Tracker'!V179</f>
        <v>Unknown</v>
      </c>
      <c r="L182" s="50" t="str">
        <f>'WhatsApp Tracker'!W179</f>
        <v>Not offered</v>
      </c>
      <c r="M182" s="51" t="str">
        <f>'WhatsApp Tracker'!X179</f>
        <v/>
      </c>
      <c r="N182" s="50" t="str">
        <f>'WhatsApp Tracker'!AM179</f>
        <v>Low confidence: verify before sending</v>
      </c>
      <c r="O182" s="50" t="str">
        <f>'WhatsApp Tracker'!AC179</f>
        <v>Imported from extract_garden. Confidence: Low. Parsed from Assam Tea Directory row, verify before sending</v>
      </c>
    </row>
    <row r="183" spans="1:15" x14ac:dyDescent="0.25">
      <c r="A183" s="50">
        <f>'WhatsApp Tracker'!AH180</f>
        <v>9596</v>
      </c>
      <c r="B183" s="50" t="str">
        <f>'WhatsApp Tracker'!AA180</f>
        <v>Do not send</v>
      </c>
      <c r="C183" s="50" t="str">
        <f>'WhatsApp Tracker'!M180</f>
        <v>Hold</v>
      </c>
      <c r="D183" s="50">
        <f>'WhatsApp Tracker'!AN180</f>
        <v>5</v>
      </c>
      <c r="E183" s="50" t="str">
        <f>'WhatsApp Tracker'!AL180</f>
        <v>Parsed directory row</v>
      </c>
      <c r="F183" s="50" t="str">
        <f>'WhatsApp Tracker'!B180</f>
        <v>Imported contact</v>
      </c>
      <c r="G183" s="50">
        <f>'WhatsApp Tracker'!C180</f>
        <v>0</v>
      </c>
      <c r="H183" s="50" t="str">
        <f>'WhatsApp Tracker'!D180</f>
        <v>9831011767</v>
      </c>
      <c r="I183" s="50" t="str">
        <f>'WhatsApp Tracker'!T180</f>
        <v>Not sent</v>
      </c>
      <c r="J183" s="50" t="str">
        <f>'WhatsApp Tracker'!U180</f>
        <v>Unknown</v>
      </c>
      <c r="K183" s="50" t="str">
        <f>'WhatsApp Tracker'!V180</f>
        <v>Unknown</v>
      </c>
      <c r="L183" s="50" t="str">
        <f>'WhatsApp Tracker'!W180</f>
        <v>Not offered</v>
      </c>
      <c r="M183" s="51" t="str">
        <f>'WhatsApp Tracker'!X180</f>
        <v/>
      </c>
      <c r="N183" s="50" t="str">
        <f>'WhatsApp Tracker'!AM180</f>
        <v>Low confidence: verify before sending</v>
      </c>
      <c r="O183" s="50" t="str">
        <f>'WhatsApp Tracker'!AC180</f>
        <v>Imported from extract_garden. Confidence: Low. Parsed from Assam Tea Directory row, verify before sending</v>
      </c>
    </row>
    <row r="184" spans="1:15" x14ac:dyDescent="0.25">
      <c r="A184" s="50">
        <f>'WhatsApp Tracker'!AH181</f>
        <v>9596</v>
      </c>
      <c r="B184" s="50" t="str">
        <f>'WhatsApp Tracker'!AA181</f>
        <v>Do not send</v>
      </c>
      <c r="C184" s="50" t="str">
        <f>'WhatsApp Tracker'!M181</f>
        <v>Hold</v>
      </c>
      <c r="D184" s="50">
        <f>'WhatsApp Tracker'!AN181</f>
        <v>5</v>
      </c>
      <c r="E184" s="50" t="str">
        <f>'WhatsApp Tracker'!AL181</f>
        <v>Parsed directory row</v>
      </c>
      <c r="F184" s="50" t="str">
        <f>'WhatsApp Tracker'!B181</f>
        <v>Imported contact</v>
      </c>
      <c r="G184" s="50">
        <f>'WhatsApp Tracker'!C181</f>
        <v>0</v>
      </c>
      <c r="H184" s="50" t="str">
        <f>'WhatsApp Tracker'!D181</f>
        <v>9954180359</v>
      </c>
      <c r="I184" s="50" t="str">
        <f>'WhatsApp Tracker'!T181</f>
        <v>Not sent</v>
      </c>
      <c r="J184" s="50" t="str">
        <f>'WhatsApp Tracker'!U181</f>
        <v>Unknown</v>
      </c>
      <c r="K184" s="50" t="str">
        <f>'WhatsApp Tracker'!V181</f>
        <v>Unknown</v>
      </c>
      <c r="L184" s="50" t="str">
        <f>'WhatsApp Tracker'!W181</f>
        <v>Not offered</v>
      </c>
      <c r="M184" s="51" t="str">
        <f>'WhatsApp Tracker'!X181</f>
        <v/>
      </c>
      <c r="N184" s="50" t="str">
        <f>'WhatsApp Tracker'!AM181</f>
        <v>Low confidence: verify before sending</v>
      </c>
      <c r="O184" s="50" t="str">
        <f>'WhatsApp Tracker'!AC181</f>
        <v>Imported from extract_garden. Confidence: Low. Parsed from Assam Tea Directory row, verify before sending</v>
      </c>
    </row>
    <row r="185" spans="1:15" x14ac:dyDescent="0.25">
      <c r="A185" s="50">
        <f>'WhatsApp Tracker'!AH182</f>
        <v>9596</v>
      </c>
      <c r="B185" s="50" t="str">
        <f>'WhatsApp Tracker'!AA182</f>
        <v>Do not send</v>
      </c>
      <c r="C185" s="50" t="str">
        <f>'WhatsApp Tracker'!M182</f>
        <v>Hold</v>
      </c>
      <c r="D185" s="50">
        <f>'WhatsApp Tracker'!AN182</f>
        <v>5</v>
      </c>
      <c r="E185" s="50" t="str">
        <f>'WhatsApp Tracker'!AL182</f>
        <v>Parsed directory row</v>
      </c>
      <c r="F185" s="50" t="str">
        <f>'WhatsApp Tracker'!B182</f>
        <v>Imported contact</v>
      </c>
      <c r="G185" s="50">
        <f>'WhatsApp Tracker'!C182</f>
        <v>0</v>
      </c>
      <c r="H185" s="50" t="str">
        <f>'WhatsApp Tracker'!D182</f>
        <v>9435738354</v>
      </c>
      <c r="I185" s="50" t="str">
        <f>'WhatsApp Tracker'!T182</f>
        <v>Not sent</v>
      </c>
      <c r="J185" s="50" t="str">
        <f>'WhatsApp Tracker'!U182</f>
        <v>Unknown</v>
      </c>
      <c r="K185" s="50" t="str">
        <f>'WhatsApp Tracker'!V182</f>
        <v>Unknown</v>
      </c>
      <c r="L185" s="50" t="str">
        <f>'WhatsApp Tracker'!W182</f>
        <v>Not offered</v>
      </c>
      <c r="M185" s="51" t="str">
        <f>'WhatsApp Tracker'!X182</f>
        <v/>
      </c>
      <c r="N185" s="50" t="str">
        <f>'WhatsApp Tracker'!AM182</f>
        <v>Low confidence: verify before sending</v>
      </c>
      <c r="O185" s="50" t="str">
        <f>'WhatsApp Tracker'!AC182</f>
        <v>Imported from extract_garden. Confidence: Low. Parsed from Assam Tea Directory row, verify before sending</v>
      </c>
    </row>
    <row r="186" spans="1:15" x14ac:dyDescent="0.25">
      <c r="A186" s="50">
        <f>'WhatsApp Tracker'!AH183</f>
        <v>9596</v>
      </c>
      <c r="B186" s="50" t="str">
        <f>'WhatsApp Tracker'!AA183</f>
        <v>Do not send</v>
      </c>
      <c r="C186" s="50" t="str">
        <f>'WhatsApp Tracker'!M183</f>
        <v>Hold</v>
      </c>
      <c r="D186" s="50">
        <f>'WhatsApp Tracker'!AN183</f>
        <v>5</v>
      </c>
      <c r="E186" s="50" t="str">
        <f>'WhatsApp Tracker'!AL183</f>
        <v>Parsed directory row</v>
      </c>
      <c r="F186" s="50" t="str">
        <f>'WhatsApp Tracker'!B183</f>
        <v>Imported contact</v>
      </c>
      <c r="G186" s="50">
        <f>'WhatsApp Tracker'!C183</f>
        <v>0</v>
      </c>
      <c r="H186" s="50" t="str">
        <f>'WhatsApp Tracker'!D183</f>
        <v>9435180336</v>
      </c>
      <c r="I186" s="50" t="str">
        <f>'WhatsApp Tracker'!T183</f>
        <v>Not sent</v>
      </c>
      <c r="J186" s="50" t="str">
        <f>'WhatsApp Tracker'!U183</f>
        <v>Unknown</v>
      </c>
      <c r="K186" s="50" t="str">
        <f>'WhatsApp Tracker'!V183</f>
        <v>Unknown</v>
      </c>
      <c r="L186" s="50" t="str">
        <f>'WhatsApp Tracker'!W183</f>
        <v>Not offered</v>
      </c>
      <c r="M186" s="51" t="str">
        <f>'WhatsApp Tracker'!X183</f>
        <v/>
      </c>
      <c r="N186" s="50" t="str">
        <f>'WhatsApp Tracker'!AM183</f>
        <v>Low confidence: verify before sending</v>
      </c>
      <c r="O186" s="50" t="str">
        <f>'WhatsApp Tracker'!AC183</f>
        <v>Imported from extract_garden. Confidence: Low. Parsed from Assam Tea Directory row, verify before sending</v>
      </c>
    </row>
    <row r="187" spans="1:15" x14ac:dyDescent="0.25">
      <c r="A187" s="50">
        <f>'WhatsApp Tracker'!AH184</f>
        <v>9596</v>
      </c>
      <c r="B187" s="50" t="str">
        <f>'WhatsApp Tracker'!AA184</f>
        <v>Do not send</v>
      </c>
      <c r="C187" s="50" t="str">
        <f>'WhatsApp Tracker'!M184</f>
        <v>Hold</v>
      </c>
      <c r="D187" s="50">
        <f>'WhatsApp Tracker'!AN184</f>
        <v>5</v>
      </c>
      <c r="E187" s="50" t="str">
        <f>'WhatsApp Tracker'!AL184</f>
        <v>Parsed directory row</v>
      </c>
      <c r="F187" s="50" t="str">
        <f>'WhatsApp Tracker'!B184</f>
        <v>Imported contact</v>
      </c>
      <c r="G187" s="50">
        <f>'WhatsApp Tracker'!C184</f>
        <v>0</v>
      </c>
      <c r="H187" s="50" t="str">
        <f>'WhatsApp Tracker'!D184</f>
        <v>9954651028</v>
      </c>
      <c r="I187" s="50" t="str">
        <f>'WhatsApp Tracker'!T184</f>
        <v>Not sent</v>
      </c>
      <c r="J187" s="50" t="str">
        <f>'WhatsApp Tracker'!U184</f>
        <v>Unknown</v>
      </c>
      <c r="K187" s="50" t="str">
        <f>'WhatsApp Tracker'!V184</f>
        <v>Unknown</v>
      </c>
      <c r="L187" s="50" t="str">
        <f>'WhatsApp Tracker'!W184</f>
        <v>Not offered</v>
      </c>
      <c r="M187" s="51" t="str">
        <f>'WhatsApp Tracker'!X184</f>
        <v/>
      </c>
      <c r="N187" s="50" t="str">
        <f>'WhatsApp Tracker'!AM184</f>
        <v>Low confidence: verify before sending</v>
      </c>
      <c r="O187" s="50" t="str">
        <f>'WhatsApp Tracker'!AC184</f>
        <v>Imported from extract_garden. Confidence: Low. Parsed from Assam Tea Directory row, verify before sending</v>
      </c>
    </row>
    <row r="188" spans="1:15" x14ac:dyDescent="0.25">
      <c r="A188" s="50">
        <f>'WhatsApp Tracker'!AH185</f>
        <v>9596</v>
      </c>
      <c r="B188" s="50" t="str">
        <f>'WhatsApp Tracker'!AA185</f>
        <v>Do not send</v>
      </c>
      <c r="C188" s="50" t="str">
        <f>'WhatsApp Tracker'!M185</f>
        <v>Hold</v>
      </c>
      <c r="D188" s="50">
        <f>'WhatsApp Tracker'!AN185</f>
        <v>5</v>
      </c>
      <c r="E188" s="50" t="str">
        <f>'WhatsApp Tracker'!AL185</f>
        <v>Parsed directory row</v>
      </c>
      <c r="F188" s="50" t="str">
        <f>'WhatsApp Tracker'!B185</f>
        <v>Imported contact</v>
      </c>
      <c r="G188" s="50">
        <f>'WhatsApp Tracker'!C185</f>
        <v>0</v>
      </c>
      <c r="H188" s="50" t="str">
        <f>'WhatsApp Tracker'!D185</f>
        <v>9435151380</v>
      </c>
      <c r="I188" s="50" t="str">
        <f>'WhatsApp Tracker'!T185</f>
        <v>Not sent</v>
      </c>
      <c r="J188" s="50" t="str">
        <f>'WhatsApp Tracker'!U185</f>
        <v>Unknown</v>
      </c>
      <c r="K188" s="50" t="str">
        <f>'WhatsApp Tracker'!V185</f>
        <v>Unknown</v>
      </c>
      <c r="L188" s="50" t="str">
        <f>'WhatsApp Tracker'!W185</f>
        <v>Not offered</v>
      </c>
      <c r="M188" s="51" t="str">
        <f>'WhatsApp Tracker'!X185</f>
        <v/>
      </c>
      <c r="N188" s="50" t="str">
        <f>'WhatsApp Tracker'!AM185</f>
        <v>Low confidence: verify before sending</v>
      </c>
      <c r="O188" s="50" t="str">
        <f>'WhatsApp Tracker'!AC185</f>
        <v>Imported from extract_garden. Confidence: Low. Parsed from Assam Tea Directory row, verify before sending</v>
      </c>
    </row>
    <row r="189" spans="1:15" x14ac:dyDescent="0.25">
      <c r="A189" s="50">
        <f>'WhatsApp Tracker'!AH186</f>
        <v>9596</v>
      </c>
      <c r="B189" s="50" t="str">
        <f>'WhatsApp Tracker'!AA186</f>
        <v>Do not send</v>
      </c>
      <c r="C189" s="50" t="str">
        <f>'WhatsApp Tracker'!M186</f>
        <v>Hold</v>
      </c>
      <c r="D189" s="50">
        <f>'WhatsApp Tracker'!AN186</f>
        <v>5</v>
      </c>
      <c r="E189" s="50" t="str">
        <f>'WhatsApp Tracker'!AL186</f>
        <v>Parsed directory row</v>
      </c>
      <c r="F189" s="50" t="str">
        <f>'WhatsApp Tracker'!B186</f>
        <v>Imported contact</v>
      </c>
      <c r="G189" s="50">
        <f>'WhatsApp Tracker'!C186</f>
        <v>0</v>
      </c>
      <c r="H189" s="50" t="str">
        <f>'WhatsApp Tracker'!D186</f>
        <v>9435054516</v>
      </c>
      <c r="I189" s="50" t="str">
        <f>'WhatsApp Tracker'!T186</f>
        <v>Not sent</v>
      </c>
      <c r="J189" s="50" t="str">
        <f>'WhatsApp Tracker'!U186</f>
        <v>Unknown</v>
      </c>
      <c r="K189" s="50" t="str">
        <f>'WhatsApp Tracker'!V186</f>
        <v>Unknown</v>
      </c>
      <c r="L189" s="50" t="str">
        <f>'WhatsApp Tracker'!W186</f>
        <v>Not offered</v>
      </c>
      <c r="M189" s="51" t="str">
        <f>'WhatsApp Tracker'!X186</f>
        <v/>
      </c>
      <c r="N189" s="50" t="str">
        <f>'WhatsApp Tracker'!AM186</f>
        <v>Low confidence: verify before sending</v>
      </c>
      <c r="O189" s="50" t="str">
        <f>'WhatsApp Tracker'!AC186</f>
        <v>Imported from extract_garden. Confidence: Low. Parsed from Assam Tea Directory row, verify before sending</v>
      </c>
    </row>
    <row r="190" spans="1:15" x14ac:dyDescent="0.25">
      <c r="A190" s="50">
        <f>'WhatsApp Tracker'!AH187</f>
        <v>9596</v>
      </c>
      <c r="B190" s="50" t="str">
        <f>'WhatsApp Tracker'!AA187</f>
        <v>Do not send</v>
      </c>
      <c r="C190" s="50" t="str">
        <f>'WhatsApp Tracker'!M187</f>
        <v>Hold</v>
      </c>
      <c r="D190" s="50">
        <f>'WhatsApp Tracker'!AN187</f>
        <v>5</v>
      </c>
      <c r="E190" s="50" t="str">
        <f>'WhatsApp Tracker'!AL187</f>
        <v>Parsed directory row</v>
      </c>
      <c r="F190" s="50" t="str">
        <f>'WhatsApp Tracker'!B187</f>
        <v>Imported contact</v>
      </c>
      <c r="G190" s="50">
        <f>'WhatsApp Tracker'!C187</f>
        <v>0</v>
      </c>
      <c r="H190" s="50" t="str">
        <f>'WhatsApp Tracker'!D187</f>
        <v>9954232977</v>
      </c>
      <c r="I190" s="50" t="str">
        <f>'WhatsApp Tracker'!T187</f>
        <v>Not sent</v>
      </c>
      <c r="J190" s="50" t="str">
        <f>'WhatsApp Tracker'!U187</f>
        <v>Unknown</v>
      </c>
      <c r="K190" s="50" t="str">
        <f>'WhatsApp Tracker'!V187</f>
        <v>Unknown</v>
      </c>
      <c r="L190" s="50" t="str">
        <f>'WhatsApp Tracker'!W187</f>
        <v>Not offered</v>
      </c>
      <c r="M190" s="51" t="str">
        <f>'WhatsApp Tracker'!X187</f>
        <v/>
      </c>
      <c r="N190" s="50" t="str">
        <f>'WhatsApp Tracker'!AM187</f>
        <v>Low confidence: verify before sending</v>
      </c>
      <c r="O190" s="50" t="str">
        <f>'WhatsApp Tracker'!AC187</f>
        <v>Imported from extract_garden. Confidence: Low. Parsed from Assam Tea Directory row, verify before sending</v>
      </c>
    </row>
    <row r="191" spans="1:15" x14ac:dyDescent="0.25">
      <c r="A191" s="50">
        <f>'WhatsApp Tracker'!AH188</f>
        <v>9596</v>
      </c>
      <c r="B191" s="50" t="str">
        <f>'WhatsApp Tracker'!AA188</f>
        <v>Do not send</v>
      </c>
      <c r="C191" s="50" t="str">
        <f>'WhatsApp Tracker'!M188</f>
        <v>Hold</v>
      </c>
      <c r="D191" s="50">
        <f>'WhatsApp Tracker'!AN188</f>
        <v>5</v>
      </c>
      <c r="E191" s="50" t="str">
        <f>'WhatsApp Tracker'!AL188</f>
        <v>Parsed directory row</v>
      </c>
      <c r="F191" s="50" t="str">
        <f>'WhatsApp Tracker'!B188</f>
        <v>Imported contact</v>
      </c>
      <c r="G191" s="50">
        <f>'WhatsApp Tracker'!C188</f>
        <v>0</v>
      </c>
      <c r="H191" s="50" t="str">
        <f>'WhatsApp Tracker'!D188</f>
        <v>9436003658</v>
      </c>
      <c r="I191" s="50" t="str">
        <f>'WhatsApp Tracker'!T188</f>
        <v>Not sent</v>
      </c>
      <c r="J191" s="50" t="str">
        <f>'WhatsApp Tracker'!U188</f>
        <v>Unknown</v>
      </c>
      <c r="K191" s="50" t="str">
        <f>'WhatsApp Tracker'!V188</f>
        <v>Unknown</v>
      </c>
      <c r="L191" s="50" t="str">
        <f>'WhatsApp Tracker'!W188</f>
        <v>Not offered</v>
      </c>
      <c r="M191" s="51" t="str">
        <f>'WhatsApp Tracker'!X188</f>
        <v/>
      </c>
      <c r="N191" s="50" t="str">
        <f>'WhatsApp Tracker'!AM188</f>
        <v>Low confidence: verify before sending</v>
      </c>
      <c r="O191" s="50" t="str">
        <f>'WhatsApp Tracker'!AC188</f>
        <v>Imported from extract_garden. Confidence: Low. Parsed from Assam Tea Directory row, verify before sending</v>
      </c>
    </row>
    <row r="192" spans="1:15" x14ac:dyDescent="0.25">
      <c r="A192" s="50">
        <f>'WhatsApp Tracker'!AH189</f>
        <v>9596</v>
      </c>
      <c r="B192" s="50" t="str">
        <f>'WhatsApp Tracker'!AA189</f>
        <v>Do not send</v>
      </c>
      <c r="C192" s="50" t="str">
        <f>'WhatsApp Tracker'!M189</f>
        <v>Hold</v>
      </c>
      <c r="D192" s="50">
        <f>'WhatsApp Tracker'!AN189</f>
        <v>5</v>
      </c>
      <c r="E192" s="50" t="str">
        <f>'WhatsApp Tracker'!AL189</f>
        <v>Parsed directory row</v>
      </c>
      <c r="F192" s="50" t="str">
        <f>'WhatsApp Tracker'!B189</f>
        <v>Imported contact</v>
      </c>
      <c r="G192" s="50">
        <f>'WhatsApp Tracker'!C189</f>
        <v>0</v>
      </c>
      <c r="H192" s="50" t="str">
        <f>'WhatsApp Tracker'!D189</f>
        <v>8011619836</v>
      </c>
      <c r="I192" s="50" t="str">
        <f>'WhatsApp Tracker'!T189</f>
        <v>Not sent</v>
      </c>
      <c r="J192" s="50" t="str">
        <f>'WhatsApp Tracker'!U189</f>
        <v>Unknown</v>
      </c>
      <c r="K192" s="50" t="str">
        <f>'WhatsApp Tracker'!V189</f>
        <v>Unknown</v>
      </c>
      <c r="L192" s="50" t="str">
        <f>'WhatsApp Tracker'!W189</f>
        <v>Not offered</v>
      </c>
      <c r="M192" s="51" t="str">
        <f>'WhatsApp Tracker'!X189</f>
        <v/>
      </c>
      <c r="N192" s="50" t="str">
        <f>'WhatsApp Tracker'!AM189</f>
        <v>Low confidence: verify before sending</v>
      </c>
      <c r="O192" s="50" t="str">
        <f>'WhatsApp Tracker'!AC189</f>
        <v>Imported from extract_garden. Confidence: Low. Parsed from Assam Tea Directory row, verify before sending</v>
      </c>
    </row>
    <row r="193" spans="1:15" x14ac:dyDescent="0.25">
      <c r="A193" s="50">
        <f>'WhatsApp Tracker'!AH190</f>
        <v>9596</v>
      </c>
      <c r="B193" s="50" t="str">
        <f>'WhatsApp Tracker'!AA190</f>
        <v>Do not send</v>
      </c>
      <c r="C193" s="50" t="str">
        <f>'WhatsApp Tracker'!M190</f>
        <v>Hold</v>
      </c>
      <c r="D193" s="50">
        <f>'WhatsApp Tracker'!AN190</f>
        <v>5</v>
      </c>
      <c r="E193" s="50" t="str">
        <f>'WhatsApp Tracker'!AL190</f>
        <v>Parsed directory row</v>
      </c>
      <c r="F193" s="50" t="str">
        <f>'WhatsApp Tracker'!B190</f>
        <v>Imported contact</v>
      </c>
      <c r="G193" s="50">
        <f>'WhatsApp Tracker'!C190</f>
        <v>0</v>
      </c>
      <c r="H193" s="50" t="str">
        <f>'WhatsApp Tracker'!D190</f>
        <v>9435139125</v>
      </c>
      <c r="I193" s="50" t="str">
        <f>'WhatsApp Tracker'!T190</f>
        <v>Not sent</v>
      </c>
      <c r="J193" s="50" t="str">
        <f>'WhatsApp Tracker'!U190</f>
        <v>Unknown</v>
      </c>
      <c r="K193" s="50" t="str">
        <f>'WhatsApp Tracker'!V190</f>
        <v>Unknown</v>
      </c>
      <c r="L193" s="50" t="str">
        <f>'WhatsApp Tracker'!W190</f>
        <v>Not offered</v>
      </c>
      <c r="M193" s="51" t="str">
        <f>'WhatsApp Tracker'!X190</f>
        <v/>
      </c>
      <c r="N193" s="50" t="str">
        <f>'WhatsApp Tracker'!AM190</f>
        <v>Low confidence: verify before sending</v>
      </c>
      <c r="O193" s="50" t="str">
        <f>'WhatsApp Tracker'!AC190</f>
        <v>Imported from extract_garden. Confidence: Low. Parsed from Assam Tea Directory row, verify before sending</v>
      </c>
    </row>
    <row r="194" spans="1:15" x14ac:dyDescent="0.25">
      <c r="A194" s="50">
        <f>'WhatsApp Tracker'!AH191</f>
        <v>9596</v>
      </c>
      <c r="B194" s="50" t="str">
        <f>'WhatsApp Tracker'!AA191</f>
        <v>Do not send</v>
      </c>
      <c r="C194" s="50" t="str">
        <f>'WhatsApp Tracker'!M191</f>
        <v>Hold</v>
      </c>
      <c r="D194" s="50">
        <f>'WhatsApp Tracker'!AN191</f>
        <v>5</v>
      </c>
      <c r="E194" s="50" t="str">
        <f>'WhatsApp Tracker'!AL191</f>
        <v>Parsed directory row</v>
      </c>
      <c r="F194" s="50" t="str">
        <f>'WhatsApp Tracker'!B191</f>
        <v>Imported contact</v>
      </c>
      <c r="G194" s="50">
        <f>'WhatsApp Tracker'!C191</f>
        <v>0</v>
      </c>
      <c r="H194" s="50" t="str">
        <f>'WhatsApp Tracker'!D191</f>
        <v>9957098166</v>
      </c>
      <c r="I194" s="50" t="str">
        <f>'WhatsApp Tracker'!T191</f>
        <v>Not sent</v>
      </c>
      <c r="J194" s="50" t="str">
        <f>'WhatsApp Tracker'!U191</f>
        <v>Unknown</v>
      </c>
      <c r="K194" s="50" t="str">
        <f>'WhatsApp Tracker'!V191</f>
        <v>Unknown</v>
      </c>
      <c r="L194" s="50" t="str">
        <f>'WhatsApp Tracker'!W191</f>
        <v>Not offered</v>
      </c>
      <c r="M194" s="51" t="str">
        <f>'WhatsApp Tracker'!X191</f>
        <v/>
      </c>
      <c r="N194" s="50" t="str">
        <f>'WhatsApp Tracker'!AM191</f>
        <v>Low confidence: verify before sending</v>
      </c>
      <c r="O194" s="50" t="str">
        <f>'WhatsApp Tracker'!AC191</f>
        <v>Imported from extract_garden. Confidence: Low. Parsed from Assam Tea Directory row, verify before sending</v>
      </c>
    </row>
    <row r="195" spans="1:15" x14ac:dyDescent="0.25">
      <c r="A195" s="50">
        <f>'WhatsApp Tracker'!AH192</f>
        <v>9596</v>
      </c>
      <c r="B195" s="50" t="str">
        <f>'WhatsApp Tracker'!AA192</f>
        <v>Do not send</v>
      </c>
      <c r="C195" s="50" t="str">
        <f>'WhatsApp Tracker'!M192</f>
        <v>Hold</v>
      </c>
      <c r="D195" s="50">
        <f>'WhatsApp Tracker'!AN192</f>
        <v>5</v>
      </c>
      <c r="E195" s="50" t="str">
        <f>'WhatsApp Tracker'!AL192</f>
        <v>Parsed directory row</v>
      </c>
      <c r="F195" s="50" t="str">
        <f>'WhatsApp Tracker'!B192</f>
        <v>Imported contact</v>
      </c>
      <c r="G195" s="50">
        <f>'WhatsApp Tracker'!C192</f>
        <v>0</v>
      </c>
      <c r="H195" s="50" t="str">
        <f>'WhatsApp Tracker'!D192</f>
        <v>9954017410</v>
      </c>
      <c r="I195" s="50" t="str">
        <f>'WhatsApp Tracker'!T192</f>
        <v>Not sent</v>
      </c>
      <c r="J195" s="50" t="str">
        <f>'WhatsApp Tracker'!U192</f>
        <v>Unknown</v>
      </c>
      <c r="K195" s="50" t="str">
        <f>'WhatsApp Tracker'!V192</f>
        <v>Unknown</v>
      </c>
      <c r="L195" s="50" t="str">
        <f>'WhatsApp Tracker'!W192</f>
        <v>Not offered</v>
      </c>
      <c r="M195" s="51" t="str">
        <f>'WhatsApp Tracker'!X192</f>
        <v/>
      </c>
      <c r="N195" s="50" t="str">
        <f>'WhatsApp Tracker'!AM192</f>
        <v>Low confidence: verify before sending</v>
      </c>
      <c r="O195" s="50" t="str">
        <f>'WhatsApp Tracker'!AC192</f>
        <v>Imported from extract_garden. Confidence: Low. Parsed from Assam Tea Directory row, verify before sending</v>
      </c>
    </row>
    <row r="196" spans="1:15" x14ac:dyDescent="0.25">
      <c r="A196" s="50">
        <f>'WhatsApp Tracker'!AH193</f>
        <v>9596</v>
      </c>
      <c r="B196" s="50" t="str">
        <f>'WhatsApp Tracker'!AA193</f>
        <v>Do not send</v>
      </c>
      <c r="C196" s="50" t="str">
        <f>'WhatsApp Tracker'!M193</f>
        <v>Hold</v>
      </c>
      <c r="D196" s="50">
        <f>'WhatsApp Tracker'!AN193</f>
        <v>5</v>
      </c>
      <c r="E196" s="50" t="str">
        <f>'WhatsApp Tracker'!AL193</f>
        <v>Parsed directory row</v>
      </c>
      <c r="F196" s="50" t="str">
        <f>'WhatsApp Tracker'!B193</f>
        <v>Imported contact</v>
      </c>
      <c r="G196" s="50">
        <f>'WhatsApp Tracker'!C193</f>
        <v>0</v>
      </c>
      <c r="H196" s="50" t="str">
        <f>'WhatsApp Tracker'!D193</f>
        <v>9435011719</v>
      </c>
      <c r="I196" s="50" t="str">
        <f>'WhatsApp Tracker'!T193</f>
        <v>Not sent</v>
      </c>
      <c r="J196" s="50" t="str">
        <f>'WhatsApp Tracker'!U193</f>
        <v>Unknown</v>
      </c>
      <c r="K196" s="50" t="str">
        <f>'WhatsApp Tracker'!V193</f>
        <v>Unknown</v>
      </c>
      <c r="L196" s="50" t="str">
        <f>'WhatsApp Tracker'!W193</f>
        <v>Not offered</v>
      </c>
      <c r="M196" s="51" t="str">
        <f>'WhatsApp Tracker'!X193</f>
        <v/>
      </c>
      <c r="N196" s="50" t="str">
        <f>'WhatsApp Tracker'!AM193</f>
        <v>Low confidence: verify before sending</v>
      </c>
      <c r="O196" s="50" t="str">
        <f>'WhatsApp Tracker'!AC193</f>
        <v>Imported from extract_garden. Confidence: Low. Parsed from Assam Tea Directory row, verify before sending</v>
      </c>
    </row>
    <row r="197" spans="1:15" x14ac:dyDescent="0.25">
      <c r="A197" s="50">
        <f>'WhatsApp Tracker'!AH194</f>
        <v>9596</v>
      </c>
      <c r="B197" s="50" t="str">
        <f>'WhatsApp Tracker'!AA194</f>
        <v>Do not send</v>
      </c>
      <c r="C197" s="50" t="str">
        <f>'WhatsApp Tracker'!M194</f>
        <v>Hold</v>
      </c>
      <c r="D197" s="50">
        <f>'WhatsApp Tracker'!AN194</f>
        <v>5</v>
      </c>
      <c r="E197" s="50" t="str">
        <f>'WhatsApp Tracker'!AL194</f>
        <v>Parsed directory row</v>
      </c>
      <c r="F197" s="50" t="str">
        <f>'WhatsApp Tracker'!B194</f>
        <v>Imported contact</v>
      </c>
      <c r="G197" s="50">
        <f>'WhatsApp Tracker'!C194</f>
        <v>0</v>
      </c>
      <c r="H197" s="50" t="str">
        <f>'WhatsApp Tracker'!D194</f>
        <v>9954193005</v>
      </c>
      <c r="I197" s="50" t="str">
        <f>'WhatsApp Tracker'!T194</f>
        <v>Not sent</v>
      </c>
      <c r="J197" s="50" t="str">
        <f>'WhatsApp Tracker'!U194</f>
        <v>Unknown</v>
      </c>
      <c r="K197" s="50" t="str">
        <f>'WhatsApp Tracker'!V194</f>
        <v>Unknown</v>
      </c>
      <c r="L197" s="50" t="str">
        <f>'WhatsApp Tracker'!W194</f>
        <v>Not offered</v>
      </c>
      <c r="M197" s="51" t="str">
        <f>'WhatsApp Tracker'!X194</f>
        <v/>
      </c>
      <c r="N197" s="50" t="str">
        <f>'WhatsApp Tracker'!AM194</f>
        <v>Low confidence: verify before sending</v>
      </c>
      <c r="O197" s="50" t="str">
        <f>'WhatsApp Tracker'!AC194</f>
        <v>Imported from extract_garden. Confidence: Low. Parsed from Assam Tea Directory row, verify before sending</v>
      </c>
    </row>
    <row r="198" spans="1:15" x14ac:dyDescent="0.25">
      <c r="A198" s="50">
        <f>'WhatsApp Tracker'!AH195</f>
        <v>9596</v>
      </c>
      <c r="B198" s="50" t="str">
        <f>'WhatsApp Tracker'!AA195</f>
        <v>Do not send</v>
      </c>
      <c r="C198" s="50" t="str">
        <f>'WhatsApp Tracker'!M195</f>
        <v>Hold</v>
      </c>
      <c r="D198" s="50">
        <f>'WhatsApp Tracker'!AN195</f>
        <v>5</v>
      </c>
      <c r="E198" s="50" t="str">
        <f>'WhatsApp Tracker'!AL195</f>
        <v>Parsed directory row</v>
      </c>
      <c r="F198" s="50" t="str">
        <f>'WhatsApp Tracker'!B195</f>
        <v>Imported contact</v>
      </c>
      <c r="G198" s="50">
        <f>'WhatsApp Tracker'!C195</f>
        <v>0</v>
      </c>
      <c r="H198" s="50" t="str">
        <f>'WhatsApp Tracker'!D195</f>
        <v>9435027121</v>
      </c>
      <c r="I198" s="50" t="str">
        <f>'WhatsApp Tracker'!T195</f>
        <v>Not sent</v>
      </c>
      <c r="J198" s="50" t="str">
        <f>'WhatsApp Tracker'!U195</f>
        <v>Unknown</v>
      </c>
      <c r="K198" s="50" t="str">
        <f>'WhatsApp Tracker'!V195</f>
        <v>Unknown</v>
      </c>
      <c r="L198" s="50" t="str">
        <f>'WhatsApp Tracker'!W195</f>
        <v>Not offered</v>
      </c>
      <c r="M198" s="51" t="str">
        <f>'WhatsApp Tracker'!X195</f>
        <v/>
      </c>
      <c r="N198" s="50" t="str">
        <f>'WhatsApp Tracker'!AM195</f>
        <v>Low confidence: verify before sending</v>
      </c>
      <c r="O198" s="50" t="str">
        <f>'WhatsApp Tracker'!AC195</f>
        <v>Imported from extract_garden. Confidence: Low. Parsed from Assam Tea Directory row, verify before sending</v>
      </c>
    </row>
    <row r="199" spans="1:15" x14ac:dyDescent="0.25">
      <c r="A199" s="50">
        <f>'WhatsApp Tracker'!AH196</f>
        <v>9596</v>
      </c>
      <c r="B199" s="50" t="str">
        <f>'WhatsApp Tracker'!AA196</f>
        <v>Do not send</v>
      </c>
      <c r="C199" s="50" t="str">
        <f>'WhatsApp Tracker'!M196</f>
        <v>Hold</v>
      </c>
      <c r="D199" s="50">
        <f>'WhatsApp Tracker'!AN196</f>
        <v>5</v>
      </c>
      <c r="E199" s="50" t="str">
        <f>'WhatsApp Tracker'!AL196</f>
        <v>Parsed directory row</v>
      </c>
      <c r="F199" s="50" t="str">
        <f>'WhatsApp Tracker'!B196</f>
        <v>Imported contact</v>
      </c>
      <c r="G199" s="50">
        <f>'WhatsApp Tracker'!C196</f>
        <v>0</v>
      </c>
      <c r="H199" s="50" t="str">
        <f>'WhatsApp Tracker'!D196</f>
        <v>9433006082</v>
      </c>
      <c r="I199" s="50" t="str">
        <f>'WhatsApp Tracker'!T196</f>
        <v>Not sent</v>
      </c>
      <c r="J199" s="50" t="str">
        <f>'WhatsApp Tracker'!U196</f>
        <v>Unknown</v>
      </c>
      <c r="K199" s="50" t="str">
        <f>'WhatsApp Tracker'!V196</f>
        <v>Unknown</v>
      </c>
      <c r="L199" s="50" t="str">
        <f>'WhatsApp Tracker'!W196</f>
        <v>Not offered</v>
      </c>
      <c r="M199" s="51" t="str">
        <f>'WhatsApp Tracker'!X196</f>
        <v/>
      </c>
      <c r="N199" s="50" t="str">
        <f>'WhatsApp Tracker'!AM196</f>
        <v>Low confidence: verify before sending</v>
      </c>
      <c r="O199" s="50" t="str">
        <f>'WhatsApp Tracker'!AC196</f>
        <v>Imported from extract_garden. Confidence: Low. Parsed from Assam Tea Directory row, verify before sending</v>
      </c>
    </row>
    <row r="200" spans="1:15" x14ac:dyDescent="0.25">
      <c r="A200" s="50">
        <f>'WhatsApp Tracker'!AH197</f>
        <v>9596</v>
      </c>
      <c r="B200" s="50" t="str">
        <f>'WhatsApp Tracker'!AA197</f>
        <v>Do not send</v>
      </c>
      <c r="C200" s="50" t="str">
        <f>'WhatsApp Tracker'!M197</f>
        <v>Hold</v>
      </c>
      <c r="D200" s="50">
        <f>'WhatsApp Tracker'!AN197</f>
        <v>5</v>
      </c>
      <c r="E200" s="50" t="str">
        <f>'WhatsApp Tracker'!AL197</f>
        <v>Parsed directory row</v>
      </c>
      <c r="F200" s="50" t="str">
        <f>'WhatsApp Tracker'!B197</f>
        <v>Imported contact</v>
      </c>
      <c r="G200" s="50">
        <f>'WhatsApp Tracker'!C197</f>
        <v>0</v>
      </c>
      <c r="H200" s="50" t="str">
        <f>'WhatsApp Tracker'!D197</f>
        <v>9435130662</v>
      </c>
      <c r="I200" s="50" t="str">
        <f>'WhatsApp Tracker'!T197</f>
        <v>Not sent</v>
      </c>
      <c r="J200" s="50" t="str">
        <f>'WhatsApp Tracker'!U197</f>
        <v>Unknown</v>
      </c>
      <c r="K200" s="50" t="str">
        <f>'WhatsApp Tracker'!V197</f>
        <v>Unknown</v>
      </c>
      <c r="L200" s="50" t="str">
        <f>'WhatsApp Tracker'!W197</f>
        <v>Not offered</v>
      </c>
      <c r="M200" s="51" t="str">
        <f>'WhatsApp Tracker'!X197</f>
        <v/>
      </c>
      <c r="N200" s="50" t="str">
        <f>'WhatsApp Tracker'!AM197</f>
        <v>Low confidence: verify before sending</v>
      </c>
      <c r="O200" s="50" t="str">
        <f>'WhatsApp Tracker'!AC197</f>
        <v>Imported from extract_garden. Confidence: Low. Parsed from Assam Tea Directory row, verify before sending</v>
      </c>
    </row>
    <row r="201" spans="1:15" x14ac:dyDescent="0.25">
      <c r="A201" s="50">
        <f>'WhatsApp Tracker'!AH198</f>
        <v>9596</v>
      </c>
      <c r="B201" s="50" t="str">
        <f>'WhatsApp Tracker'!AA198</f>
        <v>Do not send</v>
      </c>
      <c r="C201" s="50" t="str">
        <f>'WhatsApp Tracker'!M198</f>
        <v>Hold</v>
      </c>
      <c r="D201" s="50">
        <f>'WhatsApp Tracker'!AN198</f>
        <v>5</v>
      </c>
      <c r="E201" s="50" t="str">
        <f>'WhatsApp Tracker'!AL198</f>
        <v>Parsed directory row</v>
      </c>
      <c r="F201" s="50" t="str">
        <f>'WhatsApp Tracker'!B198</f>
        <v>Imported contact</v>
      </c>
      <c r="G201" s="50">
        <f>'WhatsApp Tracker'!C198</f>
        <v>0</v>
      </c>
      <c r="H201" s="50" t="str">
        <f>'WhatsApp Tracker'!D198</f>
        <v>9435132727</v>
      </c>
      <c r="I201" s="50" t="str">
        <f>'WhatsApp Tracker'!T198</f>
        <v>Not sent</v>
      </c>
      <c r="J201" s="50" t="str">
        <f>'WhatsApp Tracker'!U198</f>
        <v>Unknown</v>
      </c>
      <c r="K201" s="50" t="str">
        <f>'WhatsApp Tracker'!V198</f>
        <v>Unknown</v>
      </c>
      <c r="L201" s="50" t="str">
        <f>'WhatsApp Tracker'!W198</f>
        <v>Not offered</v>
      </c>
      <c r="M201" s="51" t="str">
        <f>'WhatsApp Tracker'!X198</f>
        <v/>
      </c>
      <c r="N201" s="50" t="str">
        <f>'WhatsApp Tracker'!AM198</f>
        <v>Low confidence: verify before sending</v>
      </c>
      <c r="O201" s="50" t="str">
        <f>'WhatsApp Tracker'!AC198</f>
        <v>Imported from extract_garden. Confidence: Low. Parsed from Assam Tea Directory row, verify before sending</v>
      </c>
    </row>
    <row r="202" spans="1:15" x14ac:dyDescent="0.25">
      <c r="A202" s="50">
        <f>'WhatsApp Tracker'!AH199</f>
        <v>9596</v>
      </c>
      <c r="B202" s="50" t="str">
        <f>'WhatsApp Tracker'!AA199</f>
        <v>Do not send</v>
      </c>
      <c r="C202" s="50" t="str">
        <f>'WhatsApp Tracker'!M199</f>
        <v>Hold</v>
      </c>
      <c r="D202" s="50">
        <f>'WhatsApp Tracker'!AN199</f>
        <v>5</v>
      </c>
      <c r="E202" s="50" t="str">
        <f>'WhatsApp Tracker'!AL199</f>
        <v>Parsed directory row</v>
      </c>
      <c r="F202" s="50" t="str">
        <f>'WhatsApp Tracker'!B199</f>
        <v>Imported contact</v>
      </c>
      <c r="G202" s="50">
        <f>'WhatsApp Tracker'!C199</f>
        <v>0</v>
      </c>
      <c r="H202" s="50" t="str">
        <f>'WhatsApp Tracker'!D199</f>
        <v>9678382614</v>
      </c>
      <c r="I202" s="50" t="str">
        <f>'WhatsApp Tracker'!T199</f>
        <v>Not sent</v>
      </c>
      <c r="J202" s="50" t="str">
        <f>'WhatsApp Tracker'!U199</f>
        <v>Unknown</v>
      </c>
      <c r="K202" s="50" t="str">
        <f>'WhatsApp Tracker'!V199</f>
        <v>Unknown</v>
      </c>
      <c r="L202" s="50" t="str">
        <f>'WhatsApp Tracker'!W199</f>
        <v>Not offered</v>
      </c>
      <c r="M202" s="51" t="str">
        <f>'WhatsApp Tracker'!X199</f>
        <v/>
      </c>
      <c r="N202" s="50" t="str">
        <f>'WhatsApp Tracker'!AM199</f>
        <v>Low confidence: verify before sending</v>
      </c>
      <c r="O202" s="50" t="str">
        <f>'WhatsApp Tracker'!AC199</f>
        <v>Imported from extract_garden. Confidence: Low. Parsed from Assam Tea Directory row, verify before sending</v>
      </c>
    </row>
    <row r="203" spans="1:15" x14ac:dyDescent="0.25">
      <c r="A203" s="50">
        <f>'WhatsApp Tracker'!AH200</f>
        <v>9596</v>
      </c>
      <c r="B203" s="50" t="str">
        <f>'WhatsApp Tracker'!AA200</f>
        <v>Do not send</v>
      </c>
      <c r="C203" s="50" t="str">
        <f>'WhatsApp Tracker'!M200</f>
        <v>Hold</v>
      </c>
      <c r="D203" s="50">
        <f>'WhatsApp Tracker'!AN200</f>
        <v>5</v>
      </c>
      <c r="E203" s="50" t="str">
        <f>'WhatsApp Tracker'!AL200</f>
        <v>Parsed directory row</v>
      </c>
      <c r="F203" s="50" t="str">
        <f>'WhatsApp Tracker'!B200</f>
        <v>Imported contact</v>
      </c>
      <c r="G203" s="50">
        <f>'WhatsApp Tracker'!C200</f>
        <v>0</v>
      </c>
      <c r="H203" s="50" t="str">
        <f>'WhatsApp Tracker'!D200</f>
        <v>8011209038</v>
      </c>
      <c r="I203" s="50" t="str">
        <f>'WhatsApp Tracker'!T200</f>
        <v>Not sent</v>
      </c>
      <c r="J203" s="50" t="str">
        <f>'WhatsApp Tracker'!U200</f>
        <v>Unknown</v>
      </c>
      <c r="K203" s="50" t="str">
        <f>'WhatsApp Tracker'!V200</f>
        <v>Unknown</v>
      </c>
      <c r="L203" s="50" t="str">
        <f>'WhatsApp Tracker'!W200</f>
        <v>Not offered</v>
      </c>
      <c r="M203" s="51" t="str">
        <f>'WhatsApp Tracker'!X200</f>
        <v/>
      </c>
      <c r="N203" s="50" t="str">
        <f>'WhatsApp Tracker'!AM200</f>
        <v>Low confidence: verify before sending</v>
      </c>
      <c r="O203" s="50" t="str">
        <f>'WhatsApp Tracker'!AC200</f>
        <v>Imported from extract_garden. Confidence: Low. Parsed from Assam Tea Directory row, verify before sending</v>
      </c>
    </row>
    <row r="204" spans="1:15" x14ac:dyDescent="0.25">
      <c r="A204" s="50">
        <f>'WhatsApp Tracker'!AH201</f>
        <v>9596</v>
      </c>
      <c r="B204" s="50" t="str">
        <f>'WhatsApp Tracker'!AA201</f>
        <v>Do not send</v>
      </c>
      <c r="C204" s="50" t="str">
        <f>'WhatsApp Tracker'!M201</f>
        <v>Hold</v>
      </c>
      <c r="D204" s="50">
        <f>'WhatsApp Tracker'!AN201</f>
        <v>5</v>
      </c>
      <c r="E204" s="50" t="str">
        <f>'WhatsApp Tracker'!AL201</f>
        <v>Parsed directory row</v>
      </c>
      <c r="F204" s="50" t="str">
        <f>'WhatsApp Tracker'!B201</f>
        <v>Imported contact</v>
      </c>
      <c r="G204" s="50">
        <f>'WhatsApp Tracker'!C201</f>
        <v>0</v>
      </c>
      <c r="H204" s="50" t="str">
        <f>'WhatsApp Tracker'!D201</f>
        <v>9435083817</v>
      </c>
      <c r="I204" s="50" t="str">
        <f>'WhatsApp Tracker'!T201</f>
        <v>Not sent</v>
      </c>
      <c r="J204" s="50" t="str">
        <f>'WhatsApp Tracker'!U201</f>
        <v>Unknown</v>
      </c>
      <c r="K204" s="50" t="str">
        <f>'WhatsApp Tracker'!V201</f>
        <v>Unknown</v>
      </c>
      <c r="L204" s="50" t="str">
        <f>'WhatsApp Tracker'!W201</f>
        <v>Not offered</v>
      </c>
      <c r="M204" s="51" t="str">
        <f>'WhatsApp Tracker'!X201</f>
        <v/>
      </c>
      <c r="N204" s="50" t="str">
        <f>'WhatsApp Tracker'!AM201</f>
        <v>Low confidence: verify before sending</v>
      </c>
      <c r="O204" s="50" t="str">
        <f>'WhatsApp Tracker'!AC201</f>
        <v>Imported from extract_garden. Confidence: Low. Parsed from Assam Tea Directory row, verify before sending</v>
      </c>
    </row>
    <row r="205" spans="1:15" x14ac:dyDescent="0.25">
      <c r="A205" s="50">
        <f>'WhatsApp Tracker'!AH202</f>
        <v>9596</v>
      </c>
      <c r="B205" s="50" t="str">
        <f>'WhatsApp Tracker'!AA202</f>
        <v>Do not send</v>
      </c>
      <c r="C205" s="50" t="str">
        <f>'WhatsApp Tracker'!M202</f>
        <v>Hold</v>
      </c>
      <c r="D205" s="50">
        <f>'WhatsApp Tracker'!AN202</f>
        <v>5</v>
      </c>
      <c r="E205" s="50" t="str">
        <f>'WhatsApp Tracker'!AL202</f>
        <v>Parsed directory row</v>
      </c>
      <c r="F205" s="50" t="str">
        <f>'WhatsApp Tracker'!B202</f>
        <v>Imported contact</v>
      </c>
      <c r="G205" s="50">
        <f>'WhatsApp Tracker'!C202</f>
        <v>0</v>
      </c>
      <c r="H205" s="50" t="str">
        <f>'WhatsApp Tracker'!D202</f>
        <v>7896367249</v>
      </c>
      <c r="I205" s="50" t="str">
        <f>'WhatsApp Tracker'!T202</f>
        <v>Not sent</v>
      </c>
      <c r="J205" s="50" t="str">
        <f>'WhatsApp Tracker'!U202</f>
        <v>Unknown</v>
      </c>
      <c r="K205" s="50" t="str">
        <f>'WhatsApp Tracker'!V202</f>
        <v>Unknown</v>
      </c>
      <c r="L205" s="50" t="str">
        <f>'WhatsApp Tracker'!W202</f>
        <v>Not offered</v>
      </c>
      <c r="M205" s="51" t="str">
        <f>'WhatsApp Tracker'!X202</f>
        <v/>
      </c>
      <c r="N205" s="50" t="str">
        <f>'WhatsApp Tracker'!AM202</f>
        <v>Low confidence: verify before sending</v>
      </c>
      <c r="O205" s="50" t="str">
        <f>'WhatsApp Tracker'!AC202</f>
        <v>Imported from extract_garden. Confidence: Low. Parsed from Assam Tea Directory row, verify before sending</v>
      </c>
    </row>
    <row r="206" spans="1:15" x14ac:dyDescent="0.25">
      <c r="A206" s="50">
        <f>'WhatsApp Tracker'!AH203</f>
        <v>9596</v>
      </c>
      <c r="B206" s="50" t="str">
        <f>'WhatsApp Tracker'!AA203</f>
        <v>Do not send</v>
      </c>
      <c r="C206" s="50" t="str">
        <f>'WhatsApp Tracker'!M203</f>
        <v>Hold</v>
      </c>
      <c r="D206" s="50">
        <f>'WhatsApp Tracker'!AN203</f>
        <v>5</v>
      </c>
      <c r="E206" s="50" t="str">
        <f>'WhatsApp Tracker'!AL203</f>
        <v>Parsed directory row</v>
      </c>
      <c r="F206" s="50" t="str">
        <f>'WhatsApp Tracker'!B203</f>
        <v>Imported contact</v>
      </c>
      <c r="G206" s="50">
        <f>'WhatsApp Tracker'!C203</f>
        <v>0</v>
      </c>
      <c r="H206" s="50" t="str">
        <f>'WhatsApp Tracker'!D203</f>
        <v>9954032425</v>
      </c>
      <c r="I206" s="50" t="str">
        <f>'WhatsApp Tracker'!T203</f>
        <v>Not sent</v>
      </c>
      <c r="J206" s="50" t="str">
        <f>'WhatsApp Tracker'!U203</f>
        <v>Unknown</v>
      </c>
      <c r="K206" s="50" t="str">
        <f>'WhatsApp Tracker'!V203</f>
        <v>Unknown</v>
      </c>
      <c r="L206" s="50" t="str">
        <f>'WhatsApp Tracker'!W203</f>
        <v>Not offered</v>
      </c>
      <c r="M206" s="51" t="str">
        <f>'WhatsApp Tracker'!X203</f>
        <v/>
      </c>
      <c r="N206" s="50" t="str">
        <f>'WhatsApp Tracker'!AM203</f>
        <v>Low confidence: verify before sending</v>
      </c>
      <c r="O206" s="50" t="str">
        <f>'WhatsApp Tracker'!AC203</f>
        <v>Imported from extract_garden. Confidence: Low. Parsed from Assam Tea Directory row, verify before sending</v>
      </c>
    </row>
    <row r="207" spans="1:15" x14ac:dyDescent="0.25">
      <c r="A207" s="50">
        <f>'WhatsApp Tracker'!AH204</f>
        <v>9596</v>
      </c>
      <c r="B207" s="50" t="str">
        <f>'WhatsApp Tracker'!AA204</f>
        <v>Do not send</v>
      </c>
      <c r="C207" s="50" t="str">
        <f>'WhatsApp Tracker'!M204</f>
        <v>Hold</v>
      </c>
      <c r="D207" s="50">
        <f>'WhatsApp Tracker'!AN204</f>
        <v>5</v>
      </c>
      <c r="E207" s="50" t="str">
        <f>'WhatsApp Tracker'!AL204</f>
        <v>Parsed directory row</v>
      </c>
      <c r="F207" s="50" t="str">
        <f>'WhatsApp Tracker'!B204</f>
        <v>Imported contact</v>
      </c>
      <c r="G207" s="50">
        <f>'WhatsApp Tracker'!C204</f>
        <v>0</v>
      </c>
      <c r="H207" s="50" t="str">
        <f>'WhatsApp Tracker'!D204</f>
        <v>9435061129</v>
      </c>
      <c r="I207" s="50" t="str">
        <f>'WhatsApp Tracker'!T204</f>
        <v>Not sent</v>
      </c>
      <c r="J207" s="50" t="str">
        <f>'WhatsApp Tracker'!U204</f>
        <v>Unknown</v>
      </c>
      <c r="K207" s="50" t="str">
        <f>'WhatsApp Tracker'!V204</f>
        <v>Unknown</v>
      </c>
      <c r="L207" s="50" t="str">
        <f>'WhatsApp Tracker'!W204</f>
        <v>Not offered</v>
      </c>
      <c r="M207" s="51" t="str">
        <f>'WhatsApp Tracker'!X204</f>
        <v/>
      </c>
      <c r="N207" s="50" t="str">
        <f>'WhatsApp Tracker'!AM204</f>
        <v>Low confidence: verify before sending</v>
      </c>
      <c r="O207" s="50" t="str">
        <f>'WhatsApp Tracker'!AC204</f>
        <v>Imported from extract_garden. Confidence: Low. Parsed from Assam Tea Directory row, verify before sending</v>
      </c>
    </row>
    <row r="208" spans="1:15" x14ac:dyDescent="0.25">
      <c r="A208" s="50">
        <f>'WhatsApp Tracker'!AH205</f>
        <v>9596</v>
      </c>
      <c r="B208" s="50" t="str">
        <f>'WhatsApp Tracker'!AA205</f>
        <v>Do not send</v>
      </c>
      <c r="C208" s="50" t="str">
        <f>'WhatsApp Tracker'!M205</f>
        <v>Hold</v>
      </c>
      <c r="D208" s="50">
        <f>'WhatsApp Tracker'!AN205</f>
        <v>5</v>
      </c>
      <c r="E208" s="50" t="str">
        <f>'WhatsApp Tracker'!AL205</f>
        <v>Parsed directory row</v>
      </c>
      <c r="F208" s="50" t="str">
        <f>'WhatsApp Tracker'!B205</f>
        <v>Imported contact</v>
      </c>
      <c r="G208" s="50">
        <f>'WhatsApp Tracker'!C205</f>
        <v>0</v>
      </c>
      <c r="H208" s="50" t="str">
        <f>'WhatsApp Tracker'!D205</f>
        <v>9435054400</v>
      </c>
      <c r="I208" s="50" t="str">
        <f>'WhatsApp Tracker'!T205</f>
        <v>Not sent</v>
      </c>
      <c r="J208" s="50" t="str">
        <f>'WhatsApp Tracker'!U205</f>
        <v>Unknown</v>
      </c>
      <c r="K208" s="50" t="str">
        <f>'WhatsApp Tracker'!V205</f>
        <v>Unknown</v>
      </c>
      <c r="L208" s="50" t="str">
        <f>'WhatsApp Tracker'!W205</f>
        <v>Not offered</v>
      </c>
      <c r="M208" s="51" t="str">
        <f>'WhatsApp Tracker'!X205</f>
        <v/>
      </c>
      <c r="N208" s="50" t="str">
        <f>'WhatsApp Tracker'!AM205</f>
        <v>Low confidence: verify before sending</v>
      </c>
      <c r="O208" s="50" t="str">
        <f>'WhatsApp Tracker'!AC205</f>
        <v>Imported from extract_garden. Confidence: Low. Parsed from Assam Tea Directory row, verify before sending</v>
      </c>
    </row>
    <row r="209" spans="1:15" x14ac:dyDescent="0.25">
      <c r="A209" s="50">
        <f>'WhatsApp Tracker'!AH206</f>
        <v>9596</v>
      </c>
      <c r="B209" s="50" t="str">
        <f>'WhatsApp Tracker'!AA206</f>
        <v>Do not send</v>
      </c>
      <c r="C209" s="50" t="str">
        <f>'WhatsApp Tracker'!M206</f>
        <v>Hold</v>
      </c>
      <c r="D209" s="50">
        <f>'WhatsApp Tracker'!AN206</f>
        <v>5</v>
      </c>
      <c r="E209" s="50" t="str">
        <f>'WhatsApp Tracker'!AL206</f>
        <v>Parsed directory row</v>
      </c>
      <c r="F209" s="50" t="str">
        <f>'WhatsApp Tracker'!B206</f>
        <v>Imported contact</v>
      </c>
      <c r="G209" s="50">
        <f>'WhatsApp Tracker'!C206</f>
        <v>0</v>
      </c>
      <c r="H209" s="50" t="str">
        <f>'WhatsApp Tracker'!D206</f>
        <v>9854089231</v>
      </c>
      <c r="I209" s="50" t="str">
        <f>'WhatsApp Tracker'!T206</f>
        <v>Not sent</v>
      </c>
      <c r="J209" s="50" t="str">
        <f>'WhatsApp Tracker'!U206</f>
        <v>Unknown</v>
      </c>
      <c r="K209" s="50" t="str">
        <f>'WhatsApp Tracker'!V206</f>
        <v>Unknown</v>
      </c>
      <c r="L209" s="50" t="str">
        <f>'WhatsApp Tracker'!W206</f>
        <v>Not offered</v>
      </c>
      <c r="M209" s="51" t="str">
        <f>'WhatsApp Tracker'!X206</f>
        <v/>
      </c>
      <c r="N209" s="50" t="str">
        <f>'WhatsApp Tracker'!AM206</f>
        <v>Low confidence: verify before sending</v>
      </c>
      <c r="O209" s="50" t="str">
        <f>'WhatsApp Tracker'!AC206</f>
        <v>Imported from extract_garden. Confidence: Low. Parsed from Assam Tea Directory row, verify before sending</v>
      </c>
    </row>
    <row r="210" spans="1:15" x14ac:dyDescent="0.25">
      <c r="A210" s="50">
        <f>'WhatsApp Tracker'!AH207</f>
        <v>9596</v>
      </c>
      <c r="B210" s="50" t="str">
        <f>'WhatsApp Tracker'!AA207</f>
        <v>Do not send</v>
      </c>
      <c r="C210" s="50" t="str">
        <f>'WhatsApp Tracker'!M207</f>
        <v>Hold</v>
      </c>
      <c r="D210" s="50">
        <f>'WhatsApp Tracker'!AN207</f>
        <v>5</v>
      </c>
      <c r="E210" s="50" t="str">
        <f>'WhatsApp Tracker'!AL207</f>
        <v>Parsed directory row</v>
      </c>
      <c r="F210" s="50" t="str">
        <f>'WhatsApp Tracker'!B207</f>
        <v>Imported contact</v>
      </c>
      <c r="G210" s="50">
        <f>'WhatsApp Tracker'!C207</f>
        <v>0</v>
      </c>
      <c r="H210" s="50" t="str">
        <f>'WhatsApp Tracker'!D207</f>
        <v>9859939182</v>
      </c>
      <c r="I210" s="50" t="str">
        <f>'WhatsApp Tracker'!T207</f>
        <v>Not sent</v>
      </c>
      <c r="J210" s="50" t="str">
        <f>'WhatsApp Tracker'!U207</f>
        <v>Unknown</v>
      </c>
      <c r="K210" s="50" t="str">
        <f>'WhatsApp Tracker'!V207</f>
        <v>Unknown</v>
      </c>
      <c r="L210" s="50" t="str">
        <f>'WhatsApp Tracker'!W207</f>
        <v>Not offered</v>
      </c>
      <c r="M210" s="51" t="str">
        <f>'WhatsApp Tracker'!X207</f>
        <v/>
      </c>
      <c r="N210" s="50" t="str">
        <f>'WhatsApp Tracker'!AM207</f>
        <v>Low confidence: verify before sending</v>
      </c>
      <c r="O210" s="50" t="str">
        <f>'WhatsApp Tracker'!AC207</f>
        <v>Imported from extract_garden. Confidence: Low. Parsed from Assam Tea Directory row, verify before sending</v>
      </c>
    </row>
    <row r="211" spans="1:15" x14ac:dyDescent="0.25">
      <c r="A211" s="50">
        <f>'WhatsApp Tracker'!AH208</f>
        <v>9596</v>
      </c>
      <c r="B211" s="50" t="str">
        <f>'WhatsApp Tracker'!AA208</f>
        <v>Do not send</v>
      </c>
      <c r="C211" s="50" t="str">
        <f>'WhatsApp Tracker'!M208</f>
        <v>Hold</v>
      </c>
      <c r="D211" s="50">
        <f>'WhatsApp Tracker'!AN208</f>
        <v>5</v>
      </c>
      <c r="E211" s="50" t="str">
        <f>'WhatsApp Tracker'!AL208</f>
        <v>Parsed directory row</v>
      </c>
      <c r="F211" s="50" t="str">
        <f>'WhatsApp Tracker'!B208</f>
        <v>Imported contact</v>
      </c>
      <c r="G211" s="50">
        <f>'WhatsApp Tracker'!C208</f>
        <v>0</v>
      </c>
      <c r="H211" s="50" t="str">
        <f>'WhatsApp Tracker'!D208</f>
        <v>9435182675</v>
      </c>
      <c r="I211" s="50" t="str">
        <f>'WhatsApp Tracker'!T208</f>
        <v>Not sent</v>
      </c>
      <c r="J211" s="50" t="str">
        <f>'WhatsApp Tracker'!U208</f>
        <v>Unknown</v>
      </c>
      <c r="K211" s="50" t="str">
        <f>'WhatsApp Tracker'!V208</f>
        <v>Unknown</v>
      </c>
      <c r="L211" s="50" t="str">
        <f>'WhatsApp Tracker'!W208</f>
        <v>Not offered</v>
      </c>
      <c r="M211" s="51" t="str">
        <f>'WhatsApp Tracker'!X208</f>
        <v/>
      </c>
      <c r="N211" s="50" t="str">
        <f>'WhatsApp Tracker'!AM208</f>
        <v>Low confidence: verify before sending</v>
      </c>
      <c r="O211" s="50" t="str">
        <f>'WhatsApp Tracker'!AC208</f>
        <v>Imported from extract_garden. Confidence: Low. Parsed from Assam Tea Directory row, verify before sending</v>
      </c>
    </row>
    <row r="212" spans="1:15" x14ac:dyDescent="0.25">
      <c r="A212" s="50">
        <f>'WhatsApp Tracker'!AH209</f>
        <v>9596</v>
      </c>
      <c r="B212" s="50" t="str">
        <f>'WhatsApp Tracker'!AA209</f>
        <v>Do not send</v>
      </c>
      <c r="C212" s="50" t="str">
        <f>'WhatsApp Tracker'!M209</f>
        <v>Hold</v>
      </c>
      <c r="D212" s="50">
        <f>'WhatsApp Tracker'!AN209</f>
        <v>5</v>
      </c>
      <c r="E212" s="50" t="str">
        <f>'WhatsApp Tracker'!AL209</f>
        <v>Parsed directory row</v>
      </c>
      <c r="F212" s="50" t="str">
        <f>'WhatsApp Tracker'!B209</f>
        <v>Imported contact</v>
      </c>
      <c r="G212" s="50">
        <f>'WhatsApp Tracker'!C209</f>
        <v>0</v>
      </c>
      <c r="H212" s="50" t="str">
        <f>'WhatsApp Tracker'!D209</f>
        <v>9435153595</v>
      </c>
      <c r="I212" s="50" t="str">
        <f>'WhatsApp Tracker'!T209</f>
        <v>Not sent</v>
      </c>
      <c r="J212" s="50" t="str">
        <f>'WhatsApp Tracker'!U209</f>
        <v>Unknown</v>
      </c>
      <c r="K212" s="50" t="str">
        <f>'WhatsApp Tracker'!V209</f>
        <v>Unknown</v>
      </c>
      <c r="L212" s="50" t="str">
        <f>'WhatsApp Tracker'!W209</f>
        <v>Not offered</v>
      </c>
      <c r="M212" s="51" t="str">
        <f>'WhatsApp Tracker'!X209</f>
        <v/>
      </c>
      <c r="N212" s="50" t="str">
        <f>'WhatsApp Tracker'!AM209</f>
        <v>Low confidence: verify before sending</v>
      </c>
      <c r="O212" s="50" t="str">
        <f>'WhatsApp Tracker'!AC209</f>
        <v>Imported from extract_garden. Confidence: Low. Parsed from Assam Tea Directory row, verify before sending</v>
      </c>
    </row>
    <row r="213" spans="1:15" x14ac:dyDescent="0.25">
      <c r="A213" s="50">
        <f>'WhatsApp Tracker'!AH210</f>
        <v>9596</v>
      </c>
      <c r="B213" s="50" t="str">
        <f>'WhatsApp Tracker'!AA210</f>
        <v>Do not send</v>
      </c>
      <c r="C213" s="50" t="str">
        <f>'WhatsApp Tracker'!M210</f>
        <v>Hold</v>
      </c>
      <c r="D213" s="50">
        <f>'WhatsApp Tracker'!AN210</f>
        <v>5</v>
      </c>
      <c r="E213" s="50" t="str">
        <f>'WhatsApp Tracker'!AL210</f>
        <v>Parsed directory row</v>
      </c>
      <c r="F213" s="50" t="str">
        <f>'WhatsApp Tracker'!B210</f>
        <v>Imported contact</v>
      </c>
      <c r="G213" s="50">
        <f>'WhatsApp Tracker'!C210</f>
        <v>0</v>
      </c>
      <c r="H213" s="50" t="str">
        <f>'WhatsApp Tracker'!D210</f>
        <v>9435052233</v>
      </c>
      <c r="I213" s="50" t="str">
        <f>'WhatsApp Tracker'!T210</f>
        <v>Not sent</v>
      </c>
      <c r="J213" s="50" t="str">
        <f>'WhatsApp Tracker'!U210</f>
        <v>Unknown</v>
      </c>
      <c r="K213" s="50" t="str">
        <f>'WhatsApp Tracker'!V210</f>
        <v>Unknown</v>
      </c>
      <c r="L213" s="50" t="str">
        <f>'WhatsApp Tracker'!W210</f>
        <v>Not offered</v>
      </c>
      <c r="M213" s="51" t="str">
        <f>'WhatsApp Tracker'!X210</f>
        <v/>
      </c>
      <c r="N213" s="50" t="str">
        <f>'WhatsApp Tracker'!AM210</f>
        <v>Low confidence: verify before sending</v>
      </c>
      <c r="O213" s="50" t="str">
        <f>'WhatsApp Tracker'!AC210</f>
        <v>Imported from extract_garden. Confidence: Low. Parsed from Assam Tea Directory row, verify before sending</v>
      </c>
    </row>
    <row r="214" spans="1:15" x14ac:dyDescent="0.25">
      <c r="A214" s="50">
        <f>'WhatsApp Tracker'!AH211</f>
        <v>9596</v>
      </c>
      <c r="B214" s="50" t="str">
        <f>'WhatsApp Tracker'!AA211</f>
        <v>Do not send</v>
      </c>
      <c r="C214" s="50" t="str">
        <f>'WhatsApp Tracker'!M211</f>
        <v>Hold</v>
      </c>
      <c r="D214" s="50">
        <f>'WhatsApp Tracker'!AN211</f>
        <v>5</v>
      </c>
      <c r="E214" s="50" t="str">
        <f>'WhatsApp Tracker'!AL211</f>
        <v>Parsed directory row</v>
      </c>
      <c r="F214" s="50" t="str">
        <f>'WhatsApp Tracker'!B211</f>
        <v>Imported contact</v>
      </c>
      <c r="G214" s="50">
        <f>'WhatsApp Tracker'!C211</f>
        <v>0</v>
      </c>
      <c r="H214" s="50" t="str">
        <f>'WhatsApp Tracker'!D211</f>
        <v>9435666877</v>
      </c>
      <c r="I214" s="50" t="str">
        <f>'WhatsApp Tracker'!T211</f>
        <v>Not sent</v>
      </c>
      <c r="J214" s="50" t="str">
        <f>'WhatsApp Tracker'!U211</f>
        <v>Unknown</v>
      </c>
      <c r="K214" s="50" t="str">
        <f>'WhatsApp Tracker'!V211</f>
        <v>Unknown</v>
      </c>
      <c r="L214" s="50" t="str">
        <f>'WhatsApp Tracker'!W211</f>
        <v>Not offered</v>
      </c>
      <c r="M214" s="51" t="str">
        <f>'WhatsApp Tracker'!X211</f>
        <v/>
      </c>
      <c r="N214" s="50" t="str">
        <f>'WhatsApp Tracker'!AM211</f>
        <v>Low confidence: verify before sending</v>
      </c>
      <c r="O214" s="50" t="str">
        <f>'WhatsApp Tracker'!AC211</f>
        <v>Imported from extract_garden. Confidence: Low. Parsed from Assam Tea Directory row, verify before sending</v>
      </c>
    </row>
    <row r="215" spans="1:15" x14ac:dyDescent="0.25">
      <c r="A215" s="50">
        <f>'WhatsApp Tracker'!AH212</f>
        <v>9596</v>
      </c>
      <c r="B215" s="50" t="str">
        <f>'WhatsApp Tracker'!AA212</f>
        <v>Do not send</v>
      </c>
      <c r="C215" s="50" t="str">
        <f>'WhatsApp Tracker'!M212</f>
        <v>Hold</v>
      </c>
      <c r="D215" s="50">
        <f>'WhatsApp Tracker'!AN212</f>
        <v>5</v>
      </c>
      <c r="E215" s="50" t="str">
        <f>'WhatsApp Tracker'!AL212</f>
        <v>Parsed directory row</v>
      </c>
      <c r="F215" s="50" t="str">
        <f>'WhatsApp Tracker'!B212</f>
        <v>Imported contact</v>
      </c>
      <c r="G215" s="50">
        <f>'WhatsApp Tracker'!C212</f>
        <v>0</v>
      </c>
      <c r="H215" s="50" t="str">
        <f>'WhatsApp Tracker'!D212</f>
        <v>9435150315</v>
      </c>
      <c r="I215" s="50" t="str">
        <f>'WhatsApp Tracker'!T212</f>
        <v>Not sent</v>
      </c>
      <c r="J215" s="50" t="str">
        <f>'WhatsApp Tracker'!U212</f>
        <v>Unknown</v>
      </c>
      <c r="K215" s="50" t="str">
        <f>'WhatsApp Tracker'!V212</f>
        <v>Unknown</v>
      </c>
      <c r="L215" s="50" t="str">
        <f>'WhatsApp Tracker'!W212</f>
        <v>Not offered</v>
      </c>
      <c r="M215" s="51" t="str">
        <f>'WhatsApp Tracker'!X212</f>
        <v/>
      </c>
      <c r="N215" s="50" t="str">
        <f>'WhatsApp Tracker'!AM212</f>
        <v>Low confidence: verify before sending</v>
      </c>
      <c r="O215" s="50" t="str">
        <f>'WhatsApp Tracker'!AC212</f>
        <v>Imported from extract_garden. Confidence: Low. Parsed from Assam Tea Directory row, verify before sending</v>
      </c>
    </row>
    <row r="216" spans="1:15" x14ac:dyDescent="0.25">
      <c r="A216" s="50">
        <f>'WhatsApp Tracker'!AH213</f>
        <v>9596</v>
      </c>
      <c r="B216" s="50" t="str">
        <f>'WhatsApp Tracker'!AA213</f>
        <v>Do not send</v>
      </c>
      <c r="C216" s="50" t="str">
        <f>'WhatsApp Tracker'!M213</f>
        <v>Hold</v>
      </c>
      <c r="D216" s="50">
        <f>'WhatsApp Tracker'!AN213</f>
        <v>5</v>
      </c>
      <c r="E216" s="50" t="str">
        <f>'WhatsApp Tracker'!AL213</f>
        <v>Parsed directory row</v>
      </c>
      <c r="F216" s="50" t="str">
        <f>'WhatsApp Tracker'!B213</f>
        <v>Imported contact</v>
      </c>
      <c r="G216" s="50">
        <f>'WhatsApp Tracker'!C213</f>
        <v>0</v>
      </c>
      <c r="H216" s="50" t="str">
        <f>'WhatsApp Tracker'!D213</f>
        <v>9954264263</v>
      </c>
      <c r="I216" s="50" t="str">
        <f>'WhatsApp Tracker'!T213</f>
        <v>Not sent</v>
      </c>
      <c r="J216" s="50" t="str">
        <f>'WhatsApp Tracker'!U213</f>
        <v>Unknown</v>
      </c>
      <c r="K216" s="50" t="str">
        <f>'WhatsApp Tracker'!V213</f>
        <v>Unknown</v>
      </c>
      <c r="L216" s="50" t="str">
        <f>'WhatsApp Tracker'!W213</f>
        <v>Not offered</v>
      </c>
      <c r="M216" s="51" t="str">
        <f>'WhatsApp Tracker'!X213</f>
        <v/>
      </c>
      <c r="N216" s="50" t="str">
        <f>'WhatsApp Tracker'!AM213</f>
        <v>Low confidence: verify before sending</v>
      </c>
      <c r="O216" s="50" t="str">
        <f>'WhatsApp Tracker'!AC213</f>
        <v>Imported from extract_garden. Confidence: Low. Parsed from Assam Tea Directory row, verify before sending</v>
      </c>
    </row>
    <row r="217" spans="1:15" x14ac:dyDescent="0.25">
      <c r="A217" s="50">
        <f>'WhatsApp Tracker'!AH214</f>
        <v>9596</v>
      </c>
      <c r="B217" s="50" t="str">
        <f>'WhatsApp Tracker'!AA214</f>
        <v>Do not send</v>
      </c>
      <c r="C217" s="50" t="str">
        <f>'WhatsApp Tracker'!M214</f>
        <v>Hold</v>
      </c>
      <c r="D217" s="50">
        <f>'WhatsApp Tracker'!AN214</f>
        <v>5</v>
      </c>
      <c r="E217" s="50" t="str">
        <f>'WhatsApp Tracker'!AL214</f>
        <v>Parsed directory row</v>
      </c>
      <c r="F217" s="50" t="str">
        <f>'WhatsApp Tracker'!B214</f>
        <v>Imported contact</v>
      </c>
      <c r="G217" s="50">
        <f>'WhatsApp Tracker'!C214</f>
        <v>0</v>
      </c>
      <c r="H217" s="50" t="str">
        <f>'WhatsApp Tracker'!D214</f>
        <v>9435050088</v>
      </c>
      <c r="I217" s="50" t="str">
        <f>'WhatsApp Tracker'!T214</f>
        <v>Not sent</v>
      </c>
      <c r="J217" s="50" t="str">
        <f>'WhatsApp Tracker'!U214</f>
        <v>Unknown</v>
      </c>
      <c r="K217" s="50" t="str">
        <f>'WhatsApp Tracker'!V214</f>
        <v>Unknown</v>
      </c>
      <c r="L217" s="50" t="str">
        <f>'WhatsApp Tracker'!W214</f>
        <v>Not offered</v>
      </c>
      <c r="M217" s="51" t="str">
        <f>'WhatsApp Tracker'!X214</f>
        <v/>
      </c>
      <c r="N217" s="50" t="str">
        <f>'WhatsApp Tracker'!AM214</f>
        <v>Low confidence: verify before sending</v>
      </c>
      <c r="O217" s="50" t="str">
        <f>'WhatsApp Tracker'!AC214</f>
        <v>Imported from extract_garden. Confidence: Low. Parsed from Assam Tea Directory row, verify before sending</v>
      </c>
    </row>
    <row r="218" spans="1:15" x14ac:dyDescent="0.25">
      <c r="A218" s="50">
        <f>'WhatsApp Tracker'!AH215</f>
        <v>9596</v>
      </c>
      <c r="B218" s="50" t="str">
        <f>'WhatsApp Tracker'!AA215</f>
        <v>Do not send</v>
      </c>
      <c r="C218" s="50" t="str">
        <f>'WhatsApp Tracker'!M215</f>
        <v>Hold</v>
      </c>
      <c r="D218" s="50">
        <f>'WhatsApp Tracker'!AN215</f>
        <v>5</v>
      </c>
      <c r="E218" s="50" t="str">
        <f>'WhatsApp Tracker'!AL215</f>
        <v>Parsed directory row</v>
      </c>
      <c r="F218" s="50" t="str">
        <f>'WhatsApp Tracker'!B215</f>
        <v>Imported contact</v>
      </c>
      <c r="G218" s="50">
        <f>'WhatsApp Tracker'!C215</f>
        <v>0</v>
      </c>
      <c r="H218" s="50" t="str">
        <f>'WhatsApp Tracker'!D215</f>
        <v>9436432228</v>
      </c>
      <c r="I218" s="50" t="str">
        <f>'WhatsApp Tracker'!T215</f>
        <v>Not sent</v>
      </c>
      <c r="J218" s="50" t="str">
        <f>'WhatsApp Tracker'!U215</f>
        <v>Unknown</v>
      </c>
      <c r="K218" s="50" t="str">
        <f>'WhatsApp Tracker'!V215</f>
        <v>Unknown</v>
      </c>
      <c r="L218" s="50" t="str">
        <f>'WhatsApp Tracker'!W215</f>
        <v>Not offered</v>
      </c>
      <c r="M218" s="51" t="str">
        <f>'WhatsApp Tracker'!X215</f>
        <v/>
      </c>
      <c r="N218" s="50" t="str">
        <f>'WhatsApp Tracker'!AM215</f>
        <v>Low confidence: verify before sending</v>
      </c>
      <c r="O218" s="50" t="str">
        <f>'WhatsApp Tracker'!AC215</f>
        <v>Imported from extract_garden. Confidence: Low. Parsed from Assam Tea Directory row, verify before sending</v>
      </c>
    </row>
    <row r="219" spans="1:15" x14ac:dyDescent="0.25">
      <c r="A219" s="50">
        <f>'WhatsApp Tracker'!AH216</f>
        <v>9596</v>
      </c>
      <c r="B219" s="50" t="str">
        <f>'WhatsApp Tracker'!AA216</f>
        <v>Do not send</v>
      </c>
      <c r="C219" s="50" t="str">
        <f>'WhatsApp Tracker'!M216</f>
        <v>Hold</v>
      </c>
      <c r="D219" s="50">
        <f>'WhatsApp Tracker'!AN216</f>
        <v>5</v>
      </c>
      <c r="E219" s="50" t="str">
        <f>'WhatsApp Tracker'!AL216</f>
        <v>Parsed directory row</v>
      </c>
      <c r="F219" s="50" t="str">
        <f>'WhatsApp Tracker'!B216</f>
        <v>Imported contact</v>
      </c>
      <c r="G219" s="50">
        <f>'WhatsApp Tracker'!C216</f>
        <v>0</v>
      </c>
      <c r="H219" s="50" t="str">
        <f>'WhatsApp Tracker'!D216</f>
        <v>9206195637</v>
      </c>
      <c r="I219" s="50" t="str">
        <f>'WhatsApp Tracker'!T216</f>
        <v>Not sent</v>
      </c>
      <c r="J219" s="50" t="str">
        <f>'WhatsApp Tracker'!U216</f>
        <v>Unknown</v>
      </c>
      <c r="K219" s="50" t="str">
        <f>'WhatsApp Tracker'!V216</f>
        <v>Unknown</v>
      </c>
      <c r="L219" s="50" t="str">
        <f>'WhatsApp Tracker'!W216</f>
        <v>Not offered</v>
      </c>
      <c r="M219" s="51" t="str">
        <f>'WhatsApp Tracker'!X216</f>
        <v/>
      </c>
      <c r="N219" s="50" t="str">
        <f>'WhatsApp Tracker'!AM216</f>
        <v>Low confidence: verify before sending</v>
      </c>
      <c r="O219" s="50" t="str">
        <f>'WhatsApp Tracker'!AC216</f>
        <v>Imported from extract_garden. Confidence: Low. Parsed from Assam Tea Directory row, verify before sending</v>
      </c>
    </row>
    <row r="220" spans="1:15" x14ac:dyDescent="0.25">
      <c r="A220" s="50">
        <f>'WhatsApp Tracker'!AH217</f>
        <v>9596</v>
      </c>
      <c r="B220" s="50" t="str">
        <f>'WhatsApp Tracker'!AA217</f>
        <v>Do not send</v>
      </c>
      <c r="C220" s="50" t="str">
        <f>'WhatsApp Tracker'!M217</f>
        <v>Hold</v>
      </c>
      <c r="D220" s="50">
        <f>'WhatsApp Tracker'!AN217</f>
        <v>5</v>
      </c>
      <c r="E220" s="50" t="str">
        <f>'WhatsApp Tracker'!AL217</f>
        <v>Parsed directory row</v>
      </c>
      <c r="F220" s="50" t="str">
        <f>'WhatsApp Tracker'!B217</f>
        <v>Imported contact</v>
      </c>
      <c r="G220" s="50">
        <f>'WhatsApp Tracker'!C217</f>
        <v>0</v>
      </c>
      <c r="H220" s="50" t="str">
        <f>'WhatsApp Tracker'!D217</f>
        <v>9435079449</v>
      </c>
      <c r="I220" s="50" t="str">
        <f>'WhatsApp Tracker'!T217</f>
        <v>Not sent</v>
      </c>
      <c r="J220" s="50" t="str">
        <f>'WhatsApp Tracker'!U217</f>
        <v>Unknown</v>
      </c>
      <c r="K220" s="50" t="str">
        <f>'WhatsApp Tracker'!V217</f>
        <v>Unknown</v>
      </c>
      <c r="L220" s="50" t="str">
        <f>'WhatsApp Tracker'!W217</f>
        <v>Not offered</v>
      </c>
      <c r="M220" s="51" t="str">
        <f>'WhatsApp Tracker'!X217</f>
        <v/>
      </c>
      <c r="N220" s="50" t="str">
        <f>'WhatsApp Tracker'!AM217</f>
        <v>Low confidence: verify before sending</v>
      </c>
      <c r="O220" s="50" t="str">
        <f>'WhatsApp Tracker'!AC217</f>
        <v>Imported from extract_garden. Confidence: Low. Parsed from Assam Tea Directory row, verify before sending</v>
      </c>
    </row>
    <row r="221" spans="1:15" x14ac:dyDescent="0.25">
      <c r="A221" s="50">
        <f>'WhatsApp Tracker'!AH218</f>
        <v>9596</v>
      </c>
      <c r="B221" s="50" t="str">
        <f>'WhatsApp Tracker'!AA218</f>
        <v>Do not send</v>
      </c>
      <c r="C221" s="50" t="str">
        <f>'WhatsApp Tracker'!M218</f>
        <v>Hold</v>
      </c>
      <c r="D221" s="50">
        <f>'WhatsApp Tracker'!AN218</f>
        <v>5</v>
      </c>
      <c r="E221" s="50" t="str">
        <f>'WhatsApp Tracker'!AL218</f>
        <v>Parsed directory row</v>
      </c>
      <c r="F221" s="50" t="str">
        <f>'WhatsApp Tracker'!B218</f>
        <v>Imported contact</v>
      </c>
      <c r="G221" s="50">
        <f>'WhatsApp Tracker'!C218</f>
        <v>0</v>
      </c>
      <c r="H221" s="50" t="str">
        <f>'WhatsApp Tracker'!D218</f>
        <v>9435172193</v>
      </c>
      <c r="I221" s="50" t="str">
        <f>'WhatsApp Tracker'!T218</f>
        <v>Not sent</v>
      </c>
      <c r="J221" s="50" t="str">
        <f>'WhatsApp Tracker'!U218</f>
        <v>Unknown</v>
      </c>
      <c r="K221" s="50" t="str">
        <f>'WhatsApp Tracker'!V218</f>
        <v>Unknown</v>
      </c>
      <c r="L221" s="50" t="str">
        <f>'WhatsApp Tracker'!W218</f>
        <v>Not offered</v>
      </c>
      <c r="M221" s="51" t="str">
        <f>'WhatsApp Tracker'!X218</f>
        <v/>
      </c>
      <c r="N221" s="50" t="str">
        <f>'WhatsApp Tracker'!AM218</f>
        <v>Low confidence: verify before sending</v>
      </c>
      <c r="O221" s="50" t="str">
        <f>'WhatsApp Tracker'!AC218</f>
        <v>Imported from extract_garden. Confidence: Low. Parsed from Assam Tea Directory row, verify before sending</v>
      </c>
    </row>
    <row r="222" spans="1:15" x14ac:dyDescent="0.25">
      <c r="A222" s="50">
        <f>'WhatsApp Tracker'!AH219</f>
        <v>9596</v>
      </c>
      <c r="B222" s="50" t="str">
        <f>'WhatsApp Tracker'!AA219</f>
        <v>Do not send</v>
      </c>
      <c r="C222" s="50" t="str">
        <f>'WhatsApp Tracker'!M219</f>
        <v>Hold</v>
      </c>
      <c r="D222" s="50">
        <f>'WhatsApp Tracker'!AN219</f>
        <v>5</v>
      </c>
      <c r="E222" s="50" t="str">
        <f>'WhatsApp Tracker'!AL219</f>
        <v>Parsed directory row</v>
      </c>
      <c r="F222" s="50" t="str">
        <f>'WhatsApp Tracker'!B219</f>
        <v>Imported contact</v>
      </c>
      <c r="G222" s="50">
        <f>'WhatsApp Tracker'!C219</f>
        <v>0</v>
      </c>
      <c r="H222" s="50" t="str">
        <f>'WhatsApp Tracker'!D219</f>
        <v>9435134212</v>
      </c>
      <c r="I222" s="50" t="str">
        <f>'WhatsApp Tracker'!T219</f>
        <v>Not sent</v>
      </c>
      <c r="J222" s="50" t="str">
        <f>'WhatsApp Tracker'!U219</f>
        <v>Unknown</v>
      </c>
      <c r="K222" s="50" t="str">
        <f>'WhatsApp Tracker'!V219</f>
        <v>Unknown</v>
      </c>
      <c r="L222" s="50" t="str">
        <f>'WhatsApp Tracker'!W219</f>
        <v>Not offered</v>
      </c>
      <c r="M222" s="51" t="str">
        <f>'WhatsApp Tracker'!X219</f>
        <v/>
      </c>
      <c r="N222" s="50" t="str">
        <f>'WhatsApp Tracker'!AM219</f>
        <v>Low confidence: verify before sending</v>
      </c>
      <c r="O222" s="50" t="str">
        <f>'WhatsApp Tracker'!AC219</f>
        <v>Imported from extract_garden. Confidence: Low. Parsed from Assam Tea Directory row, verify before sending</v>
      </c>
    </row>
    <row r="223" spans="1:15" x14ac:dyDescent="0.25">
      <c r="A223" s="50">
        <f>'WhatsApp Tracker'!AH220</f>
        <v>9596</v>
      </c>
      <c r="B223" s="50" t="str">
        <f>'WhatsApp Tracker'!AA220</f>
        <v>Do not send</v>
      </c>
      <c r="C223" s="50" t="str">
        <f>'WhatsApp Tracker'!M220</f>
        <v>Hold</v>
      </c>
      <c r="D223" s="50">
        <f>'WhatsApp Tracker'!AN220</f>
        <v>5</v>
      </c>
      <c r="E223" s="50" t="str">
        <f>'WhatsApp Tracker'!AL220</f>
        <v>Parsed directory row</v>
      </c>
      <c r="F223" s="50" t="str">
        <f>'WhatsApp Tracker'!B220</f>
        <v>Imported contact</v>
      </c>
      <c r="G223" s="50">
        <f>'WhatsApp Tracker'!C220</f>
        <v>0</v>
      </c>
      <c r="H223" s="50" t="str">
        <f>'WhatsApp Tracker'!D220</f>
        <v>9435036380</v>
      </c>
      <c r="I223" s="50" t="str">
        <f>'WhatsApp Tracker'!T220</f>
        <v>Not sent</v>
      </c>
      <c r="J223" s="50" t="str">
        <f>'WhatsApp Tracker'!U220</f>
        <v>Unknown</v>
      </c>
      <c r="K223" s="50" t="str">
        <f>'WhatsApp Tracker'!V220</f>
        <v>Unknown</v>
      </c>
      <c r="L223" s="50" t="str">
        <f>'WhatsApp Tracker'!W220</f>
        <v>Not offered</v>
      </c>
      <c r="M223" s="51" t="str">
        <f>'WhatsApp Tracker'!X220</f>
        <v/>
      </c>
      <c r="N223" s="50" t="str">
        <f>'WhatsApp Tracker'!AM220</f>
        <v>Low confidence: verify before sending</v>
      </c>
      <c r="O223" s="50" t="str">
        <f>'WhatsApp Tracker'!AC220</f>
        <v>Imported from extract_garden. Confidence: Low. Parsed from Assam Tea Directory row, verify before sending</v>
      </c>
    </row>
    <row r="224" spans="1:15" x14ac:dyDescent="0.25">
      <c r="A224" s="50">
        <f>'WhatsApp Tracker'!AH221</f>
        <v>9596</v>
      </c>
      <c r="B224" s="50" t="str">
        <f>'WhatsApp Tracker'!AA221</f>
        <v>Do not send</v>
      </c>
      <c r="C224" s="50" t="str">
        <f>'WhatsApp Tracker'!M221</f>
        <v>Hold</v>
      </c>
      <c r="D224" s="50">
        <f>'WhatsApp Tracker'!AN221</f>
        <v>5</v>
      </c>
      <c r="E224" s="50" t="str">
        <f>'WhatsApp Tracker'!AL221</f>
        <v>Parsed directory row</v>
      </c>
      <c r="F224" s="50" t="str">
        <f>'WhatsApp Tracker'!B221</f>
        <v>Imported contact</v>
      </c>
      <c r="G224" s="50">
        <f>'WhatsApp Tracker'!C221</f>
        <v>0</v>
      </c>
      <c r="H224" s="50" t="str">
        <f>'WhatsApp Tracker'!D221</f>
        <v>9435036770</v>
      </c>
      <c r="I224" s="50" t="str">
        <f>'WhatsApp Tracker'!T221</f>
        <v>Not sent</v>
      </c>
      <c r="J224" s="50" t="str">
        <f>'WhatsApp Tracker'!U221</f>
        <v>Unknown</v>
      </c>
      <c r="K224" s="50" t="str">
        <f>'WhatsApp Tracker'!V221</f>
        <v>Unknown</v>
      </c>
      <c r="L224" s="50" t="str">
        <f>'WhatsApp Tracker'!W221</f>
        <v>Not offered</v>
      </c>
      <c r="M224" s="51" t="str">
        <f>'WhatsApp Tracker'!X221</f>
        <v/>
      </c>
      <c r="N224" s="50" t="str">
        <f>'WhatsApp Tracker'!AM221</f>
        <v>Low confidence: verify before sending</v>
      </c>
      <c r="O224" s="50" t="str">
        <f>'WhatsApp Tracker'!AC221</f>
        <v>Imported from extract_garden. Confidence: Low. Parsed from Assam Tea Directory row, verify before sending</v>
      </c>
    </row>
    <row r="225" spans="1:15" x14ac:dyDescent="0.25">
      <c r="A225" s="50">
        <f>'WhatsApp Tracker'!AH222</f>
        <v>9596</v>
      </c>
      <c r="B225" s="50" t="str">
        <f>'WhatsApp Tracker'!AA222</f>
        <v>Do not send</v>
      </c>
      <c r="C225" s="50" t="str">
        <f>'WhatsApp Tracker'!M222</f>
        <v>Hold</v>
      </c>
      <c r="D225" s="50">
        <f>'WhatsApp Tracker'!AN222</f>
        <v>5</v>
      </c>
      <c r="E225" s="50" t="str">
        <f>'WhatsApp Tracker'!AL222</f>
        <v>Parsed directory row</v>
      </c>
      <c r="F225" s="50" t="str">
        <f>'WhatsApp Tracker'!B222</f>
        <v>Imported contact</v>
      </c>
      <c r="G225" s="50">
        <f>'WhatsApp Tracker'!C222</f>
        <v>0</v>
      </c>
      <c r="H225" s="50" t="str">
        <f>'WhatsApp Tracker'!D222</f>
        <v>9435031680</v>
      </c>
      <c r="I225" s="50" t="str">
        <f>'WhatsApp Tracker'!T222</f>
        <v>Not sent</v>
      </c>
      <c r="J225" s="50" t="str">
        <f>'WhatsApp Tracker'!U222</f>
        <v>Unknown</v>
      </c>
      <c r="K225" s="50" t="str">
        <f>'WhatsApp Tracker'!V222</f>
        <v>Unknown</v>
      </c>
      <c r="L225" s="50" t="str">
        <f>'WhatsApp Tracker'!W222</f>
        <v>Not offered</v>
      </c>
      <c r="M225" s="51" t="str">
        <f>'WhatsApp Tracker'!X222</f>
        <v/>
      </c>
      <c r="N225" s="50" t="str">
        <f>'WhatsApp Tracker'!AM222</f>
        <v>Low confidence: verify before sending</v>
      </c>
      <c r="O225" s="50" t="str">
        <f>'WhatsApp Tracker'!AC222</f>
        <v>Imported from extract_garden. Confidence: Low. Parsed from Assam Tea Directory row, verify before sending</v>
      </c>
    </row>
    <row r="226" spans="1:15" x14ac:dyDescent="0.25">
      <c r="A226" s="50">
        <f>'WhatsApp Tracker'!AH223</f>
        <v>9596</v>
      </c>
      <c r="B226" s="50" t="str">
        <f>'WhatsApp Tracker'!AA223</f>
        <v>Do not send</v>
      </c>
      <c r="C226" s="50" t="str">
        <f>'WhatsApp Tracker'!M223</f>
        <v>Hold</v>
      </c>
      <c r="D226" s="50">
        <f>'WhatsApp Tracker'!AN223</f>
        <v>5</v>
      </c>
      <c r="E226" s="50" t="str">
        <f>'WhatsApp Tracker'!AL223</f>
        <v>Parsed directory row</v>
      </c>
      <c r="F226" s="50" t="str">
        <f>'WhatsApp Tracker'!B223</f>
        <v>Imported contact</v>
      </c>
      <c r="G226" s="50">
        <f>'WhatsApp Tracker'!C223</f>
        <v>0</v>
      </c>
      <c r="H226" s="50" t="str">
        <f>'WhatsApp Tracker'!D223</f>
        <v>9931171719</v>
      </c>
      <c r="I226" s="50" t="str">
        <f>'WhatsApp Tracker'!T223</f>
        <v>Not sent</v>
      </c>
      <c r="J226" s="50" t="str">
        <f>'WhatsApp Tracker'!U223</f>
        <v>Unknown</v>
      </c>
      <c r="K226" s="50" t="str">
        <f>'WhatsApp Tracker'!V223</f>
        <v>Unknown</v>
      </c>
      <c r="L226" s="50" t="str">
        <f>'WhatsApp Tracker'!W223</f>
        <v>Not offered</v>
      </c>
      <c r="M226" s="51" t="str">
        <f>'WhatsApp Tracker'!X223</f>
        <v/>
      </c>
      <c r="N226" s="50" t="str">
        <f>'WhatsApp Tracker'!AM223</f>
        <v>Low confidence: verify before sending</v>
      </c>
      <c r="O226" s="50" t="str">
        <f>'WhatsApp Tracker'!AC223</f>
        <v>Imported from extract_garden. Confidence: Low. Parsed from Assam Tea Directory row, verify before sending</v>
      </c>
    </row>
    <row r="227" spans="1:15" x14ac:dyDescent="0.25">
      <c r="A227" s="50">
        <f>'WhatsApp Tracker'!AH224</f>
        <v>9596</v>
      </c>
      <c r="B227" s="50" t="str">
        <f>'WhatsApp Tracker'!AA224</f>
        <v>Do not send</v>
      </c>
      <c r="C227" s="50" t="str">
        <f>'WhatsApp Tracker'!M224</f>
        <v>Hold</v>
      </c>
      <c r="D227" s="50">
        <f>'WhatsApp Tracker'!AN224</f>
        <v>5</v>
      </c>
      <c r="E227" s="50" t="str">
        <f>'WhatsApp Tracker'!AL224</f>
        <v>Parsed directory row</v>
      </c>
      <c r="F227" s="50" t="str">
        <f>'WhatsApp Tracker'!B224</f>
        <v>Imported contact</v>
      </c>
      <c r="G227" s="50">
        <f>'WhatsApp Tracker'!C224</f>
        <v>0</v>
      </c>
      <c r="H227" s="50" t="str">
        <f>'WhatsApp Tracker'!D224</f>
        <v>9435200027</v>
      </c>
      <c r="I227" s="50" t="str">
        <f>'WhatsApp Tracker'!T224</f>
        <v>Not sent</v>
      </c>
      <c r="J227" s="50" t="str">
        <f>'WhatsApp Tracker'!U224</f>
        <v>Unknown</v>
      </c>
      <c r="K227" s="50" t="str">
        <f>'WhatsApp Tracker'!V224</f>
        <v>Unknown</v>
      </c>
      <c r="L227" s="50" t="str">
        <f>'WhatsApp Tracker'!W224</f>
        <v>Not offered</v>
      </c>
      <c r="M227" s="51" t="str">
        <f>'WhatsApp Tracker'!X224</f>
        <v/>
      </c>
      <c r="N227" s="50" t="str">
        <f>'WhatsApp Tracker'!AM224</f>
        <v>Low confidence: verify before sending</v>
      </c>
      <c r="O227" s="50" t="str">
        <f>'WhatsApp Tracker'!AC224</f>
        <v>Imported from extract_garden. Confidence: Low. Parsed from Assam Tea Directory row, verify before sending</v>
      </c>
    </row>
    <row r="228" spans="1:15" x14ac:dyDescent="0.25">
      <c r="A228" s="50">
        <f>'WhatsApp Tracker'!AH225</f>
        <v>9596</v>
      </c>
      <c r="B228" s="50" t="str">
        <f>'WhatsApp Tracker'!AA225</f>
        <v>Do not send</v>
      </c>
      <c r="C228" s="50" t="str">
        <f>'WhatsApp Tracker'!M225</f>
        <v>Hold</v>
      </c>
      <c r="D228" s="50">
        <f>'WhatsApp Tracker'!AN225</f>
        <v>5</v>
      </c>
      <c r="E228" s="50" t="str">
        <f>'WhatsApp Tracker'!AL225</f>
        <v>Parsed directory row</v>
      </c>
      <c r="F228" s="50" t="str">
        <f>'WhatsApp Tracker'!B225</f>
        <v>Imported contact</v>
      </c>
      <c r="G228" s="50">
        <f>'WhatsApp Tracker'!C225</f>
        <v>0</v>
      </c>
      <c r="H228" s="50" t="str">
        <f>'WhatsApp Tracker'!D225</f>
        <v>9435012250</v>
      </c>
      <c r="I228" s="50" t="str">
        <f>'WhatsApp Tracker'!T225</f>
        <v>Not sent</v>
      </c>
      <c r="J228" s="50" t="str">
        <f>'WhatsApp Tracker'!U225</f>
        <v>Unknown</v>
      </c>
      <c r="K228" s="50" t="str">
        <f>'WhatsApp Tracker'!V225</f>
        <v>Unknown</v>
      </c>
      <c r="L228" s="50" t="str">
        <f>'WhatsApp Tracker'!W225</f>
        <v>Not offered</v>
      </c>
      <c r="M228" s="51" t="str">
        <f>'WhatsApp Tracker'!X225</f>
        <v/>
      </c>
      <c r="N228" s="50" t="str">
        <f>'WhatsApp Tracker'!AM225</f>
        <v>Low confidence: verify before sending</v>
      </c>
      <c r="O228" s="50" t="str">
        <f>'WhatsApp Tracker'!AC225</f>
        <v>Imported from extract_garden. Confidence: Low. Parsed from Assam Tea Directory row, verify before sending</v>
      </c>
    </row>
    <row r="229" spans="1:15" x14ac:dyDescent="0.25">
      <c r="A229" s="50">
        <f>'WhatsApp Tracker'!AH226</f>
        <v>9596</v>
      </c>
      <c r="B229" s="50" t="str">
        <f>'WhatsApp Tracker'!AA226</f>
        <v>Do not send</v>
      </c>
      <c r="C229" s="50" t="str">
        <f>'WhatsApp Tracker'!M226</f>
        <v>Hold</v>
      </c>
      <c r="D229" s="50">
        <f>'WhatsApp Tracker'!AN226</f>
        <v>5</v>
      </c>
      <c r="E229" s="50" t="str">
        <f>'WhatsApp Tracker'!AL226</f>
        <v>Parsed directory row</v>
      </c>
      <c r="F229" s="50" t="str">
        <f>'WhatsApp Tracker'!B226</f>
        <v>Imported contact</v>
      </c>
      <c r="G229" s="50">
        <f>'WhatsApp Tracker'!C226</f>
        <v>0</v>
      </c>
      <c r="H229" s="50" t="str">
        <f>'WhatsApp Tracker'!D226</f>
        <v>9435154908</v>
      </c>
      <c r="I229" s="50" t="str">
        <f>'WhatsApp Tracker'!T226</f>
        <v>Not sent</v>
      </c>
      <c r="J229" s="50" t="str">
        <f>'WhatsApp Tracker'!U226</f>
        <v>Unknown</v>
      </c>
      <c r="K229" s="50" t="str">
        <f>'WhatsApp Tracker'!V226</f>
        <v>Unknown</v>
      </c>
      <c r="L229" s="50" t="str">
        <f>'WhatsApp Tracker'!W226</f>
        <v>Not offered</v>
      </c>
      <c r="M229" s="51" t="str">
        <f>'WhatsApp Tracker'!X226</f>
        <v/>
      </c>
      <c r="N229" s="50" t="str">
        <f>'WhatsApp Tracker'!AM226</f>
        <v>Low confidence: verify before sending</v>
      </c>
      <c r="O229" s="50" t="str">
        <f>'WhatsApp Tracker'!AC226</f>
        <v>Imported from extract_garden. Confidence: Low. Parsed from Assam Tea Directory row, verify before sending</v>
      </c>
    </row>
    <row r="230" spans="1:15" x14ac:dyDescent="0.25">
      <c r="A230" s="50">
        <f>'WhatsApp Tracker'!AH227</f>
        <v>9596</v>
      </c>
      <c r="B230" s="50" t="str">
        <f>'WhatsApp Tracker'!AA227</f>
        <v>Do not send</v>
      </c>
      <c r="C230" s="50" t="str">
        <f>'WhatsApp Tracker'!M227</f>
        <v>Hold</v>
      </c>
      <c r="D230" s="50">
        <f>'WhatsApp Tracker'!AN227</f>
        <v>5</v>
      </c>
      <c r="E230" s="50" t="str">
        <f>'WhatsApp Tracker'!AL227</f>
        <v>Parsed directory row</v>
      </c>
      <c r="F230" s="50" t="str">
        <f>'WhatsApp Tracker'!B227</f>
        <v>Imported contact</v>
      </c>
      <c r="G230" s="50">
        <f>'WhatsApp Tracker'!C227</f>
        <v>0</v>
      </c>
      <c r="H230" s="50" t="str">
        <f>'WhatsApp Tracker'!D227</f>
        <v>9831008777</v>
      </c>
      <c r="I230" s="50" t="str">
        <f>'WhatsApp Tracker'!T227</f>
        <v>Not sent</v>
      </c>
      <c r="J230" s="50" t="str">
        <f>'WhatsApp Tracker'!U227</f>
        <v>Unknown</v>
      </c>
      <c r="K230" s="50" t="str">
        <f>'WhatsApp Tracker'!V227</f>
        <v>Unknown</v>
      </c>
      <c r="L230" s="50" t="str">
        <f>'WhatsApp Tracker'!W227</f>
        <v>Not offered</v>
      </c>
      <c r="M230" s="51" t="str">
        <f>'WhatsApp Tracker'!X227</f>
        <v/>
      </c>
      <c r="N230" s="50" t="str">
        <f>'WhatsApp Tracker'!AM227</f>
        <v>Low confidence: verify before sending</v>
      </c>
      <c r="O230" s="50" t="str">
        <f>'WhatsApp Tracker'!AC227</f>
        <v>Imported from extract_garden. Confidence: Low. Parsed from Assam Tea Directory row, verify before sending</v>
      </c>
    </row>
    <row r="231" spans="1:15" x14ac:dyDescent="0.25">
      <c r="A231" s="50">
        <f>'WhatsApp Tracker'!AH228</f>
        <v>9596</v>
      </c>
      <c r="B231" s="50" t="str">
        <f>'WhatsApp Tracker'!AA228</f>
        <v>Do not send</v>
      </c>
      <c r="C231" s="50" t="str">
        <f>'WhatsApp Tracker'!M228</f>
        <v>Hold</v>
      </c>
      <c r="D231" s="50">
        <f>'WhatsApp Tracker'!AN228</f>
        <v>5</v>
      </c>
      <c r="E231" s="50" t="str">
        <f>'WhatsApp Tracker'!AL228</f>
        <v>Parsed directory row</v>
      </c>
      <c r="F231" s="50" t="str">
        <f>'WhatsApp Tracker'!B228</f>
        <v>Imported contact</v>
      </c>
      <c r="G231" s="50">
        <f>'WhatsApp Tracker'!C228</f>
        <v>0</v>
      </c>
      <c r="H231" s="50" t="str">
        <f>'WhatsApp Tracker'!D228</f>
        <v>9957172136</v>
      </c>
      <c r="I231" s="50" t="str">
        <f>'WhatsApp Tracker'!T228</f>
        <v>Not sent</v>
      </c>
      <c r="J231" s="50" t="str">
        <f>'WhatsApp Tracker'!U228</f>
        <v>Unknown</v>
      </c>
      <c r="K231" s="50" t="str">
        <f>'WhatsApp Tracker'!V228</f>
        <v>Unknown</v>
      </c>
      <c r="L231" s="50" t="str">
        <f>'WhatsApp Tracker'!W228</f>
        <v>Not offered</v>
      </c>
      <c r="M231" s="51" t="str">
        <f>'WhatsApp Tracker'!X228</f>
        <v/>
      </c>
      <c r="N231" s="50" t="str">
        <f>'WhatsApp Tracker'!AM228</f>
        <v>Low confidence: verify before sending</v>
      </c>
      <c r="O231" s="50" t="str">
        <f>'WhatsApp Tracker'!AC228</f>
        <v>Imported from extract_garden. Confidence: Low. Parsed from Assam Tea Directory row, verify before sending</v>
      </c>
    </row>
    <row r="232" spans="1:15" x14ac:dyDescent="0.25">
      <c r="A232" s="50">
        <f>'WhatsApp Tracker'!AH229</f>
        <v>9596</v>
      </c>
      <c r="B232" s="50" t="str">
        <f>'WhatsApp Tracker'!AA229</f>
        <v>Do not send</v>
      </c>
      <c r="C232" s="50" t="str">
        <f>'WhatsApp Tracker'!M229</f>
        <v>Hold</v>
      </c>
      <c r="D232" s="50">
        <f>'WhatsApp Tracker'!AN229</f>
        <v>5</v>
      </c>
      <c r="E232" s="50" t="str">
        <f>'WhatsApp Tracker'!AL229</f>
        <v>Parsed directory row</v>
      </c>
      <c r="F232" s="50" t="str">
        <f>'WhatsApp Tracker'!B229</f>
        <v>Imported contact</v>
      </c>
      <c r="G232" s="50">
        <f>'WhatsApp Tracker'!C229</f>
        <v>0</v>
      </c>
      <c r="H232" s="50" t="str">
        <f>'WhatsApp Tracker'!D229</f>
        <v>9854791247</v>
      </c>
      <c r="I232" s="50" t="str">
        <f>'WhatsApp Tracker'!T229</f>
        <v>Not sent</v>
      </c>
      <c r="J232" s="50" t="str">
        <f>'WhatsApp Tracker'!U229</f>
        <v>Unknown</v>
      </c>
      <c r="K232" s="50" t="str">
        <f>'WhatsApp Tracker'!V229</f>
        <v>Unknown</v>
      </c>
      <c r="L232" s="50" t="str">
        <f>'WhatsApp Tracker'!W229</f>
        <v>Not offered</v>
      </c>
      <c r="M232" s="51" t="str">
        <f>'WhatsApp Tracker'!X229</f>
        <v/>
      </c>
      <c r="N232" s="50" t="str">
        <f>'WhatsApp Tracker'!AM229</f>
        <v>Low confidence: verify before sending</v>
      </c>
      <c r="O232" s="50" t="str">
        <f>'WhatsApp Tracker'!AC229</f>
        <v>Imported from extract_garden. Confidence: Low. Parsed from Assam Tea Directory row, verify before sending</v>
      </c>
    </row>
    <row r="233" spans="1:15" x14ac:dyDescent="0.25">
      <c r="A233" s="50">
        <f>'WhatsApp Tracker'!AH230</f>
        <v>9596</v>
      </c>
      <c r="B233" s="50" t="str">
        <f>'WhatsApp Tracker'!AA230</f>
        <v>Do not send</v>
      </c>
      <c r="C233" s="50" t="str">
        <f>'WhatsApp Tracker'!M230</f>
        <v>Hold</v>
      </c>
      <c r="D233" s="50">
        <f>'WhatsApp Tracker'!AN230</f>
        <v>5</v>
      </c>
      <c r="E233" s="50" t="str">
        <f>'WhatsApp Tracker'!AL230</f>
        <v>Parsed directory row</v>
      </c>
      <c r="F233" s="50" t="str">
        <f>'WhatsApp Tracker'!B230</f>
        <v>Imported contact</v>
      </c>
      <c r="G233" s="50">
        <f>'WhatsApp Tracker'!C230</f>
        <v>0</v>
      </c>
      <c r="H233" s="50" t="str">
        <f>'WhatsApp Tracker'!D230</f>
        <v>9577931098</v>
      </c>
      <c r="I233" s="50" t="str">
        <f>'WhatsApp Tracker'!T230</f>
        <v>Not sent</v>
      </c>
      <c r="J233" s="50" t="str">
        <f>'WhatsApp Tracker'!U230</f>
        <v>Unknown</v>
      </c>
      <c r="K233" s="50" t="str">
        <f>'WhatsApp Tracker'!V230</f>
        <v>Unknown</v>
      </c>
      <c r="L233" s="50" t="str">
        <f>'WhatsApp Tracker'!W230</f>
        <v>Not offered</v>
      </c>
      <c r="M233" s="51" t="str">
        <f>'WhatsApp Tracker'!X230</f>
        <v/>
      </c>
      <c r="N233" s="50" t="str">
        <f>'WhatsApp Tracker'!AM230</f>
        <v>Low confidence: verify before sending</v>
      </c>
      <c r="O233" s="50" t="str">
        <f>'WhatsApp Tracker'!AC230</f>
        <v>Imported from extract_garden. Confidence: Low. Parsed from Assam Tea Directory row, verify before sending</v>
      </c>
    </row>
    <row r="234" spans="1:15" x14ac:dyDescent="0.25">
      <c r="A234" s="50">
        <f>'WhatsApp Tracker'!AH231</f>
        <v>9596</v>
      </c>
      <c r="B234" s="50" t="str">
        <f>'WhatsApp Tracker'!AA231</f>
        <v>Do not send</v>
      </c>
      <c r="C234" s="50" t="str">
        <f>'WhatsApp Tracker'!M231</f>
        <v>Hold</v>
      </c>
      <c r="D234" s="50">
        <f>'WhatsApp Tracker'!AN231</f>
        <v>5</v>
      </c>
      <c r="E234" s="50" t="str">
        <f>'WhatsApp Tracker'!AL231</f>
        <v>Parsed directory row</v>
      </c>
      <c r="F234" s="50" t="str">
        <f>'WhatsApp Tracker'!B231</f>
        <v>Imported contact</v>
      </c>
      <c r="G234" s="50">
        <f>'WhatsApp Tracker'!C231</f>
        <v>0</v>
      </c>
      <c r="H234" s="50" t="str">
        <f>'WhatsApp Tracker'!D231</f>
        <v>9435053873</v>
      </c>
      <c r="I234" s="50" t="str">
        <f>'WhatsApp Tracker'!T231</f>
        <v>Not sent</v>
      </c>
      <c r="J234" s="50" t="str">
        <f>'WhatsApp Tracker'!U231</f>
        <v>Unknown</v>
      </c>
      <c r="K234" s="50" t="str">
        <f>'WhatsApp Tracker'!V231</f>
        <v>Unknown</v>
      </c>
      <c r="L234" s="50" t="str">
        <f>'WhatsApp Tracker'!W231</f>
        <v>Not offered</v>
      </c>
      <c r="M234" s="51" t="str">
        <f>'WhatsApp Tracker'!X231</f>
        <v/>
      </c>
      <c r="N234" s="50" t="str">
        <f>'WhatsApp Tracker'!AM231</f>
        <v>Low confidence: verify before sending</v>
      </c>
      <c r="O234" s="50" t="str">
        <f>'WhatsApp Tracker'!AC231</f>
        <v>Imported from extract_garden. Confidence: Low. Parsed from Assam Tea Directory row, verify before sending</v>
      </c>
    </row>
    <row r="235" spans="1:15" x14ac:dyDescent="0.25">
      <c r="A235" s="50">
        <f>'WhatsApp Tracker'!AH232</f>
        <v>9596</v>
      </c>
      <c r="B235" s="50" t="str">
        <f>'WhatsApp Tracker'!AA232</f>
        <v>Do not send</v>
      </c>
      <c r="C235" s="50" t="str">
        <f>'WhatsApp Tracker'!M232</f>
        <v>Hold</v>
      </c>
      <c r="D235" s="50">
        <f>'WhatsApp Tracker'!AN232</f>
        <v>5</v>
      </c>
      <c r="E235" s="50" t="str">
        <f>'WhatsApp Tracker'!AL232</f>
        <v>Parsed directory row</v>
      </c>
      <c r="F235" s="50" t="str">
        <f>'WhatsApp Tracker'!B232</f>
        <v>Imported contact</v>
      </c>
      <c r="G235" s="50">
        <f>'WhatsApp Tracker'!C232</f>
        <v>0</v>
      </c>
      <c r="H235" s="50" t="str">
        <f>'WhatsApp Tracker'!D232</f>
        <v>9854122357</v>
      </c>
      <c r="I235" s="50" t="str">
        <f>'WhatsApp Tracker'!T232</f>
        <v>Not sent</v>
      </c>
      <c r="J235" s="50" t="str">
        <f>'WhatsApp Tracker'!U232</f>
        <v>Unknown</v>
      </c>
      <c r="K235" s="50" t="str">
        <f>'WhatsApp Tracker'!V232</f>
        <v>Unknown</v>
      </c>
      <c r="L235" s="50" t="str">
        <f>'WhatsApp Tracker'!W232</f>
        <v>Not offered</v>
      </c>
      <c r="M235" s="51" t="str">
        <f>'WhatsApp Tracker'!X232</f>
        <v/>
      </c>
      <c r="N235" s="50" t="str">
        <f>'WhatsApp Tracker'!AM232</f>
        <v>Low confidence: verify before sending</v>
      </c>
      <c r="O235" s="50" t="str">
        <f>'WhatsApp Tracker'!AC232</f>
        <v>Imported from extract_garden. Confidence: Low. Parsed from Assam Tea Directory row, verify before sending</v>
      </c>
    </row>
    <row r="236" spans="1:15" x14ac:dyDescent="0.25">
      <c r="A236" s="50">
        <f>'WhatsApp Tracker'!AH233</f>
        <v>9596</v>
      </c>
      <c r="B236" s="50" t="str">
        <f>'WhatsApp Tracker'!AA233</f>
        <v>Do not send</v>
      </c>
      <c r="C236" s="50" t="str">
        <f>'WhatsApp Tracker'!M233</f>
        <v>Hold</v>
      </c>
      <c r="D236" s="50">
        <f>'WhatsApp Tracker'!AN233</f>
        <v>5</v>
      </c>
      <c r="E236" s="50" t="str">
        <f>'WhatsApp Tracker'!AL233</f>
        <v>Parsed directory row</v>
      </c>
      <c r="F236" s="50" t="str">
        <f>'WhatsApp Tracker'!B233</f>
        <v>Imported contact</v>
      </c>
      <c r="G236" s="50">
        <f>'WhatsApp Tracker'!C233</f>
        <v>0</v>
      </c>
      <c r="H236" s="50" t="str">
        <f>'WhatsApp Tracker'!D233</f>
        <v>9435033527</v>
      </c>
      <c r="I236" s="50" t="str">
        <f>'WhatsApp Tracker'!T233</f>
        <v>Not sent</v>
      </c>
      <c r="J236" s="50" t="str">
        <f>'WhatsApp Tracker'!U233</f>
        <v>Unknown</v>
      </c>
      <c r="K236" s="50" t="str">
        <f>'WhatsApp Tracker'!V233</f>
        <v>Unknown</v>
      </c>
      <c r="L236" s="50" t="str">
        <f>'WhatsApp Tracker'!W233</f>
        <v>Not offered</v>
      </c>
      <c r="M236" s="51" t="str">
        <f>'WhatsApp Tracker'!X233</f>
        <v/>
      </c>
      <c r="N236" s="50" t="str">
        <f>'WhatsApp Tracker'!AM233</f>
        <v>Low confidence: verify before sending</v>
      </c>
      <c r="O236" s="50" t="str">
        <f>'WhatsApp Tracker'!AC233</f>
        <v>Imported from extract_garden. Confidence: Low. Parsed from Assam Tea Directory row, verify before sending</v>
      </c>
    </row>
    <row r="237" spans="1:15" x14ac:dyDescent="0.25">
      <c r="A237" s="50">
        <f>'WhatsApp Tracker'!AH234</f>
        <v>9596</v>
      </c>
      <c r="B237" s="50" t="str">
        <f>'WhatsApp Tracker'!AA234</f>
        <v>Do not send</v>
      </c>
      <c r="C237" s="50" t="str">
        <f>'WhatsApp Tracker'!M234</f>
        <v>Hold</v>
      </c>
      <c r="D237" s="50">
        <f>'WhatsApp Tracker'!AN234</f>
        <v>5</v>
      </c>
      <c r="E237" s="50" t="str">
        <f>'WhatsApp Tracker'!AL234</f>
        <v>Parsed directory row</v>
      </c>
      <c r="F237" s="50" t="str">
        <f>'WhatsApp Tracker'!B234</f>
        <v>Imported contact</v>
      </c>
      <c r="G237" s="50">
        <f>'WhatsApp Tracker'!C234</f>
        <v>0</v>
      </c>
      <c r="H237" s="50" t="str">
        <f>'WhatsApp Tracker'!D234</f>
        <v>9854369682</v>
      </c>
      <c r="I237" s="50" t="str">
        <f>'WhatsApp Tracker'!T234</f>
        <v>Not sent</v>
      </c>
      <c r="J237" s="50" t="str">
        <f>'WhatsApp Tracker'!U234</f>
        <v>Unknown</v>
      </c>
      <c r="K237" s="50" t="str">
        <f>'WhatsApp Tracker'!V234</f>
        <v>Unknown</v>
      </c>
      <c r="L237" s="50" t="str">
        <f>'WhatsApp Tracker'!W234</f>
        <v>Not offered</v>
      </c>
      <c r="M237" s="51" t="str">
        <f>'WhatsApp Tracker'!X234</f>
        <v/>
      </c>
      <c r="N237" s="50" t="str">
        <f>'WhatsApp Tracker'!AM234</f>
        <v>Low confidence: verify before sending</v>
      </c>
      <c r="O237" s="50" t="str">
        <f>'WhatsApp Tracker'!AC234</f>
        <v>Imported from extract_garden. Confidence: Low. Parsed from Assam Tea Directory row, verify before sending</v>
      </c>
    </row>
    <row r="238" spans="1:15" x14ac:dyDescent="0.25">
      <c r="A238" s="50">
        <f>'WhatsApp Tracker'!AH235</f>
        <v>9596</v>
      </c>
      <c r="B238" s="50" t="str">
        <f>'WhatsApp Tracker'!AA235</f>
        <v>Do not send</v>
      </c>
      <c r="C238" s="50" t="str">
        <f>'WhatsApp Tracker'!M235</f>
        <v>Hold</v>
      </c>
      <c r="D238" s="50">
        <f>'WhatsApp Tracker'!AN235</f>
        <v>5</v>
      </c>
      <c r="E238" s="50" t="str">
        <f>'WhatsApp Tracker'!AL235</f>
        <v>Parsed directory row</v>
      </c>
      <c r="F238" s="50" t="str">
        <f>'WhatsApp Tracker'!B235</f>
        <v>Imported contact</v>
      </c>
      <c r="G238" s="50">
        <f>'WhatsApp Tracker'!C235</f>
        <v>0</v>
      </c>
      <c r="H238" s="50" t="str">
        <f>'WhatsApp Tracker'!D235</f>
        <v>9706261542</v>
      </c>
      <c r="I238" s="50" t="str">
        <f>'WhatsApp Tracker'!T235</f>
        <v>Not sent</v>
      </c>
      <c r="J238" s="50" t="str">
        <f>'WhatsApp Tracker'!U235</f>
        <v>Unknown</v>
      </c>
      <c r="K238" s="50" t="str">
        <f>'WhatsApp Tracker'!V235</f>
        <v>Unknown</v>
      </c>
      <c r="L238" s="50" t="str">
        <f>'WhatsApp Tracker'!W235</f>
        <v>Not offered</v>
      </c>
      <c r="M238" s="51" t="str">
        <f>'WhatsApp Tracker'!X235</f>
        <v/>
      </c>
      <c r="N238" s="50" t="str">
        <f>'WhatsApp Tracker'!AM235</f>
        <v>Low confidence: verify before sending</v>
      </c>
      <c r="O238" s="50" t="str">
        <f>'WhatsApp Tracker'!AC235</f>
        <v>Imported from extract_garden. Confidence: Low. Parsed from Assam Tea Directory row, verify before sending</v>
      </c>
    </row>
    <row r="239" spans="1:15" x14ac:dyDescent="0.25">
      <c r="A239" s="50">
        <f>'WhatsApp Tracker'!AH236</f>
        <v>9596</v>
      </c>
      <c r="B239" s="50" t="str">
        <f>'WhatsApp Tracker'!AA236</f>
        <v>Do not send</v>
      </c>
      <c r="C239" s="50" t="str">
        <f>'WhatsApp Tracker'!M236</f>
        <v>Hold</v>
      </c>
      <c r="D239" s="50">
        <f>'WhatsApp Tracker'!AN236</f>
        <v>5</v>
      </c>
      <c r="E239" s="50" t="str">
        <f>'WhatsApp Tracker'!AL236</f>
        <v>Parsed directory row</v>
      </c>
      <c r="F239" s="50" t="str">
        <f>'WhatsApp Tracker'!B236</f>
        <v>Imported contact</v>
      </c>
      <c r="G239" s="50">
        <f>'WhatsApp Tracker'!C236</f>
        <v>0</v>
      </c>
      <c r="H239" s="50" t="str">
        <f>'WhatsApp Tracker'!D236</f>
        <v>9435377619</v>
      </c>
      <c r="I239" s="50" t="str">
        <f>'WhatsApp Tracker'!T236</f>
        <v>Not sent</v>
      </c>
      <c r="J239" s="50" t="str">
        <f>'WhatsApp Tracker'!U236</f>
        <v>Unknown</v>
      </c>
      <c r="K239" s="50" t="str">
        <f>'WhatsApp Tracker'!V236</f>
        <v>Unknown</v>
      </c>
      <c r="L239" s="50" t="str">
        <f>'WhatsApp Tracker'!W236</f>
        <v>Not offered</v>
      </c>
      <c r="M239" s="51" t="str">
        <f>'WhatsApp Tracker'!X236</f>
        <v/>
      </c>
      <c r="N239" s="50" t="str">
        <f>'WhatsApp Tracker'!AM236</f>
        <v>Low confidence: verify before sending</v>
      </c>
      <c r="O239" s="50" t="str">
        <f>'WhatsApp Tracker'!AC236</f>
        <v>Imported from extract_garden. Confidence: Low. Parsed from Assam Tea Directory row, verify before sending</v>
      </c>
    </row>
    <row r="240" spans="1:15" x14ac:dyDescent="0.25">
      <c r="A240" s="50">
        <f>'WhatsApp Tracker'!AH237</f>
        <v>9596</v>
      </c>
      <c r="B240" s="50" t="str">
        <f>'WhatsApp Tracker'!AA237</f>
        <v>Do not send</v>
      </c>
      <c r="C240" s="50" t="str">
        <f>'WhatsApp Tracker'!M237</f>
        <v>Hold</v>
      </c>
      <c r="D240" s="50">
        <f>'WhatsApp Tracker'!AN237</f>
        <v>5</v>
      </c>
      <c r="E240" s="50" t="str">
        <f>'WhatsApp Tracker'!AL237</f>
        <v>Parsed directory row</v>
      </c>
      <c r="F240" s="50" t="str">
        <f>'WhatsApp Tracker'!B237</f>
        <v>Imported contact</v>
      </c>
      <c r="G240" s="50">
        <f>'WhatsApp Tracker'!C237</f>
        <v>0</v>
      </c>
      <c r="H240" s="50" t="str">
        <f>'WhatsApp Tracker'!D237</f>
        <v>9435032278</v>
      </c>
      <c r="I240" s="50" t="str">
        <f>'WhatsApp Tracker'!T237</f>
        <v>Not sent</v>
      </c>
      <c r="J240" s="50" t="str">
        <f>'WhatsApp Tracker'!U237</f>
        <v>Unknown</v>
      </c>
      <c r="K240" s="50" t="str">
        <f>'WhatsApp Tracker'!V237</f>
        <v>Unknown</v>
      </c>
      <c r="L240" s="50" t="str">
        <f>'WhatsApp Tracker'!W237</f>
        <v>Not offered</v>
      </c>
      <c r="M240" s="51" t="str">
        <f>'WhatsApp Tracker'!X237</f>
        <v/>
      </c>
      <c r="N240" s="50" t="str">
        <f>'WhatsApp Tracker'!AM237</f>
        <v>Low confidence: verify before sending</v>
      </c>
      <c r="O240" s="50" t="str">
        <f>'WhatsApp Tracker'!AC237</f>
        <v>Imported from extract_garden. Confidence: Low. Parsed from Assam Tea Directory row, verify before sending</v>
      </c>
    </row>
    <row r="241" spans="1:15" x14ac:dyDescent="0.25">
      <c r="A241" s="50">
        <f>'WhatsApp Tracker'!AH238</f>
        <v>9596</v>
      </c>
      <c r="B241" s="50" t="str">
        <f>'WhatsApp Tracker'!AA238</f>
        <v>Do not send</v>
      </c>
      <c r="C241" s="50" t="str">
        <f>'WhatsApp Tracker'!M238</f>
        <v>Hold</v>
      </c>
      <c r="D241" s="50">
        <f>'WhatsApp Tracker'!AN238</f>
        <v>5</v>
      </c>
      <c r="E241" s="50" t="str">
        <f>'WhatsApp Tracker'!AL238</f>
        <v>Parsed directory row</v>
      </c>
      <c r="F241" s="50" t="str">
        <f>'WhatsApp Tracker'!B238</f>
        <v>Imported contact</v>
      </c>
      <c r="G241" s="50">
        <f>'WhatsApp Tracker'!C238</f>
        <v>0</v>
      </c>
      <c r="H241" s="50" t="str">
        <f>'WhatsApp Tracker'!D238</f>
        <v>9435474260</v>
      </c>
      <c r="I241" s="50" t="str">
        <f>'WhatsApp Tracker'!T238</f>
        <v>Not sent</v>
      </c>
      <c r="J241" s="50" t="str">
        <f>'WhatsApp Tracker'!U238</f>
        <v>Unknown</v>
      </c>
      <c r="K241" s="50" t="str">
        <f>'WhatsApp Tracker'!V238</f>
        <v>Unknown</v>
      </c>
      <c r="L241" s="50" t="str">
        <f>'WhatsApp Tracker'!W238</f>
        <v>Not offered</v>
      </c>
      <c r="M241" s="51" t="str">
        <f>'WhatsApp Tracker'!X238</f>
        <v/>
      </c>
      <c r="N241" s="50" t="str">
        <f>'WhatsApp Tracker'!AM238</f>
        <v>Low confidence: verify before sending</v>
      </c>
      <c r="O241" s="50" t="str">
        <f>'WhatsApp Tracker'!AC238</f>
        <v>Imported from extract_garden. Confidence: Low. Parsed from Assam Tea Directory row, verify before sending</v>
      </c>
    </row>
    <row r="242" spans="1:15" x14ac:dyDescent="0.25">
      <c r="A242" s="50">
        <f>'WhatsApp Tracker'!AH239</f>
        <v>9596</v>
      </c>
      <c r="B242" s="50" t="str">
        <f>'WhatsApp Tracker'!AA239</f>
        <v>Do not send</v>
      </c>
      <c r="C242" s="50" t="str">
        <f>'WhatsApp Tracker'!M239</f>
        <v>Hold</v>
      </c>
      <c r="D242" s="50">
        <f>'WhatsApp Tracker'!AN239</f>
        <v>5</v>
      </c>
      <c r="E242" s="50" t="str">
        <f>'WhatsApp Tracker'!AL239</f>
        <v>Parsed directory row</v>
      </c>
      <c r="F242" s="50" t="str">
        <f>'WhatsApp Tracker'!B239</f>
        <v>Imported contact</v>
      </c>
      <c r="G242" s="50">
        <f>'WhatsApp Tracker'!C239</f>
        <v>0</v>
      </c>
      <c r="H242" s="50" t="str">
        <f>'WhatsApp Tracker'!D239</f>
        <v>9435376241</v>
      </c>
      <c r="I242" s="50" t="str">
        <f>'WhatsApp Tracker'!T239</f>
        <v>Not sent</v>
      </c>
      <c r="J242" s="50" t="str">
        <f>'WhatsApp Tracker'!U239</f>
        <v>Unknown</v>
      </c>
      <c r="K242" s="50" t="str">
        <f>'WhatsApp Tracker'!V239</f>
        <v>Unknown</v>
      </c>
      <c r="L242" s="50" t="str">
        <f>'WhatsApp Tracker'!W239</f>
        <v>Not offered</v>
      </c>
      <c r="M242" s="51" t="str">
        <f>'WhatsApp Tracker'!X239</f>
        <v/>
      </c>
      <c r="N242" s="50" t="str">
        <f>'WhatsApp Tracker'!AM239</f>
        <v>Low confidence: verify before sending</v>
      </c>
      <c r="O242" s="50" t="str">
        <f>'WhatsApp Tracker'!AC239</f>
        <v>Imported from extract_garden. Confidence: Low. Parsed from Assam Tea Directory row, verify before sending</v>
      </c>
    </row>
    <row r="243" spans="1:15" x14ac:dyDescent="0.25">
      <c r="A243" s="50">
        <f>'WhatsApp Tracker'!AH240</f>
        <v>9596</v>
      </c>
      <c r="B243" s="50" t="str">
        <f>'WhatsApp Tracker'!AA240</f>
        <v>Do not send</v>
      </c>
      <c r="C243" s="50" t="str">
        <f>'WhatsApp Tracker'!M240</f>
        <v>Hold</v>
      </c>
      <c r="D243" s="50">
        <f>'WhatsApp Tracker'!AN240</f>
        <v>5</v>
      </c>
      <c r="E243" s="50" t="str">
        <f>'WhatsApp Tracker'!AL240</f>
        <v>Parsed directory row</v>
      </c>
      <c r="F243" s="50" t="str">
        <f>'WhatsApp Tracker'!B240</f>
        <v>Imported contact</v>
      </c>
      <c r="G243" s="50">
        <f>'WhatsApp Tracker'!C240</f>
        <v>0</v>
      </c>
      <c r="H243" s="50" t="str">
        <f>'WhatsApp Tracker'!D240</f>
        <v>9831439243</v>
      </c>
      <c r="I243" s="50" t="str">
        <f>'WhatsApp Tracker'!T240</f>
        <v>Not sent</v>
      </c>
      <c r="J243" s="50" t="str">
        <f>'WhatsApp Tracker'!U240</f>
        <v>Unknown</v>
      </c>
      <c r="K243" s="50" t="str">
        <f>'WhatsApp Tracker'!V240</f>
        <v>Unknown</v>
      </c>
      <c r="L243" s="50" t="str">
        <f>'WhatsApp Tracker'!W240</f>
        <v>Not offered</v>
      </c>
      <c r="M243" s="51" t="str">
        <f>'WhatsApp Tracker'!X240</f>
        <v/>
      </c>
      <c r="N243" s="50" t="str">
        <f>'WhatsApp Tracker'!AM240</f>
        <v>Low confidence: verify before sending</v>
      </c>
      <c r="O243" s="50" t="str">
        <f>'WhatsApp Tracker'!AC240</f>
        <v>Imported from extract_garden. Confidence: Low. Parsed from Assam Tea Directory row, verify before sending</v>
      </c>
    </row>
    <row r="244" spans="1:15" x14ac:dyDescent="0.25">
      <c r="A244" s="50">
        <f>'WhatsApp Tracker'!AH241</f>
        <v>9596</v>
      </c>
      <c r="B244" s="50" t="str">
        <f>'WhatsApp Tracker'!AA241</f>
        <v>Do not send</v>
      </c>
      <c r="C244" s="50" t="str">
        <f>'WhatsApp Tracker'!M241</f>
        <v>Hold</v>
      </c>
      <c r="D244" s="50">
        <f>'WhatsApp Tracker'!AN241</f>
        <v>5</v>
      </c>
      <c r="E244" s="50" t="str">
        <f>'WhatsApp Tracker'!AL241</f>
        <v>Parsed directory row</v>
      </c>
      <c r="F244" s="50" t="str">
        <f>'WhatsApp Tracker'!B241</f>
        <v>Imported contact</v>
      </c>
      <c r="G244" s="50">
        <f>'WhatsApp Tracker'!C241</f>
        <v>0</v>
      </c>
      <c r="H244" s="50" t="str">
        <f>'WhatsApp Tracker'!D241</f>
        <v>9435009285</v>
      </c>
      <c r="I244" s="50" t="str">
        <f>'WhatsApp Tracker'!T241</f>
        <v>Not sent</v>
      </c>
      <c r="J244" s="50" t="str">
        <f>'WhatsApp Tracker'!U241</f>
        <v>Unknown</v>
      </c>
      <c r="K244" s="50" t="str">
        <f>'WhatsApp Tracker'!V241</f>
        <v>Unknown</v>
      </c>
      <c r="L244" s="50" t="str">
        <f>'WhatsApp Tracker'!W241</f>
        <v>Not offered</v>
      </c>
      <c r="M244" s="51" t="str">
        <f>'WhatsApp Tracker'!X241</f>
        <v/>
      </c>
      <c r="N244" s="50" t="str">
        <f>'WhatsApp Tracker'!AM241</f>
        <v>Low confidence: verify before sending</v>
      </c>
      <c r="O244" s="50" t="str">
        <f>'WhatsApp Tracker'!AC241</f>
        <v>Imported from extract_garden. Confidence: Low. Parsed from Assam Tea Directory row, verify before sending</v>
      </c>
    </row>
    <row r="245" spans="1:15" x14ac:dyDescent="0.25">
      <c r="A245" s="50">
        <f>'WhatsApp Tracker'!AH242</f>
        <v>9596</v>
      </c>
      <c r="B245" s="50" t="str">
        <f>'WhatsApp Tracker'!AA242</f>
        <v>Do not send</v>
      </c>
      <c r="C245" s="50" t="str">
        <f>'WhatsApp Tracker'!M242</f>
        <v>Hold</v>
      </c>
      <c r="D245" s="50">
        <f>'WhatsApp Tracker'!AN242</f>
        <v>5</v>
      </c>
      <c r="E245" s="50" t="str">
        <f>'WhatsApp Tracker'!AL242</f>
        <v>Parsed directory row</v>
      </c>
      <c r="F245" s="50" t="str">
        <f>'WhatsApp Tracker'!B242</f>
        <v>ASSAM C</v>
      </c>
      <c r="G245" s="50" t="str">
        <f>'WhatsApp Tracker'!C242</f>
        <v>ASSAM C</v>
      </c>
      <c r="H245" s="50" t="str">
        <f>'WhatsApp Tracker'!D242</f>
        <v>9508110819</v>
      </c>
      <c r="I245" s="50" t="str">
        <f>'WhatsApp Tracker'!T242</f>
        <v>Not sent</v>
      </c>
      <c r="J245" s="50" t="str">
        <f>'WhatsApp Tracker'!U242</f>
        <v>Unknown</v>
      </c>
      <c r="K245" s="50" t="str">
        <f>'WhatsApp Tracker'!V242</f>
        <v>Unknown</v>
      </c>
      <c r="L245" s="50" t="str">
        <f>'WhatsApp Tracker'!W242</f>
        <v>Not offered</v>
      </c>
      <c r="M245" s="51" t="str">
        <f>'WhatsApp Tracker'!X242</f>
        <v/>
      </c>
      <c r="N245" s="50" t="str">
        <f>'WhatsApp Tracker'!AM242</f>
        <v>Low confidence: verify before sending</v>
      </c>
      <c r="O245" s="50" t="str">
        <f>'WhatsApp Tracker'!AC242</f>
        <v>Imported from extract_garden. Confidence: Low. Parsed from Assam Tea Directory row, verify before sending</v>
      </c>
    </row>
    <row r="246" spans="1:15" x14ac:dyDescent="0.25">
      <c r="A246" s="50">
        <f>'WhatsApp Tracker'!AH243</f>
        <v>9596</v>
      </c>
      <c r="B246" s="50" t="str">
        <f>'WhatsApp Tracker'!AA243</f>
        <v>Do not send</v>
      </c>
      <c r="C246" s="50" t="str">
        <f>'WhatsApp Tracker'!M243</f>
        <v>Hold</v>
      </c>
      <c r="D246" s="50">
        <f>'WhatsApp Tracker'!AN243</f>
        <v>5</v>
      </c>
      <c r="E246" s="50" t="str">
        <f>'WhatsApp Tracker'!AL243</f>
        <v>Parsed directory row</v>
      </c>
      <c r="F246" s="50" t="str">
        <f>'WhatsApp Tracker'!B243</f>
        <v>Imported contact</v>
      </c>
      <c r="G246" s="50">
        <f>'WhatsApp Tracker'!C243</f>
        <v>0</v>
      </c>
      <c r="H246" s="50" t="str">
        <f>'WhatsApp Tracker'!D243</f>
        <v>9435523486</v>
      </c>
      <c r="I246" s="50" t="str">
        <f>'WhatsApp Tracker'!T243</f>
        <v>Not sent</v>
      </c>
      <c r="J246" s="50" t="str">
        <f>'WhatsApp Tracker'!U243</f>
        <v>Unknown</v>
      </c>
      <c r="K246" s="50" t="str">
        <f>'WhatsApp Tracker'!V243</f>
        <v>Unknown</v>
      </c>
      <c r="L246" s="50" t="str">
        <f>'WhatsApp Tracker'!W243</f>
        <v>Not offered</v>
      </c>
      <c r="M246" s="51" t="str">
        <f>'WhatsApp Tracker'!X243</f>
        <v/>
      </c>
      <c r="N246" s="50" t="str">
        <f>'WhatsApp Tracker'!AM243</f>
        <v>Low confidence: verify before sending</v>
      </c>
      <c r="O246" s="50" t="str">
        <f>'WhatsApp Tracker'!AC243</f>
        <v>Imported from extract_garden. Confidence: Low. Parsed from Assam Tea Directory row, verify before sending</v>
      </c>
    </row>
    <row r="247" spans="1:15" x14ac:dyDescent="0.25">
      <c r="A247" s="50">
        <f>'WhatsApp Tracker'!AH244</f>
        <v>9596</v>
      </c>
      <c r="B247" s="50" t="str">
        <f>'WhatsApp Tracker'!AA244</f>
        <v>Do not send</v>
      </c>
      <c r="C247" s="50" t="str">
        <f>'WhatsApp Tracker'!M244</f>
        <v>Hold</v>
      </c>
      <c r="D247" s="50">
        <f>'WhatsApp Tracker'!AN244</f>
        <v>5</v>
      </c>
      <c r="E247" s="50" t="str">
        <f>'WhatsApp Tracker'!AL244</f>
        <v>Parsed directory row</v>
      </c>
      <c r="F247" s="50" t="str">
        <f>'WhatsApp Tracker'!B244</f>
        <v>Imported contact</v>
      </c>
      <c r="G247" s="50">
        <f>'WhatsApp Tracker'!C244</f>
        <v>0</v>
      </c>
      <c r="H247" s="50" t="str">
        <f>'WhatsApp Tracker'!D244</f>
        <v>9854012274</v>
      </c>
      <c r="I247" s="50" t="str">
        <f>'WhatsApp Tracker'!T244</f>
        <v>Not sent</v>
      </c>
      <c r="J247" s="50" t="str">
        <f>'WhatsApp Tracker'!U244</f>
        <v>Unknown</v>
      </c>
      <c r="K247" s="50" t="str">
        <f>'WhatsApp Tracker'!V244</f>
        <v>Unknown</v>
      </c>
      <c r="L247" s="50" t="str">
        <f>'WhatsApp Tracker'!W244</f>
        <v>Not offered</v>
      </c>
      <c r="M247" s="51" t="str">
        <f>'WhatsApp Tracker'!X244</f>
        <v/>
      </c>
      <c r="N247" s="50" t="str">
        <f>'WhatsApp Tracker'!AM244</f>
        <v>Low confidence: verify before sending</v>
      </c>
      <c r="O247" s="50" t="str">
        <f>'WhatsApp Tracker'!AC244</f>
        <v>Imported from extract_garden. Confidence: Low. Parsed from Assam Tea Directory row, verify before sending</v>
      </c>
    </row>
    <row r="248" spans="1:15" x14ac:dyDescent="0.25">
      <c r="A248" s="50">
        <f>'WhatsApp Tracker'!AH245</f>
        <v>9596</v>
      </c>
      <c r="B248" s="50" t="str">
        <f>'WhatsApp Tracker'!AA245</f>
        <v>Do not send</v>
      </c>
      <c r="C248" s="50" t="str">
        <f>'WhatsApp Tracker'!M245</f>
        <v>Hold</v>
      </c>
      <c r="D248" s="50">
        <f>'WhatsApp Tracker'!AN245</f>
        <v>5</v>
      </c>
      <c r="E248" s="50" t="str">
        <f>'WhatsApp Tracker'!AL245</f>
        <v>Parsed directory row</v>
      </c>
      <c r="F248" s="50" t="str">
        <f>'WhatsApp Tracker'!B245</f>
        <v>Imported contact</v>
      </c>
      <c r="G248" s="50">
        <f>'WhatsApp Tracker'!C245</f>
        <v>0</v>
      </c>
      <c r="H248" s="50" t="str">
        <f>'WhatsApp Tracker'!D245</f>
        <v>9859939167</v>
      </c>
      <c r="I248" s="50" t="str">
        <f>'WhatsApp Tracker'!T245</f>
        <v>Not sent</v>
      </c>
      <c r="J248" s="50" t="str">
        <f>'WhatsApp Tracker'!U245</f>
        <v>Unknown</v>
      </c>
      <c r="K248" s="50" t="str">
        <f>'WhatsApp Tracker'!V245</f>
        <v>Unknown</v>
      </c>
      <c r="L248" s="50" t="str">
        <f>'WhatsApp Tracker'!W245</f>
        <v>Not offered</v>
      </c>
      <c r="M248" s="51" t="str">
        <f>'WhatsApp Tracker'!X245</f>
        <v/>
      </c>
      <c r="N248" s="50" t="str">
        <f>'WhatsApp Tracker'!AM245</f>
        <v>Low confidence: verify before sending</v>
      </c>
      <c r="O248" s="50" t="str">
        <f>'WhatsApp Tracker'!AC245</f>
        <v>Imported from extract_garden. Confidence: Low. Parsed from Assam Tea Directory row, verify before sending</v>
      </c>
    </row>
    <row r="249" spans="1:15" x14ac:dyDescent="0.25">
      <c r="A249" s="50">
        <f>'WhatsApp Tracker'!AH246</f>
        <v>9596</v>
      </c>
      <c r="B249" s="50" t="str">
        <f>'WhatsApp Tracker'!AA246</f>
        <v>Do not send</v>
      </c>
      <c r="C249" s="50" t="str">
        <f>'WhatsApp Tracker'!M246</f>
        <v>Hold</v>
      </c>
      <c r="D249" s="50">
        <f>'WhatsApp Tracker'!AN246</f>
        <v>5</v>
      </c>
      <c r="E249" s="50" t="str">
        <f>'WhatsApp Tracker'!AL246</f>
        <v>Parsed directory row</v>
      </c>
      <c r="F249" s="50" t="str">
        <f>'WhatsApp Tracker'!B246</f>
        <v>Imported contact</v>
      </c>
      <c r="G249" s="50">
        <f>'WhatsApp Tracker'!C246</f>
        <v>0</v>
      </c>
      <c r="H249" s="50" t="str">
        <f>'WhatsApp Tracker'!D246</f>
        <v>9435067927</v>
      </c>
      <c r="I249" s="50" t="str">
        <f>'WhatsApp Tracker'!T246</f>
        <v>Not sent</v>
      </c>
      <c r="J249" s="50" t="str">
        <f>'WhatsApp Tracker'!U246</f>
        <v>Unknown</v>
      </c>
      <c r="K249" s="50" t="str">
        <f>'WhatsApp Tracker'!V246</f>
        <v>Unknown</v>
      </c>
      <c r="L249" s="50" t="str">
        <f>'WhatsApp Tracker'!W246</f>
        <v>Not offered</v>
      </c>
      <c r="M249" s="51" t="str">
        <f>'WhatsApp Tracker'!X246</f>
        <v/>
      </c>
      <c r="N249" s="50" t="str">
        <f>'WhatsApp Tracker'!AM246</f>
        <v>Low confidence: verify before sending</v>
      </c>
      <c r="O249" s="50" t="str">
        <f>'WhatsApp Tracker'!AC246</f>
        <v>Imported from extract_garden. Confidence: Low. Parsed from Assam Tea Directory row, verify before sending</v>
      </c>
    </row>
    <row r="250" spans="1:15" x14ac:dyDescent="0.25">
      <c r="A250" s="50">
        <f>'WhatsApp Tracker'!AH247</f>
        <v>9596</v>
      </c>
      <c r="B250" s="50" t="str">
        <f>'WhatsApp Tracker'!AA247</f>
        <v>Do not send</v>
      </c>
      <c r="C250" s="50" t="str">
        <f>'WhatsApp Tracker'!M247</f>
        <v>Hold</v>
      </c>
      <c r="D250" s="50">
        <f>'WhatsApp Tracker'!AN247</f>
        <v>5</v>
      </c>
      <c r="E250" s="50" t="str">
        <f>'WhatsApp Tracker'!AL247</f>
        <v>Parsed directory row</v>
      </c>
      <c r="F250" s="50" t="str">
        <f>'WhatsApp Tracker'!B247</f>
        <v>Imported contact</v>
      </c>
      <c r="G250" s="50">
        <f>'WhatsApp Tracker'!C247</f>
        <v>0</v>
      </c>
      <c r="H250" s="50" t="str">
        <f>'WhatsApp Tracker'!D247</f>
        <v>9954490432</v>
      </c>
      <c r="I250" s="50" t="str">
        <f>'WhatsApp Tracker'!T247</f>
        <v>Not sent</v>
      </c>
      <c r="J250" s="50" t="str">
        <f>'WhatsApp Tracker'!U247</f>
        <v>Unknown</v>
      </c>
      <c r="K250" s="50" t="str">
        <f>'WhatsApp Tracker'!V247</f>
        <v>Unknown</v>
      </c>
      <c r="L250" s="50" t="str">
        <f>'WhatsApp Tracker'!W247</f>
        <v>Not offered</v>
      </c>
      <c r="M250" s="51" t="str">
        <f>'WhatsApp Tracker'!X247</f>
        <v/>
      </c>
      <c r="N250" s="50" t="str">
        <f>'WhatsApp Tracker'!AM247</f>
        <v>Low confidence: verify before sending</v>
      </c>
      <c r="O250" s="50" t="str">
        <f>'WhatsApp Tracker'!AC247</f>
        <v>Imported from extract_garden. Confidence: Low. Parsed from Assam Tea Directory row, verify before sending</v>
      </c>
    </row>
    <row r="251" spans="1:15" x14ac:dyDescent="0.25">
      <c r="A251" s="50">
        <f>'WhatsApp Tracker'!AH248</f>
        <v>9596</v>
      </c>
      <c r="B251" s="50" t="str">
        <f>'WhatsApp Tracker'!AA248</f>
        <v>Do not send</v>
      </c>
      <c r="C251" s="50" t="str">
        <f>'WhatsApp Tracker'!M248</f>
        <v>Hold</v>
      </c>
      <c r="D251" s="50">
        <f>'WhatsApp Tracker'!AN248</f>
        <v>5</v>
      </c>
      <c r="E251" s="50" t="str">
        <f>'WhatsApp Tracker'!AL248</f>
        <v>Parsed directory row</v>
      </c>
      <c r="F251" s="50" t="str">
        <f>'WhatsApp Tracker'!B248</f>
        <v>Imported contact</v>
      </c>
      <c r="G251" s="50">
        <f>'WhatsApp Tracker'!C248</f>
        <v>0</v>
      </c>
      <c r="H251" s="50" t="str">
        <f>'WhatsApp Tracker'!D248</f>
        <v>9830266187</v>
      </c>
      <c r="I251" s="50" t="str">
        <f>'WhatsApp Tracker'!T248</f>
        <v>Not sent</v>
      </c>
      <c r="J251" s="50" t="str">
        <f>'WhatsApp Tracker'!U248</f>
        <v>Unknown</v>
      </c>
      <c r="K251" s="50" t="str">
        <f>'WhatsApp Tracker'!V248</f>
        <v>Unknown</v>
      </c>
      <c r="L251" s="50" t="str">
        <f>'WhatsApp Tracker'!W248</f>
        <v>Not offered</v>
      </c>
      <c r="M251" s="51" t="str">
        <f>'WhatsApp Tracker'!X248</f>
        <v/>
      </c>
      <c r="N251" s="50" t="str">
        <f>'WhatsApp Tracker'!AM248</f>
        <v>Low confidence: verify before sending</v>
      </c>
      <c r="O251" s="50" t="str">
        <f>'WhatsApp Tracker'!AC248</f>
        <v>Imported from extract_garden. Confidence: Low. Parsed from Assam Tea Directory row, verify before sending</v>
      </c>
    </row>
    <row r="252" spans="1:15" x14ac:dyDescent="0.25">
      <c r="A252" s="50">
        <f>'WhatsApp Tracker'!AH249</f>
        <v>9596</v>
      </c>
      <c r="B252" s="50" t="str">
        <f>'WhatsApp Tracker'!AA249</f>
        <v>Do not send</v>
      </c>
      <c r="C252" s="50" t="str">
        <f>'WhatsApp Tracker'!M249</f>
        <v>Hold</v>
      </c>
      <c r="D252" s="50">
        <f>'WhatsApp Tracker'!AN249</f>
        <v>5</v>
      </c>
      <c r="E252" s="50" t="str">
        <f>'WhatsApp Tracker'!AL249</f>
        <v>Parsed directory row</v>
      </c>
      <c r="F252" s="50" t="str">
        <f>'WhatsApp Tracker'!B249</f>
        <v>Imported contact</v>
      </c>
      <c r="G252" s="50">
        <f>'WhatsApp Tracker'!C249</f>
        <v>0</v>
      </c>
      <c r="H252" s="50" t="str">
        <f>'WhatsApp Tracker'!D249</f>
        <v>9435035272</v>
      </c>
      <c r="I252" s="50" t="str">
        <f>'WhatsApp Tracker'!T249</f>
        <v>Not sent</v>
      </c>
      <c r="J252" s="50" t="str">
        <f>'WhatsApp Tracker'!U249</f>
        <v>Unknown</v>
      </c>
      <c r="K252" s="50" t="str">
        <f>'WhatsApp Tracker'!V249</f>
        <v>Unknown</v>
      </c>
      <c r="L252" s="50" t="str">
        <f>'WhatsApp Tracker'!W249</f>
        <v>Not offered</v>
      </c>
      <c r="M252" s="51" t="str">
        <f>'WhatsApp Tracker'!X249</f>
        <v/>
      </c>
      <c r="N252" s="50" t="str">
        <f>'WhatsApp Tracker'!AM249</f>
        <v>Low confidence: verify before sending</v>
      </c>
      <c r="O252" s="50" t="str">
        <f>'WhatsApp Tracker'!AC249</f>
        <v>Imported from extract_garden. Confidence: Low. Parsed from Assam Tea Directory row, verify before sending</v>
      </c>
    </row>
    <row r="253" spans="1:15" x14ac:dyDescent="0.25">
      <c r="A253" s="50">
        <f>'WhatsApp Tracker'!AH250</f>
        <v>9596</v>
      </c>
      <c r="B253" s="50" t="str">
        <f>'WhatsApp Tracker'!AA250</f>
        <v>Do not send</v>
      </c>
      <c r="C253" s="50" t="str">
        <f>'WhatsApp Tracker'!M250</f>
        <v>Hold</v>
      </c>
      <c r="D253" s="50">
        <f>'WhatsApp Tracker'!AN250</f>
        <v>5</v>
      </c>
      <c r="E253" s="50" t="str">
        <f>'WhatsApp Tracker'!AL250</f>
        <v>Parsed directory row</v>
      </c>
      <c r="F253" s="50" t="str">
        <f>'WhatsApp Tracker'!B250</f>
        <v>Imported contact</v>
      </c>
      <c r="G253" s="50">
        <f>'WhatsApp Tracker'!C250</f>
        <v>0</v>
      </c>
      <c r="H253" s="50" t="str">
        <f>'WhatsApp Tracker'!D250</f>
        <v>9435136191</v>
      </c>
      <c r="I253" s="50" t="str">
        <f>'WhatsApp Tracker'!T250</f>
        <v>Not sent</v>
      </c>
      <c r="J253" s="50" t="str">
        <f>'WhatsApp Tracker'!U250</f>
        <v>Unknown</v>
      </c>
      <c r="K253" s="50" t="str">
        <f>'WhatsApp Tracker'!V250</f>
        <v>Unknown</v>
      </c>
      <c r="L253" s="50" t="str">
        <f>'WhatsApp Tracker'!W250</f>
        <v>Not offered</v>
      </c>
      <c r="M253" s="51" t="str">
        <f>'WhatsApp Tracker'!X250</f>
        <v/>
      </c>
      <c r="N253" s="50" t="str">
        <f>'WhatsApp Tracker'!AM250</f>
        <v>Low confidence: verify before sending</v>
      </c>
      <c r="O253" s="50" t="str">
        <f>'WhatsApp Tracker'!AC250</f>
        <v>Imported from extract_garden. Confidence: Low. Parsed from Assam Tea Directory row, verify before sending</v>
      </c>
    </row>
    <row r="254" spans="1:15" x14ac:dyDescent="0.25">
      <c r="A254" s="50">
        <f>'WhatsApp Tracker'!AH251</f>
        <v>9596</v>
      </c>
      <c r="B254" s="50" t="str">
        <f>'WhatsApp Tracker'!AA251</f>
        <v>Do not send</v>
      </c>
      <c r="C254" s="50" t="str">
        <f>'WhatsApp Tracker'!M251</f>
        <v>Hold</v>
      </c>
      <c r="D254" s="50">
        <f>'WhatsApp Tracker'!AN251</f>
        <v>5</v>
      </c>
      <c r="E254" s="50" t="str">
        <f>'WhatsApp Tracker'!AL251</f>
        <v>Parsed directory row</v>
      </c>
      <c r="F254" s="50" t="str">
        <f>'WhatsApp Tracker'!B251</f>
        <v>Imported contact</v>
      </c>
      <c r="G254" s="50">
        <f>'WhatsApp Tracker'!C251</f>
        <v>0</v>
      </c>
      <c r="H254" s="50" t="str">
        <f>'WhatsApp Tracker'!D251</f>
        <v>9954046364</v>
      </c>
      <c r="I254" s="50" t="str">
        <f>'WhatsApp Tracker'!T251</f>
        <v>Not sent</v>
      </c>
      <c r="J254" s="50" t="str">
        <f>'WhatsApp Tracker'!U251</f>
        <v>Unknown</v>
      </c>
      <c r="K254" s="50" t="str">
        <f>'WhatsApp Tracker'!V251</f>
        <v>Unknown</v>
      </c>
      <c r="L254" s="50" t="str">
        <f>'WhatsApp Tracker'!W251</f>
        <v>Not offered</v>
      </c>
      <c r="M254" s="51" t="str">
        <f>'WhatsApp Tracker'!X251</f>
        <v/>
      </c>
      <c r="N254" s="50" t="str">
        <f>'WhatsApp Tracker'!AM251</f>
        <v>Low confidence: verify before sending</v>
      </c>
      <c r="O254" s="50" t="str">
        <f>'WhatsApp Tracker'!AC251</f>
        <v>Imported from extract_garden. Confidence: Low. Parsed from Assam Tea Directory row, verify before sending</v>
      </c>
    </row>
    <row r="255" spans="1:15" x14ac:dyDescent="0.25">
      <c r="A255" s="50">
        <f>'WhatsApp Tracker'!AH252</f>
        <v>9596</v>
      </c>
      <c r="B255" s="50" t="str">
        <f>'WhatsApp Tracker'!AA252</f>
        <v>Do not send</v>
      </c>
      <c r="C255" s="50" t="str">
        <f>'WhatsApp Tracker'!M252</f>
        <v>Hold</v>
      </c>
      <c r="D255" s="50">
        <f>'WhatsApp Tracker'!AN252</f>
        <v>5</v>
      </c>
      <c r="E255" s="50" t="str">
        <f>'WhatsApp Tracker'!AL252</f>
        <v>Parsed directory row</v>
      </c>
      <c r="F255" s="50" t="str">
        <f>'WhatsApp Tracker'!B252</f>
        <v>Imported contact</v>
      </c>
      <c r="G255" s="50">
        <f>'WhatsApp Tracker'!C252</f>
        <v>0</v>
      </c>
      <c r="H255" s="50" t="str">
        <f>'WhatsApp Tracker'!D252</f>
        <v>9435184616</v>
      </c>
      <c r="I255" s="50" t="str">
        <f>'WhatsApp Tracker'!T252</f>
        <v>Not sent</v>
      </c>
      <c r="J255" s="50" t="str">
        <f>'WhatsApp Tracker'!U252</f>
        <v>Unknown</v>
      </c>
      <c r="K255" s="50" t="str">
        <f>'WhatsApp Tracker'!V252</f>
        <v>Unknown</v>
      </c>
      <c r="L255" s="50" t="str">
        <f>'WhatsApp Tracker'!W252</f>
        <v>Not offered</v>
      </c>
      <c r="M255" s="51" t="str">
        <f>'WhatsApp Tracker'!X252</f>
        <v/>
      </c>
      <c r="N255" s="50" t="str">
        <f>'WhatsApp Tracker'!AM252</f>
        <v>Low confidence: verify before sending</v>
      </c>
      <c r="O255" s="50" t="str">
        <f>'WhatsApp Tracker'!AC252</f>
        <v>Imported from extract_garden. Confidence: Low. Parsed from Assam Tea Directory row, verify before sending</v>
      </c>
    </row>
    <row r="256" spans="1:15" x14ac:dyDescent="0.25">
      <c r="A256" s="50">
        <f>'WhatsApp Tracker'!AH253</f>
        <v>9596</v>
      </c>
      <c r="B256" s="50" t="str">
        <f>'WhatsApp Tracker'!AA253</f>
        <v>Do not send</v>
      </c>
      <c r="C256" s="50" t="str">
        <f>'WhatsApp Tracker'!M253</f>
        <v>Hold</v>
      </c>
      <c r="D256" s="50">
        <f>'WhatsApp Tracker'!AN253</f>
        <v>5</v>
      </c>
      <c r="E256" s="50" t="str">
        <f>'WhatsApp Tracker'!AL253</f>
        <v>Parsed directory row</v>
      </c>
      <c r="F256" s="50" t="str">
        <f>'WhatsApp Tracker'!B253</f>
        <v>Imported contact</v>
      </c>
      <c r="G256" s="50">
        <f>'WhatsApp Tracker'!C253</f>
        <v>0</v>
      </c>
      <c r="H256" s="50" t="str">
        <f>'WhatsApp Tracker'!D253</f>
        <v>9435181566</v>
      </c>
      <c r="I256" s="50" t="str">
        <f>'WhatsApp Tracker'!T253</f>
        <v>Not sent</v>
      </c>
      <c r="J256" s="50" t="str">
        <f>'WhatsApp Tracker'!U253</f>
        <v>Unknown</v>
      </c>
      <c r="K256" s="50" t="str">
        <f>'WhatsApp Tracker'!V253</f>
        <v>Unknown</v>
      </c>
      <c r="L256" s="50" t="str">
        <f>'WhatsApp Tracker'!W253</f>
        <v>Not offered</v>
      </c>
      <c r="M256" s="51" t="str">
        <f>'WhatsApp Tracker'!X253</f>
        <v/>
      </c>
      <c r="N256" s="50" t="str">
        <f>'WhatsApp Tracker'!AM253</f>
        <v>Low confidence: verify before sending</v>
      </c>
      <c r="O256" s="50" t="str">
        <f>'WhatsApp Tracker'!AC253</f>
        <v>Imported from extract_garden. Confidence: Low. Parsed from Assam Tea Directory row, verify before sending</v>
      </c>
    </row>
    <row r="257" spans="1:15" x14ac:dyDescent="0.25">
      <c r="A257" s="50">
        <f>'WhatsApp Tracker'!AH254</f>
        <v>9596</v>
      </c>
      <c r="B257" s="50" t="str">
        <f>'WhatsApp Tracker'!AA254</f>
        <v>Do not send</v>
      </c>
      <c r="C257" s="50" t="str">
        <f>'WhatsApp Tracker'!M254</f>
        <v>Hold</v>
      </c>
      <c r="D257" s="50">
        <f>'WhatsApp Tracker'!AN254</f>
        <v>5</v>
      </c>
      <c r="E257" s="50" t="str">
        <f>'WhatsApp Tracker'!AL254</f>
        <v>Parsed directory row</v>
      </c>
      <c r="F257" s="50" t="str">
        <f>'WhatsApp Tracker'!B254</f>
        <v>Imported contact</v>
      </c>
      <c r="G257" s="50">
        <f>'WhatsApp Tracker'!C254</f>
        <v>0</v>
      </c>
      <c r="H257" s="50" t="str">
        <f>'WhatsApp Tracker'!D254</f>
        <v>9435180827</v>
      </c>
      <c r="I257" s="50" t="str">
        <f>'WhatsApp Tracker'!T254</f>
        <v>Not sent</v>
      </c>
      <c r="J257" s="50" t="str">
        <f>'WhatsApp Tracker'!U254</f>
        <v>Unknown</v>
      </c>
      <c r="K257" s="50" t="str">
        <f>'WhatsApp Tracker'!V254</f>
        <v>Unknown</v>
      </c>
      <c r="L257" s="50" t="str">
        <f>'WhatsApp Tracker'!W254</f>
        <v>Not offered</v>
      </c>
      <c r="M257" s="51" t="str">
        <f>'WhatsApp Tracker'!X254</f>
        <v/>
      </c>
      <c r="N257" s="50" t="str">
        <f>'WhatsApp Tracker'!AM254</f>
        <v>Low confidence: verify before sending</v>
      </c>
      <c r="O257" s="50" t="str">
        <f>'WhatsApp Tracker'!AC254</f>
        <v>Imported from extract_garden. Confidence: Low. Parsed from Assam Tea Directory row, verify before sending</v>
      </c>
    </row>
    <row r="258" spans="1:15" x14ac:dyDescent="0.25">
      <c r="A258" s="50">
        <f>'WhatsApp Tracker'!AH255</f>
        <v>9596</v>
      </c>
      <c r="B258" s="50" t="str">
        <f>'WhatsApp Tracker'!AA255</f>
        <v>Do not send</v>
      </c>
      <c r="C258" s="50" t="str">
        <f>'WhatsApp Tracker'!M255</f>
        <v>Hold</v>
      </c>
      <c r="D258" s="50">
        <f>'WhatsApp Tracker'!AN255</f>
        <v>5</v>
      </c>
      <c r="E258" s="50" t="str">
        <f>'WhatsApp Tracker'!AL255</f>
        <v>Parsed directory row</v>
      </c>
      <c r="F258" s="50" t="str">
        <f>'WhatsApp Tracker'!B255</f>
        <v>Imported contact</v>
      </c>
      <c r="G258" s="50">
        <f>'WhatsApp Tracker'!C255</f>
        <v>0</v>
      </c>
      <c r="H258" s="50" t="str">
        <f>'WhatsApp Tracker'!D255</f>
        <v>9954113528</v>
      </c>
      <c r="I258" s="50" t="str">
        <f>'WhatsApp Tracker'!T255</f>
        <v>Not sent</v>
      </c>
      <c r="J258" s="50" t="str">
        <f>'WhatsApp Tracker'!U255</f>
        <v>Unknown</v>
      </c>
      <c r="K258" s="50" t="str">
        <f>'WhatsApp Tracker'!V255</f>
        <v>Unknown</v>
      </c>
      <c r="L258" s="50" t="str">
        <f>'WhatsApp Tracker'!W255</f>
        <v>Not offered</v>
      </c>
      <c r="M258" s="51" t="str">
        <f>'WhatsApp Tracker'!X255</f>
        <v/>
      </c>
      <c r="N258" s="50" t="str">
        <f>'WhatsApp Tracker'!AM255</f>
        <v>Low confidence: verify before sending</v>
      </c>
      <c r="O258" s="50" t="str">
        <f>'WhatsApp Tracker'!AC255</f>
        <v>Imported from extract_garden. Confidence: Low. Parsed from Assam Tea Directory row, verify before sending</v>
      </c>
    </row>
    <row r="259" spans="1:15" x14ac:dyDescent="0.25">
      <c r="A259" s="50">
        <f>'WhatsApp Tracker'!AH256</f>
        <v>9596</v>
      </c>
      <c r="B259" s="50" t="str">
        <f>'WhatsApp Tracker'!AA256</f>
        <v>Do not send</v>
      </c>
      <c r="C259" s="50" t="str">
        <f>'WhatsApp Tracker'!M256</f>
        <v>Hold</v>
      </c>
      <c r="D259" s="50">
        <f>'WhatsApp Tracker'!AN256</f>
        <v>5</v>
      </c>
      <c r="E259" s="50" t="str">
        <f>'WhatsApp Tracker'!AL256</f>
        <v>Parsed directory row</v>
      </c>
      <c r="F259" s="50" t="str">
        <f>'WhatsApp Tracker'!B256</f>
        <v>Imported contact</v>
      </c>
      <c r="G259" s="50">
        <f>'WhatsApp Tracker'!C256</f>
        <v>0</v>
      </c>
      <c r="H259" s="50" t="str">
        <f>'WhatsApp Tracker'!D256</f>
        <v>9435070357</v>
      </c>
      <c r="I259" s="50" t="str">
        <f>'WhatsApp Tracker'!T256</f>
        <v>Not sent</v>
      </c>
      <c r="J259" s="50" t="str">
        <f>'WhatsApp Tracker'!U256</f>
        <v>Unknown</v>
      </c>
      <c r="K259" s="50" t="str">
        <f>'WhatsApp Tracker'!V256</f>
        <v>Unknown</v>
      </c>
      <c r="L259" s="50" t="str">
        <f>'WhatsApp Tracker'!W256</f>
        <v>Not offered</v>
      </c>
      <c r="M259" s="51" t="str">
        <f>'WhatsApp Tracker'!X256</f>
        <v/>
      </c>
      <c r="N259" s="50" t="str">
        <f>'WhatsApp Tracker'!AM256</f>
        <v>Low confidence: verify before sending</v>
      </c>
      <c r="O259" s="50" t="str">
        <f>'WhatsApp Tracker'!AC256</f>
        <v>Imported from extract_garden. Confidence: Low. Parsed from Assam Tea Directory row, verify before sending</v>
      </c>
    </row>
    <row r="260" spans="1:15" x14ac:dyDescent="0.25">
      <c r="A260" s="50">
        <f>'WhatsApp Tracker'!AH257</f>
        <v>9596</v>
      </c>
      <c r="B260" s="50" t="str">
        <f>'WhatsApp Tracker'!AA257</f>
        <v>Do not send</v>
      </c>
      <c r="C260" s="50" t="str">
        <f>'WhatsApp Tracker'!M257</f>
        <v>Hold</v>
      </c>
      <c r="D260" s="50">
        <f>'WhatsApp Tracker'!AN257</f>
        <v>5</v>
      </c>
      <c r="E260" s="50" t="str">
        <f>'WhatsApp Tracker'!AL257</f>
        <v>Parsed directory row</v>
      </c>
      <c r="F260" s="50" t="str">
        <f>'WhatsApp Tracker'!B257</f>
        <v>Imported contact</v>
      </c>
      <c r="G260" s="50">
        <f>'WhatsApp Tracker'!C257</f>
        <v>0</v>
      </c>
      <c r="H260" s="50" t="str">
        <f>'WhatsApp Tracker'!D257</f>
        <v>9864556130</v>
      </c>
      <c r="I260" s="50" t="str">
        <f>'WhatsApp Tracker'!T257</f>
        <v>Not sent</v>
      </c>
      <c r="J260" s="50" t="str">
        <f>'WhatsApp Tracker'!U257</f>
        <v>Unknown</v>
      </c>
      <c r="K260" s="50" t="str">
        <f>'WhatsApp Tracker'!V257</f>
        <v>Unknown</v>
      </c>
      <c r="L260" s="50" t="str">
        <f>'WhatsApp Tracker'!W257</f>
        <v>Not offered</v>
      </c>
      <c r="M260" s="51" t="str">
        <f>'WhatsApp Tracker'!X257</f>
        <v/>
      </c>
      <c r="N260" s="50" t="str">
        <f>'WhatsApp Tracker'!AM257</f>
        <v>Low confidence: verify before sending</v>
      </c>
      <c r="O260" s="50" t="str">
        <f>'WhatsApp Tracker'!AC257</f>
        <v>Imported from extract_garden. Confidence: Low. Parsed from Assam Tea Directory row, verify before sending</v>
      </c>
    </row>
    <row r="261" spans="1:15" x14ac:dyDescent="0.25">
      <c r="A261" s="50">
        <f>'WhatsApp Tracker'!AH258</f>
        <v>9596</v>
      </c>
      <c r="B261" s="50" t="str">
        <f>'WhatsApp Tracker'!AA258</f>
        <v>Do not send</v>
      </c>
      <c r="C261" s="50" t="str">
        <f>'WhatsApp Tracker'!M258</f>
        <v>Hold</v>
      </c>
      <c r="D261" s="50">
        <f>'WhatsApp Tracker'!AN258</f>
        <v>5</v>
      </c>
      <c r="E261" s="50" t="str">
        <f>'WhatsApp Tracker'!AL258</f>
        <v>Parsed directory row</v>
      </c>
      <c r="F261" s="50" t="str">
        <f>'WhatsApp Tracker'!B258</f>
        <v>Imported contact</v>
      </c>
      <c r="G261" s="50">
        <f>'WhatsApp Tracker'!C258</f>
        <v>0</v>
      </c>
      <c r="H261" s="50" t="str">
        <f>'WhatsApp Tracker'!D258</f>
        <v>9831825340</v>
      </c>
      <c r="I261" s="50" t="str">
        <f>'WhatsApp Tracker'!T258</f>
        <v>Not sent</v>
      </c>
      <c r="J261" s="50" t="str">
        <f>'WhatsApp Tracker'!U258</f>
        <v>Unknown</v>
      </c>
      <c r="K261" s="50" t="str">
        <f>'WhatsApp Tracker'!V258</f>
        <v>Unknown</v>
      </c>
      <c r="L261" s="50" t="str">
        <f>'WhatsApp Tracker'!W258</f>
        <v>Not offered</v>
      </c>
      <c r="M261" s="51" t="str">
        <f>'WhatsApp Tracker'!X258</f>
        <v/>
      </c>
      <c r="N261" s="50" t="str">
        <f>'WhatsApp Tracker'!AM258</f>
        <v>Low confidence: verify before sending</v>
      </c>
      <c r="O261" s="50" t="str">
        <f>'WhatsApp Tracker'!AC258</f>
        <v>Imported from extract_garden. Confidence: Low. Parsed from Assam Tea Directory row, verify before sending</v>
      </c>
    </row>
    <row r="262" spans="1:15" x14ac:dyDescent="0.25">
      <c r="A262" s="50">
        <f>'WhatsApp Tracker'!AH259</f>
        <v>9596</v>
      </c>
      <c r="B262" s="50" t="str">
        <f>'WhatsApp Tracker'!AA259</f>
        <v>Do not send</v>
      </c>
      <c r="C262" s="50" t="str">
        <f>'WhatsApp Tracker'!M259</f>
        <v>Hold</v>
      </c>
      <c r="D262" s="50">
        <f>'WhatsApp Tracker'!AN259</f>
        <v>5</v>
      </c>
      <c r="E262" s="50" t="str">
        <f>'WhatsApp Tracker'!AL259</f>
        <v>Parsed directory row</v>
      </c>
      <c r="F262" s="50" t="str">
        <f>'WhatsApp Tracker'!B259</f>
        <v>Imported contact</v>
      </c>
      <c r="G262" s="50">
        <f>'WhatsApp Tracker'!C259</f>
        <v>0</v>
      </c>
      <c r="H262" s="50" t="str">
        <f>'WhatsApp Tracker'!D259</f>
        <v>9854368720</v>
      </c>
      <c r="I262" s="50" t="str">
        <f>'WhatsApp Tracker'!T259</f>
        <v>Not sent</v>
      </c>
      <c r="J262" s="50" t="str">
        <f>'WhatsApp Tracker'!U259</f>
        <v>Unknown</v>
      </c>
      <c r="K262" s="50" t="str">
        <f>'WhatsApp Tracker'!V259</f>
        <v>Unknown</v>
      </c>
      <c r="L262" s="50" t="str">
        <f>'WhatsApp Tracker'!W259</f>
        <v>Not offered</v>
      </c>
      <c r="M262" s="51" t="str">
        <f>'WhatsApp Tracker'!X259</f>
        <v/>
      </c>
      <c r="N262" s="50" t="str">
        <f>'WhatsApp Tracker'!AM259</f>
        <v>Low confidence: verify before sending</v>
      </c>
      <c r="O262" s="50" t="str">
        <f>'WhatsApp Tracker'!AC259</f>
        <v>Imported from extract_garden. Confidence: Low. Parsed from Assam Tea Directory row, verify before sending</v>
      </c>
    </row>
    <row r="263" spans="1:15" x14ac:dyDescent="0.25">
      <c r="A263" s="50">
        <f>'WhatsApp Tracker'!AH260</f>
        <v>9596</v>
      </c>
      <c r="B263" s="50" t="str">
        <f>'WhatsApp Tracker'!AA260</f>
        <v>Do not send</v>
      </c>
      <c r="C263" s="50" t="str">
        <f>'WhatsApp Tracker'!M260</f>
        <v>Hold</v>
      </c>
      <c r="D263" s="50">
        <f>'WhatsApp Tracker'!AN260</f>
        <v>5</v>
      </c>
      <c r="E263" s="50" t="str">
        <f>'WhatsApp Tracker'!AL260</f>
        <v>Parsed directory row</v>
      </c>
      <c r="F263" s="50" t="str">
        <f>'WhatsApp Tracker'!B260</f>
        <v>Imported contact</v>
      </c>
      <c r="G263" s="50">
        <f>'WhatsApp Tracker'!C260</f>
        <v>0</v>
      </c>
      <c r="H263" s="50" t="str">
        <f>'WhatsApp Tracker'!D260</f>
        <v>9854019388</v>
      </c>
      <c r="I263" s="50" t="str">
        <f>'WhatsApp Tracker'!T260</f>
        <v>Not sent</v>
      </c>
      <c r="J263" s="50" t="str">
        <f>'WhatsApp Tracker'!U260</f>
        <v>Unknown</v>
      </c>
      <c r="K263" s="50" t="str">
        <f>'WhatsApp Tracker'!V260</f>
        <v>Unknown</v>
      </c>
      <c r="L263" s="50" t="str">
        <f>'WhatsApp Tracker'!W260</f>
        <v>Not offered</v>
      </c>
      <c r="M263" s="51" t="str">
        <f>'WhatsApp Tracker'!X260</f>
        <v/>
      </c>
      <c r="N263" s="50" t="str">
        <f>'WhatsApp Tracker'!AM260</f>
        <v>Low confidence: verify before sending</v>
      </c>
      <c r="O263" s="50" t="str">
        <f>'WhatsApp Tracker'!AC260</f>
        <v>Imported from extract_garden. Confidence: Low. Parsed from Assam Tea Directory row, verify before sending</v>
      </c>
    </row>
    <row r="264" spans="1:15" x14ac:dyDescent="0.25">
      <c r="A264" s="50">
        <f>'WhatsApp Tracker'!AH261</f>
        <v>9596</v>
      </c>
      <c r="B264" s="50" t="str">
        <f>'WhatsApp Tracker'!AA261</f>
        <v>Do not send</v>
      </c>
      <c r="C264" s="50" t="str">
        <f>'WhatsApp Tracker'!M261</f>
        <v>Hold</v>
      </c>
      <c r="D264" s="50">
        <f>'WhatsApp Tracker'!AN261</f>
        <v>5</v>
      </c>
      <c r="E264" s="50" t="str">
        <f>'WhatsApp Tracker'!AL261</f>
        <v>Parsed directory row</v>
      </c>
      <c r="F264" s="50" t="str">
        <f>'WhatsApp Tracker'!B261</f>
        <v>Imported contact</v>
      </c>
      <c r="G264" s="50">
        <f>'WhatsApp Tracker'!C261</f>
        <v>0</v>
      </c>
      <c r="H264" s="50" t="str">
        <f>'WhatsApp Tracker'!D261</f>
        <v>9678728218</v>
      </c>
      <c r="I264" s="50" t="str">
        <f>'WhatsApp Tracker'!T261</f>
        <v>Not sent</v>
      </c>
      <c r="J264" s="50" t="str">
        <f>'WhatsApp Tracker'!U261</f>
        <v>Unknown</v>
      </c>
      <c r="K264" s="50" t="str">
        <f>'WhatsApp Tracker'!V261</f>
        <v>Unknown</v>
      </c>
      <c r="L264" s="50" t="str">
        <f>'WhatsApp Tracker'!W261</f>
        <v>Not offered</v>
      </c>
      <c r="M264" s="51" t="str">
        <f>'WhatsApp Tracker'!X261</f>
        <v/>
      </c>
      <c r="N264" s="50" t="str">
        <f>'WhatsApp Tracker'!AM261</f>
        <v>Low confidence: verify before sending</v>
      </c>
      <c r="O264" s="50" t="str">
        <f>'WhatsApp Tracker'!AC261</f>
        <v>Imported from extract_garden. Confidence: Low. Parsed from Assam Tea Directory row, verify before sending</v>
      </c>
    </row>
    <row r="265" spans="1:15" x14ac:dyDescent="0.25">
      <c r="A265" s="50">
        <f>'WhatsApp Tracker'!AH262</f>
        <v>9596</v>
      </c>
      <c r="B265" s="50" t="str">
        <f>'WhatsApp Tracker'!AA262</f>
        <v>Do not send</v>
      </c>
      <c r="C265" s="50" t="str">
        <f>'WhatsApp Tracker'!M262</f>
        <v>Hold</v>
      </c>
      <c r="D265" s="50">
        <f>'WhatsApp Tracker'!AN262</f>
        <v>5</v>
      </c>
      <c r="E265" s="50" t="str">
        <f>'WhatsApp Tracker'!AL262</f>
        <v>Parsed directory row</v>
      </c>
      <c r="F265" s="50" t="str">
        <f>'WhatsApp Tracker'!B262</f>
        <v>Imported contact</v>
      </c>
      <c r="G265" s="50">
        <f>'WhatsApp Tracker'!C262</f>
        <v>0</v>
      </c>
      <c r="H265" s="50" t="str">
        <f>'WhatsApp Tracker'!D262</f>
        <v>9435415546</v>
      </c>
      <c r="I265" s="50" t="str">
        <f>'WhatsApp Tracker'!T262</f>
        <v>Not sent</v>
      </c>
      <c r="J265" s="50" t="str">
        <f>'WhatsApp Tracker'!U262</f>
        <v>Unknown</v>
      </c>
      <c r="K265" s="50" t="str">
        <f>'WhatsApp Tracker'!V262</f>
        <v>Unknown</v>
      </c>
      <c r="L265" s="50" t="str">
        <f>'WhatsApp Tracker'!W262</f>
        <v>Not offered</v>
      </c>
      <c r="M265" s="51" t="str">
        <f>'WhatsApp Tracker'!X262</f>
        <v/>
      </c>
      <c r="N265" s="50" t="str">
        <f>'WhatsApp Tracker'!AM262</f>
        <v>Low confidence: verify before sending</v>
      </c>
      <c r="O265" s="50" t="str">
        <f>'WhatsApp Tracker'!AC262</f>
        <v>Imported from extract_garden. Confidence: Low. Parsed from Assam Tea Directory row, verify before sending</v>
      </c>
    </row>
    <row r="266" spans="1:15" x14ac:dyDescent="0.25">
      <c r="A266" s="50">
        <f>'WhatsApp Tracker'!AH263</f>
        <v>9596</v>
      </c>
      <c r="B266" s="50" t="str">
        <f>'WhatsApp Tracker'!AA263</f>
        <v>Do not send</v>
      </c>
      <c r="C266" s="50" t="str">
        <f>'WhatsApp Tracker'!M263</f>
        <v>Hold</v>
      </c>
      <c r="D266" s="50">
        <f>'WhatsApp Tracker'!AN263</f>
        <v>5</v>
      </c>
      <c r="E266" s="50" t="str">
        <f>'WhatsApp Tracker'!AL263</f>
        <v>Parsed directory row</v>
      </c>
      <c r="F266" s="50" t="str">
        <f>'WhatsApp Tracker'!B263</f>
        <v>Imported contact</v>
      </c>
      <c r="G266" s="50">
        <f>'WhatsApp Tracker'!C263</f>
        <v>0</v>
      </c>
      <c r="H266" s="50" t="str">
        <f>'WhatsApp Tracker'!D263</f>
        <v>9435474454</v>
      </c>
      <c r="I266" s="50" t="str">
        <f>'WhatsApp Tracker'!T263</f>
        <v>Not sent</v>
      </c>
      <c r="J266" s="50" t="str">
        <f>'WhatsApp Tracker'!U263</f>
        <v>Unknown</v>
      </c>
      <c r="K266" s="50" t="str">
        <f>'WhatsApp Tracker'!V263</f>
        <v>Unknown</v>
      </c>
      <c r="L266" s="50" t="str">
        <f>'WhatsApp Tracker'!W263</f>
        <v>Not offered</v>
      </c>
      <c r="M266" s="51" t="str">
        <f>'WhatsApp Tracker'!X263</f>
        <v/>
      </c>
      <c r="N266" s="50" t="str">
        <f>'WhatsApp Tracker'!AM263</f>
        <v>Low confidence: verify before sending</v>
      </c>
      <c r="O266" s="50" t="str">
        <f>'WhatsApp Tracker'!AC263</f>
        <v>Imported from extract_garden. Confidence: Low. Parsed from Assam Tea Directory row, verify before sending</v>
      </c>
    </row>
    <row r="267" spans="1:15" x14ac:dyDescent="0.25">
      <c r="A267" s="50">
        <f>'WhatsApp Tracker'!AH264</f>
        <v>9596</v>
      </c>
      <c r="B267" s="50" t="str">
        <f>'WhatsApp Tracker'!AA264</f>
        <v>Do not send</v>
      </c>
      <c r="C267" s="50" t="str">
        <f>'WhatsApp Tracker'!M264</f>
        <v>Hold</v>
      </c>
      <c r="D267" s="50">
        <f>'WhatsApp Tracker'!AN264</f>
        <v>5</v>
      </c>
      <c r="E267" s="50" t="str">
        <f>'WhatsApp Tracker'!AL264</f>
        <v>Parsed directory row</v>
      </c>
      <c r="F267" s="50" t="str">
        <f>'WhatsApp Tracker'!B264</f>
        <v>Imported contact</v>
      </c>
      <c r="G267" s="50">
        <f>'WhatsApp Tracker'!C264</f>
        <v>0</v>
      </c>
      <c r="H267" s="50" t="str">
        <f>'WhatsApp Tracker'!D264</f>
        <v>9435172025</v>
      </c>
      <c r="I267" s="50" t="str">
        <f>'WhatsApp Tracker'!T264</f>
        <v>Not sent</v>
      </c>
      <c r="J267" s="50" t="str">
        <f>'WhatsApp Tracker'!U264</f>
        <v>Unknown</v>
      </c>
      <c r="K267" s="50" t="str">
        <f>'WhatsApp Tracker'!V264</f>
        <v>Unknown</v>
      </c>
      <c r="L267" s="50" t="str">
        <f>'WhatsApp Tracker'!W264</f>
        <v>Not offered</v>
      </c>
      <c r="M267" s="51" t="str">
        <f>'WhatsApp Tracker'!X264</f>
        <v/>
      </c>
      <c r="N267" s="50" t="str">
        <f>'WhatsApp Tracker'!AM264</f>
        <v>Low confidence: verify before sending</v>
      </c>
      <c r="O267" s="50" t="str">
        <f>'WhatsApp Tracker'!AC264</f>
        <v>Imported from extract_garden. Confidence: Low. Parsed from Assam Tea Directory row, verify before sending</v>
      </c>
    </row>
    <row r="268" spans="1:15" x14ac:dyDescent="0.25">
      <c r="A268" s="50">
        <f>'WhatsApp Tracker'!AH265</f>
        <v>9596</v>
      </c>
      <c r="B268" s="50" t="str">
        <f>'WhatsApp Tracker'!AA265</f>
        <v>Do not send</v>
      </c>
      <c r="C268" s="50" t="str">
        <f>'WhatsApp Tracker'!M265</f>
        <v>Hold</v>
      </c>
      <c r="D268" s="50">
        <f>'WhatsApp Tracker'!AN265</f>
        <v>5</v>
      </c>
      <c r="E268" s="50" t="str">
        <f>'WhatsApp Tracker'!AL265</f>
        <v>Parsed directory row</v>
      </c>
      <c r="F268" s="50" t="str">
        <f>'WhatsApp Tracker'!B265</f>
        <v>Imported contact</v>
      </c>
      <c r="G268" s="50">
        <f>'WhatsApp Tracker'!C265</f>
        <v>0</v>
      </c>
      <c r="H268" s="50" t="str">
        <f>'WhatsApp Tracker'!D265</f>
        <v>9435142306</v>
      </c>
      <c r="I268" s="50" t="str">
        <f>'WhatsApp Tracker'!T265</f>
        <v>Not sent</v>
      </c>
      <c r="J268" s="50" t="str">
        <f>'WhatsApp Tracker'!U265</f>
        <v>Unknown</v>
      </c>
      <c r="K268" s="50" t="str">
        <f>'WhatsApp Tracker'!V265</f>
        <v>Unknown</v>
      </c>
      <c r="L268" s="50" t="str">
        <f>'WhatsApp Tracker'!W265</f>
        <v>Not offered</v>
      </c>
      <c r="M268" s="51" t="str">
        <f>'WhatsApp Tracker'!X265</f>
        <v/>
      </c>
      <c r="N268" s="50" t="str">
        <f>'WhatsApp Tracker'!AM265</f>
        <v>Low confidence: verify before sending</v>
      </c>
      <c r="O268" s="50" t="str">
        <f>'WhatsApp Tracker'!AC265</f>
        <v>Imported from extract_garden. Confidence: Low. Parsed from Assam Tea Directory row, verify before sending</v>
      </c>
    </row>
    <row r="269" spans="1:15" x14ac:dyDescent="0.25">
      <c r="A269" s="50">
        <f>'WhatsApp Tracker'!AH266</f>
        <v>9596</v>
      </c>
      <c r="B269" s="50" t="str">
        <f>'WhatsApp Tracker'!AA266</f>
        <v>Do not send</v>
      </c>
      <c r="C269" s="50" t="str">
        <f>'WhatsApp Tracker'!M266</f>
        <v>Hold</v>
      </c>
      <c r="D269" s="50">
        <f>'WhatsApp Tracker'!AN266</f>
        <v>5</v>
      </c>
      <c r="E269" s="50" t="str">
        <f>'WhatsApp Tracker'!AL266</f>
        <v>Parsed directory row</v>
      </c>
      <c r="F269" s="50" t="str">
        <f>'WhatsApp Tracker'!B266</f>
        <v>Imported contact</v>
      </c>
      <c r="G269" s="50">
        <f>'WhatsApp Tracker'!C266</f>
        <v>0</v>
      </c>
      <c r="H269" s="50" t="str">
        <f>'WhatsApp Tracker'!D266</f>
        <v>9435052182</v>
      </c>
      <c r="I269" s="50" t="str">
        <f>'WhatsApp Tracker'!T266</f>
        <v>Not sent</v>
      </c>
      <c r="J269" s="50" t="str">
        <f>'WhatsApp Tracker'!U266</f>
        <v>Unknown</v>
      </c>
      <c r="K269" s="50" t="str">
        <f>'WhatsApp Tracker'!V266</f>
        <v>Unknown</v>
      </c>
      <c r="L269" s="50" t="str">
        <f>'WhatsApp Tracker'!W266</f>
        <v>Not offered</v>
      </c>
      <c r="M269" s="51" t="str">
        <f>'WhatsApp Tracker'!X266</f>
        <v/>
      </c>
      <c r="N269" s="50" t="str">
        <f>'WhatsApp Tracker'!AM266</f>
        <v>Low confidence: verify before sending</v>
      </c>
      <c r="O269" s="50" t="str">
        <f>'WhatsApp Tracker'!AC266</f>
        <v>Imported from extract_garden. Confidence: Low. Parsed from Assam Tea Directory row, verify before sending</v>
      </c>
    </row>
    <row r="270" spans="1:15" x14ac:dyDescent="0.25">
      <c r="A270" s="50">
        <f>'WhatsApp Tracker'!AH267</f>
        <v>9596</v>
      </c>
      <c r="B270" s="50" t="str">
        <f>'WhatsApp Tracker'!AA267</f>
        <v>Do not send</v>
      </c>
      <c r="C270" s="50" t="str">
        <f>'WhatsApp Tracker'!M267</f>
        <v>Hold</v>
      </c>
      <c r="D270" s="50">
        <f>'WhatsApp Tracker'!AN267</f>
        <v>5</v>
      </c>
      <c r="E270" s="50" t="str">
        <f>'WhatsApp Tracker'!AL267</f>
        <v>Parsed directory row</v>
      </c>
      <c r="F270" s="50" t="str">
        <f>'WhatsApp Tracker'!B267</f>
        <v>Imported contact</v>
      </c>
      <c r="G270" s="50">
        <f>'WhatsApp Tracker'!C267</f>
        <v>0</v>
      </c>
      <c r="H270" s="50" t="str">
        <f>'WhatsApp Tracker'!D267</f>
        <v>9401627032</v>
      </c>
      <c r="I270" s="50" t="str">
        <f>'WhatsApp Tracker'!T267</f>
        <v>Not sent</v>
      </c>
      <c r="J270" s="50" t="str">
        <f>'WhatsApp Tracker'!U267</f>
        <v>Unknown</v>
      </c>
      <c r="K270" s="50" t="str">
        <f>'WhatsApp Tracker'!V267</f>
        <v>Unknown</v>
      </c>
      <c r="L270" s="50" t="str">
        <f>'WhatsApp Tracker'!W267</f>
        <v>Not offered</v>
      </c>
      <c r="M270" s="51" t="str">
        <f>'WhatsApp Tracker'!X267</f>
        <v/>
      </c>
      <c r="N270" s="50" t="str">
        <f>'WhatsApp Tracker'!AM267</f>
        <v>Low confidence: verify before sending</v>
      </c>
      <c r="O270" s="50" t="str">
        <f>'WhatsApp Tracker'!AC267</f>
        <v>Imported from extract_garden. Confidence: Low. Parsed from Assam Tea Directory row, verify before sending</v>
      </c>
    </row>
    <row r="271" spans="1:15" x14ac:dyDescent="0.25">
      <c r="A271" s="50">
        <f>'WhatsApp Tracker'!AH268</f>
        <v>9596</v>
      </c>
      <c r="B271" s="50" t="str">
        <f>'WhatsApp Tracker'!AA268</f>
        <v>Do not send</v>
      </c>
      <c r="C271" s="50" t="str">
        <f>'WhatsApp Tracker'!M268</f>
        <v>Hold</v>
      </c>
      <c r="D271" s="50">
        <f>'WhatsApp Tracker'!AN268</f>
        <v>5</v>
      </c>
      <c r="E271" s="50" t="str">
        <f>'WhatsApp Tracker'!AL268</f>
        <v>Parsed directory row</v>
      </c>
      <c r="F271" s="50" t="str">
        <f>'WhatsApp Tracker'!B268</f>
        <v>Imported contact</v>
      </c>
      <c r="G271" s="50">
        <f>'WhatsApp Tracker'!C268</f>
        <v>0</v>
      </c>
      <c r="H271" s="50" t="str">
        <f>'WhatsApp Tracker'!D268</f>
        <v>9435580240</v>
      </c>
      <c r="I271" s="50" t="str">
        <f>'WhatsApp Tracker'!T268</f>
        <v>Not sent</v>
      </c>
      <c r="J271" s="50" t="str">
        <f>'WhatsApp Tracker'!U268</f>
        <v>Unknown</v>
      </c>
      <c r="K271" s="50" t="str">
        <f>'WhatsApp Tracker'!V268</f>
        <v>Unknown</v>
      </c>
      <c r="L271" s="50" t="str">
        <f>'WhatsApp Tracker'!W268</f>
        <v>Not offered</v>
      </c>
      <c r="M271" s="51" t="str">
        <f>'WhatsApp Tracker'!X268</f>
        <v/>
      </c>
      <c r="N271" s="50" t="str">
        <f>'WhatsApp Tracker'!AM268</f>
        <v>Low confidence: verify before sending</v>
      </c>
      <c r="O271" s="50" t="str">
        <f>'WhatsApp Tracker'!AC268</f>
        <v>Imported from extract_garden. Confidence: Low. Parsed from Assam Tea Directory row, verify before sending</v>
      </c>
    </row>
    <row r="272" spans="1:15" x14ac:dyDescent="0.25">
      <c r="A272" s="50">
        <f>'WhatsApp Tracker'!AH269</f>
        <v>9596</v>
      </c>
      <c r="B272" s="50" t="str">
        <f>'WhatsApp Tracker'!AA269</f>
        <v>Do not send</v>
      </c>
      <c r="C272" s="50" t="str">
        <f>'WhatsApp Tracker'!M269</f>
        <v>Hold</v>
      </c>
      <c r="D272" s="50">
        <f>'WhatsApp Tracker'!AN269</f>
        <v>5</v>
      </c>
      <c r="E272" s="50" t="str">
        <f>'WhatsApp Tracker'!AL269</f>
        <v>Parsed directory row</v>
      </c>
      <c r="F272" s="50" t="str">
        <f>'WhatsApp Tracker'!B269</f>
        <v>Imported contact</v>
      </c>
      <c r="G272" s="50">
        <f>'WhatsApp Tracker'!C269</f>
        <v>0</v>
      </c>
      <c r="H272" s="50" t="str">
        <f>'WhatsApp Tracker'!D269</f>
        <v>9435030626</v>
      </c>
      <c r="I272" s="50" t="str">
        <f>'WhatsApp Tracker'!T269</f>
        <v>Not sent</v>
      </c>
      <c r="J272" s="50" t="str">
        <f>'WhatsApp Tracker'!U269</f>
        <v>Unknown</v>
      </c>
      <c r="K272" s="50" t="str">
        <f>'WhatsApp Tracker'!V269</f>
        <v>Unknown</v>
      </c>
      <c r="L272" s="50" t="str">
        <f>'WhatsApp Tracker'!W269</f>
        <v>Not offered</v>
      </c>
      <c r="M272" s="51" t="str">
        <f>'WhatsApp Tracker'!X269</f>
        <v/>
      </c>
      <c r="N272" s="50" t="str">
        <f>'WhatsApp Tracker'!AM269</f>
        <v>Low confidence: verify before sending</v>
      </c>
      <c r="O272" s="50" t="str">
        <f>'WhatsApp Tracker'!AC269</f>
        <v>Imported from extract_garden. Confidence: Low. Parsed from Assam Tea Directory row, verify before sending</v>
      </c>
    </row>
    <row r="273" spans="1:15" x14ac:dyDescent="0.25">
      <c r="A273" s="50">
        <f>'WhatsApp Tracker'!AH270</f>
        <v>9596</v>
      </c>
      <c r="B273" s="50" t="str">
        <f>'WhatsApp Tracker'!AA270</f>
        <v>Do not send</v>
      </c>
      <c r="C273" s="50" t="str">
        <f>'WhatsApp Tracker'!M270</f>
        <v>Hold</v>
      </c>
      <c r="D273" s="50">
        <f>'WhatsApp Tracker'!AN270</f>
        <v>5</v>
      </c>
      <c r="E273" s="50" t="str">
        <f>'WhatsApp Tracker'!AL270</f>
        <v>Parsed directory row</v>
      </c>
      <c r="F273" s="50" t="str">
        <f>'WhatsApp Tracker'!B270</f>
        <v>Imported contact</v>
      </c>
      <c r="G273" s="50">
        <f>'WhatsApp Tracker'!C270</f>
        <v>0</v>
      </c>
      <c r="H273" s="50" t="str">
        <f>'WhatsApp Tracker'!D270</f>
        <v>9435039582</v>
      </c>
      <c r="I273" s="50" t="str">
        <f>'WhatsApp Tracker'!T270</f>
        <v>Not sent</v>
      </c>
      <c r="J273" s="50" t="str">
        <f>'WhatsApp Tracker'!U270</f>
        <v>Unknown</v>
      </c>
      <c r="K273" s="50" t="str">
        <f>'WhatsApp Tracker'!V270</f>
        <v>Unknown</v>
      </c>
      <c r="L273" s="50" t="str">
        <f>'WhatsApp Tracker'!W270</f>
        <v>Not offered</v>
      </c>
      <c r="M273" s="51" t="str">
        <f>'WhatsApp Tracker'!X270</f>
        <v/>
      </c>
      <c r="N273" s="50" t="str">
        <f>'WhatsApp Tracker'!AM270</f>
        <v>Low confidence: verify before sending</v>
      </c>
      <c r="O273" s="50" t="str">
        <f>'WhatsApp Tracker'!AC270</f>
        <v>Imported from extract_garden. Confidence: Low. Parsed from Assam Tea Directory row, verify before sending</v>
      </c>
    </row>
    <row r="274" spans="1:15" x14ac:dyDescent="0.25">
      <c r="A274" s="50">
        <f>'WhatsApp Tracker'!AH271</f>
        <v>9596</v>
      </c>
      <c r="B274" s="50" t="str">
        <f>'WhatsApp Tracker'!AA271</f>
        <v>Do not send</v>
      </c>
      <c r="C274" s="50" t="str">
        <f>'WhatsApp Tracker'!M271</f>
        <v>Hold</v>
      </c>
      <c r="D274" s="50">
        <f>'WhatsApp Tracker'!AN271</f>
        <v>5</v>
      </c>
      <c r="E274" s="50" t="str">
        <f>'WhatsApp Tracker'!AL271</f>
        <v>Parsed directory row</v>
      </c>
      <c r="F274" s="50" t="str">
        <f>'WhatsApp Tracker'!B271</f>
        <v>Imported contact</v>
      </c>
      <c r="G274" s="50">
        <f>'WhatsApp Tracker'!C271</f>
        <v>0</v>
      </c>
      <c r="H274" s="50" t="str">
        <f>'WhatsApp Tracker'!D271</f>
        <v>9435175918</v>
      </c>
      <c r="I274" s="50" t="str">
        <f>'WhatsApp Tracker'!T271</f>
        <v>Not sent</v>
      </c>
      <c r="J274" s="50" t="str">
        <f>'WhatsApp Tracker'!U271</f>
        <v>Unknown</v>
      </c>
      <c r="K274" s="50" t="str">
        <f>'WhatsApp Tracker'!V271</f>
        <v>Unknown</v>
      </c>
      <c r="L274" s="50" t="str">
        <f>'WhatsApp Tracker'!W271</f>
        <v>Not offered</v>
      </c>
      <c r="M274" s="51" t="str">
        <f>'WhatsApp Tracker'!X271</f>
        <v/>
      </c>
      <c r="N274" s="50" t="str">
        <f>'WhatsApp Tracker'!AM271</f>
        <v>Low confidence: verify before sending</v>
      </c>
      <c r="O274" s="50" t="str">
        <f>'WhatsApp Tracker'!AC271</f>
        <v>Imported from extract_garden. Confidence: Low. Parsed from Assam Tea Directory row, verify before sending</v>
      </c>
    </row>
    <row r="275" spans="1:15" x14ac:dyDescent="0.25">
      <c r="A275" s="50">
        <f>'WhatsApp Tracker'!AH272</f>
        <v>9596</v>
      </c>
      <c r="B275" s="50" t="str">
        <f>'WhatsApp Tracker'!AA272</f>
        <v>Do not send</v>
      </c>
      <c r="C275" s="50" t="str">
        <f>'WhatsApp Tracker'!M272</f>
        <v>Hold</v>
      </c>
      <c r="D275" s="50">
        <f>'WhatsApp Tracker'!AN272</f>
        <v>5</v>
      </c>
      <c r="E275" s="50" t="str">
        <f>'WhatsApp Tracker'!AL272</f>
        <v>Parsed directory row</v>
      </c>
      <c r="F275" s="50" t="str">
        <f>'WhatsApp Tracker'!B272</f>
        <v>Imported contact</v>
      </c>
      <c r="G275" s="50">
        <f>'WhatsApp Tracker'!C272</f>
        <v>0</v>
      </c>
      <c r="H275" s="50" t="str">
        <f>'WhatsApp Tracker'!D272</f>
        <v>9435150295</v>
      </c>
      <c r="I275" s="50" t="str">
        <f>'WhatsApp Tracker'!T272</f>
        <v>Not sent</v>
      </c>
      <c r="J275" s="50" t="str">
        <f>'WhatsApp Tracker'!U272</f>
        <v>Unknown</v>
      </c>
      <c r="K275" s="50" t="str">
        <f>'WhatsApp Tracker'!V272</f>
        <v>Unknown</v>
      </c>
      <c r="L275" s="50" t="str">
        <f>'WhatsApp Tracker'!W272</f>
        <v>Not offered</v>
      </c>
      <c r="M275" s="51" t="str">
        <f>'WhatsApp Tracker'!X272</f>
        <v/>
      </c>
      <c r="N275" s="50" t="str">
        <f>'WhatsApp Tracker'!AM272</f>
        <v>Low confidence: verify before sending</v>
      </c>
      <c r="O275" s="50" t="str">
        <f>'WhatsApp Tracker'!AC272</f>
        <v>Imported from extract_garden. Confidence: Low. Parsed from Assam Tea Directory row, verify before sending</v>
      </c>
    </row>
    <row r="276" spans="1:15" x14ac:dyDescent="0.25">
      <c r="A276" s="50">
        <f>'WhatsApp Tracker'!AH273</f>
        <v>9596</v>
      </c>
      <c r="B276" s="50" t="str">
        <f>'WhatsApp Tracker'!AA273</f>
        <v>Do not send</v>
      </c>
      <c r="C276" s="50" t="str">
        <f>'WhatsApp Tracker'!M273</f>
        <v>Hold</v>
      </c>
      <c r="D276" s="50">
        <f>'WhatsApp Tracker'!AN273</f>
        <v>5</v>
      </c>
      <c r="E276" s="50" t="str">
        <f>'WhatsApp Tracker'!AL273</f>
        <v>Parsed directory row</v>
      </c>
      <c r="F276" s="50" t="str">
        <f>'WhatsApp Tracker'!B273</f>
        <v>Imported contact</v>
      </c>
      <c r="G276" s="50">
        <f>'WhatsApp Tracker'!C273</f>
        <v>0</v>
      </c>
      <c r="H276" s="50" t="str">
        <f>'WhatsApp Tracker'!D273</f>
        <v>9435515561</v>
      </c>
      <c r="I276" s="50" t="str">
        <f>'WhatsApp Tracker'!T273</f>
        <v>Not sent</v>
      </c>
      <c r="J276" s="50" t="str">
        <f>'WhatsApp Tracker'!U273</f>
        <v>Unknown</v>
      </c>
      <c r="K276" s="50" t="str">
        <f>'WhatsApp Tracker'!V273</f>
        <v>Unknown</v>
      </c>
      <c r="L276" s="50" t="str">
        <f>'WhatsApp Tracker'!W273</f>
        <v>Not offered</v>
      </c>
      <c r="M276" s="51" t="str">
        <f>'WhatsApp Tracker'!X273</f>
        <v/>
      </c>
      <c r="N276" s="50" t="str">
        <f>'WhatsApp Tracker'!AM273</f>
        <v>Low confidence: verify before sending</v>
      </c>
      <c r="O276" s="50" t="str">
        <f>'WhatsApp Tracker'!AC273</f>
        <v>Imported from extract_garden. Confidence: Low. Parsed from Assam Tea Directory row, verify before sending</v>
      </c>
    </row>
    <row r="277" spans="1:15" x14ac:dyDescent="0.25">
      <c r="A277" s="50">
        <f>'WhatsApp Tracker'!AH274</f>
        <v>9596</v>
      </c>
      <c r="B277" s="50" t="str">
        <f>'WhatsApp Tracker'!AA274</f>
        <v>Do not send</v>
      </c>
      <c r="C277" s="50" t="str">
        <f>'WhatsApp Tracker'!M274</f>
        <v>Hold</v>
      </c>
      <c r="D277" s="50">
        <f>'WhatsApp Tracker'!AN274</f>
        <v>5</v>
      </c>
      <c r="E277" s="50" t="str">
        <f>'WhatsApp Tracker'!AL274</f>
        <v>Parsed directory row</v>
      </c>
      <c r="F277" s="50" t="str">
        <f>'WhatsApp Tracker'!B274</f>
        <v>Imported contact</v>
      </c>
      <c r="G277" s="50">
        <f>'WhatsApp Tracker'!C274</f>
        <v>0</v>
      </c>
      <c r="H277" s="50" t="str">
        <f>'WhatsApp Tracker'!D274</f>
        <v>9435133125</v>
      </c>
      <c r="I277" s="50" t="str">
        <f>'WhatsApp Tracker'!T274</f>
        <v>Not sent</v>
      </c>
      <c r="J277" s="50" t="str">
        <f>'WhatsApp Tracker'!U274</f>
        <v>Unknown</v>
      </c>
      <c r="K277" s="50" t="str">
        <f>'WhatsApp Tracker'!V274</f>
        <v>Unknown</v>
      </c>
      <c r="L277" s="50" t="str">
        <f>'WhatsApp Tracker'!W274</f>
        <v>Not offered</v>
      </c>
      <c r="M277" s="51" t="str">
        <f>'WhatsApp Tracker'!X274</f>
        <v/>
      </c>
      <c r="N277" s="50" t="str">
        <f>'WhatsApp Tracker'!AM274</f>
        <v>Low confidence: verify before sending</v>
      </c>
      <c r="O277" s="50" t="str">
        <f>'WhatsApp Tracker'!AC274</f>
        <v>Imported from extract_garden. Confidence: Low. Parsed from Assam Tea Directory row, verify before sending</v>
      </c>
    </row>
    <row r="278" spans="1:15" x14ac:dyDescent="0.25">
      <c r="A278" s="50">
        <f>'WhatsApp Tracker'!AH275</f>
        <v>9596</v>
      </c>
      <c r="B278" s="50" t="str">
        <f>'WhatsApp Tracker'!AA275</f>
        <v>Do not send</v>
      </c>
      <c r="C278" s="50" t="str">
        <f>'WhatsApp Tracker'!M275</f>
        <v>Hold</v>
      </c>
      <c r="D278" s="50">
        <f>'WhatsApp Tracker'!AN275</f>
        <v>5</v>
      </c>
      <c r="E278" s="50" t="str">
        <f>'WhatsApp Tracker'!AL275</f>
        <v>Parsed directory row</v>
      </c>
      <c r="F278" s="50" t="str">
        <f>'WhatsApp Tracker'!B275</f>
        <v>Imported contact</v>
      </c>
      <c r="G278" s="50">
        <f>'WhatsApp Tracker'!C275</f>
        <v>0</v>
      </c>
      <c r="H278" s="50" t="str">
        <f>'WhatsApp Tracker'!D275</f>
        <v>9854093412</v>
      </c>
      <c r="I278" s="50" t="str">
        <f>'WhatsApp Tracker'!T275</f>
        <v>Not sent</v>
      </c>
      <c r="J278" s="50" t="str">
        <f>'WhatsApp Tracker'!U275</f>
        <v>Unknown</v>
      </c>
      <c r="K278" s="50" t="str">
        <f>'WhatsApp Tracker'!V275</f>
        <v>Unknown</v>
      </c>
      <c r="L278" s="50" t="str">
        <f>'WhatsApp Tracker'!W275</f>
        <v>Not offered</v>
      </c>
      <c r="M278" s="51" t="str">
        <f>'WhatsApp Tracker'!X275</f>
        <v/>
      </c>
      <c r="N278" s="50" t="str">
        <f>'WhatsApp Tracker'!AM275</f>
        <v>Low confidence: verify before sending</v>
      </c>
      <c r="O278" s="50" t="str">
        <f>'WhatsApp Tracker'!AC275</f>
        <v>Imported from extract_garden. Confidence: Low. Parsed from Assam Tea Directory row, verify before sending</v>
      </c>
    </row>
    <row r="279" spans="1:15" x14ac:dyDescent="0.25">
      <c r="A279" s="50">
        <f>'WhatsApp Tracker'!AH276</f>
        <v>9596</v>
      </c>
      <c r="B279" s="50" t="str">
        <f>'WhatsApp Tracker'!AA276</f>
        <v>Do not send</v>
      </c>
      <c r="C279" s="50" t="str">
        <f>'WhatsApp Tracker'!M276</f>
        <v>Hold</v>
      </c>
      <c r="D279" s="50">
        <f>'WhatsApp Tracker'!AN276</f>
        <v>5</v>
      </c>
      <c r="E279" s="50" t="str">
        <f>'WhatsApp Tracker'!AL276</f>
        <v>Parsed directory row</v>
      </c>
      <c r="F279" s="50" t="str">
        <f>'WhatsApp Tracker'!B276</f>
        <v>Imported contact</v>
      </c>
      <c r="G279" s="50">
        <f>'WhatsApp Tracker'!C276</f>
        <v>0</v>
      </c>
      <c r="H279" s="50" t="str">
        <f>'WhatsApp Tracker'!D276</f>
        <v>9435508927</v>
      </c>
      <c r="I279" s="50" t="str">
        <f>'WhatsApp Tracker'!T276</f>
        <v>Not sent</v>
      </c>
      <c r="J279" s="50" t="str">
        <f>'WhatsApp Tracker'!U276</f>
        <v>Unknown</v>
      </c>
      <c r="K279" s="50" t="str">
        <f>'WhatsApp Tracker'!V276</f>
        <v>Unknown</v>
      </c>
      <c r="L279" s="50" t="str">
        <f>'WhatsApp Tracker'!W276</f>
        <v>Not offered</v>
      </c>
      <c r="M279" s="51" t="str">
        <f>'WhatsApp Tracker'!X276</f>
        <v/>
      </c>
      <c r="N279" s="50" t="str">
        <f>'WhatsApp Tracker'!AM276</f>
        <v>Low confidence: verify before sending</v>
      </c>
      <c r="O279" s="50" t="str">
        <f>'WhatsApp Tracker'!AC276</f>
        <v>Imported from extract_garden. Confidence: Low. Parsed from Assam Tea Directory row, verify before sending</v>
      </c>
    </row>
    <row r="280" spans="1:15" x14ac:dyDescent="0.25">
      <c r="A280" s="50">
        <f>'WhatsApp Tracker'!AH277</f>
        <v>9596</v>
      </c>
      <c r="B280" s="50" t="str">
        <f>'WhatsApp Tracker'!AA277</f>
        <v>Do not send</v>
      </c>
      <c r="C280" s="50" t="str">
        <f>'WhatsApp Tracker'!M277</f>
        <v>Hold</v>
      </c>
      <c r="D280" s="50">
        <f>'WhatsApp Tracker'!AN277</f>
        <v>5</v>
      </c>
      <c r="E280" s="50" t="str">
        <f>'WhatsApp Tracker'!AL277</f>
        <v>Parsed directory row</v>
      </c>
      <c r="F280" s="50" t="str">
        <f>'WhatsApp Tracker'!B277</f>
        <v>Imported contact</v>
      </c>
      <c r="G280" s="50">
        <f>'WhatsApp Tracker'!C277</f>
        <v>0</v>
      </c>
      <c r="H280" s="50" t="str">
        <f>'WhatsApp Tracker'!D277</f>
        <v>9435199931</v>
      </c>
      <c r="I280" s="50" t="str">
        <f>'WhatsApp Tracker'!T277</f>
        <v>Not sent</v>
      </c>
      <c r="J280" s="50" t="str">
        <f>'WhatsApp Tracker'!U277</f>
        <v>Unknown</v>
      </c>
      <c r="K280" s="50" t="str">
        <f>'WhatsApp Tracker'!V277</f>
        <v>Unknown</v>
      </c>
      <c r="L280" s="50" t="str">
        <f>'WhatsApp Tracker'!W277</f>
        <v>Not offered</v>
      </c>
      <c r="M280" s="51" t="str">
        <f>'WhatsApp Tracker'!X277</f>
        <v/>
      </c>
      <c r="N280" s="50" t="str">
        <f>'WhatsApp Tracker'!AM277</f>
        <v>Low confidence: verify before sending</v>
      </c>
      <c r="O280" s="50" t="str">
        <f>'WhatsApp Tracker'!AC277</f>
        <v>Imported from extract_garden. Confidence: Low. Parsed from Assam Tea Directory row, verify before sending</v>
      </c>
    </row>
    <row r="281" spans="1:15" x14ac:dyDescent="0.25">
      <c r="A281" s="50">
        <f>'WhatsApp Tracker'!AH278</f>
        <v>9596</v>
      </c>
      <c r="B281" s="50" t="str">
        <f>'WhatsApp Tracker'!AA278</f>
        <v>Do not send</v>
      </c>
      <c r="C281" s="50" t="str">
        <f>'WhatsApp Tracker'!M278</f>
        <v>Hold</v>
      </c>
      <c r="D281" s="50">
        <f>'WhatsApp Tracker'!AN278</f>
        <v>5</v>
      </c>
      <c r="E281" s="50" t="str">
        <f>'WhatsApp Tracker'!AL278</f>
        <v>Parsed directory row</v>
      </c>
      <c r="F281" s="50" t="str">
        <f>'WhatsApp Tracker'!B278</f>
        <v>Imported contact</v>
      </c>
      <c r="G281" s="50">
        <f>'WhatsApp Tracker'!C278</f>
        <v>0</v>
      </c>
      <c r="H281" s="50" t="str">
        <f>'WhatsApp Tracker'!D278</f>
        <v>9831924111</v>
      </c>
      <c r="I281" s="50" t="str">
        <f>'WhatsApp Tracker'!T278</f>
        <v>Not sent</v>
      </c>
      <c r="J281" s="50" t="str">
        <f>'WhatsApp Tracker'!U278</f>
        <v>Unknown</v>
      </c>
      <c r="K281" s="50" t="str">
        <f>'WhatsApp Tracker'!V278</f>
        <v>Unknown</v>
      </c>
      <c r="L281" s="50" t="str">
        <f>'WhatsApp Tracker'!W278</f>
        <v>Not offered</v>
      </c>
      <c r="M281" s="51" t="str">
        <f>'WhatsApp Tracker'!X278</f>
        <v/>
      </c>
      <c r="N281" s="50" t="str">
        <f>'WhatsApp Tracker'!AM278</f>
        <v>Low confidence: verify before sending</v>
      </c>
      <c r="O281" s="50" t="str">
        <f>'WhatsApp Tracker'!AC278</f>
        <v>Imported from extract_garden. Confidence: Low. Parsed from Assam Tea Directory row, verify before sending</v>
      </c>
    </row>
    <row r="282" spans="1:15" x14ac:dyDescent="0.25">
      <c r="A282" s="50">
        <f>'WhatsApp Tracker'!AH279</f>
        <v>9596</v>
      </c>
      <c r="B282" s="50" t="str">
        <f>'WhatsApp Tracker'!AA279</f>
        <v>Do not send</v>
      </c>
      <c r="C282" s="50" t="str">
        <f>'WhatsApp Tracker'!M279</f>
        <v>Hold</v>
      </c>
      <c r="D282" s="50">
        <f>'WhatsApp Tracker'!AN279</f>
        <v>5</v>
      </c>
      <c r="E282" s="50" t="str">
        <f>'WhatsApp Tracker'!AL279</f>
        <v>Parsed directory row</v>
      </c>
      <c r="F282" s="50" t="str">
        <f>'WhatsApp Tracker'!B279</f>
        <v>Imported contact</v>
      </c>
      <c r="G282" s="50">
        <f>'WhatsApp Tracker'!C279</f>
        <v>0</v>
      </c>
      <c r="H282" s="50" t="str">
        <f>'WhatsApp Tracker'!D279</f>
        <v>9613256964</v>
      </c>
      <c r="I282" s="50" t="str">
        <f>'WhatsApp Tracker'!T279</f>
        <v>Not sent</v>
      </c>
      <c r="J282" s="50" t="str">
        <f>'WhatsApp Tracker'!U279</f>
        <v>Unknown</v>
      </c>
      <c r="K282" s="50" t="str">
        <f>'WhatsApp Tracker'!V279</f>
        <v>Unknown</v>
      </c>
      <c r="L282" s="50" t="str">
        <f>'WhatsApp Tracker'!W279</f>
        <v>Not offered</v>
      </c>
      <c r="M282" s="51" t="str">
        <f>'WhatsApp Tracker'!X279</f>
        <v/>
      </c>
      <c r="N282" s="50" t="str">
        <f>'WhatsApp Tracker'!AM279</f>
        <v>Low confidence: verify before sending</v>
      </c>
      <c r="O282" s="50" t="str">
        <f>'WhatsApp Tracker'!AC279</f>
        <v>Imported from extract_garden. Confidence: Low. Parsed from Assam Tea Directory row, verify before sending</v>
      </c>
    </row>
    <row r="283" spans="1:15" x14ac:dyDescent="0.25">
      <c r="A283" s="50">
        <f>'WhatsApp Tracker'!AH280</f>
        <v>9596</v>
      </c>
      <c r="B283" s="50" t="str">
        <f>'WhatsApp Tracker'!AA280</f>
        <v>Do not send</v>
      </c>
      <c r="C283" s="50" t="str">
        <f>'WhatsApp Tracker'!M280</f>
        <v>Hold</v>
      </c>
      <c r="D283" s="50">
        <f>'WhatsApp Tracker'!AN280</f>
        <v>5</v>
      </c>
      <c r="E283" s="50" t="str">
        <f>'WhatsApp Tracker'!AL280</f>
        <v>Parsed directory row</v>
      </c>
      <c r="F283" s="50" t="str">
        <f>'WhatsApp Tracker'!B280</f>
        <v>Imported contact</v>
      </c>
      <c r="G283" s="50">
        <f>'WhatsApp Tracker'!C280</f>
        <v>0</v>
      </c>
      <c r="H283" s="50" t="str">
        <f>'WhatsApp Tracker'!D280</f>
        <v>9957004641</v>
      </c>
      <c r="I283" s="50" t="str">
        <f>'WhatsApp Tracker'!T280</f>
        <v>Not sent</v>
      </c>
      <c r="J283" s="50" t="str">
        <f>'WhatsApp Tracker'!U280</f>
        <v>Unknown</v>
      </c>
      <c r="K283" s="50" t="str">
        <f>'WhatsApp Tracker'!V280</f>
        <v>Unknown</v>
      </c>
      <c r="L283" s="50" t="str">
        <f>'WhatsApp Tracker'!W280</f>
        <v>Not offered</v>
      </c>
      <c r="M283" s="51" t="str">
        <f>'WhatsApp Tracker'!X280</f>
        <v/>
      </c>
      <c r="N283" s="50" t="str">
        <f>'WhatsApp Tracker'!AM280</f>
        <v>Low confidence: verify before sending</v>
      </c>
      <c r="O283" s="50" t="str">
        <f>'WhatsApp Tracker'!AC280</f>
        <v>Imported from extract_garden. Confidence: Low. Parsed from Assam Tea Directory row, verify before sending</v>
      </c>
    </row>
    <row r="284" spans="1:15" x14ac:dyDescent="0.25">
      <c r="A284" s="50">
        <f>'WhatsApp Tracker'!AH281</f>
        <v>9596</v>
      </c>
      <c r="B284" s="50" t="str">
        <f>'WhatsApp Tracker'!AA281</f>
        <v>Do not send</v>
      </c>
      <c r="C284" s="50" t="str">
        <f>'WhatsApp Tracker'!M281</f>
        <v>Hold</v>
      </c>
      <c r="D284" s="50">
        <f>'WhatsApp Tracker'!AN281</f>
        <v>5</v>
      </c>
      <c r="E284" s="50" t="str">
        <f>'WhatsApp Tracker'!AL281</f>
        <v>Parsed directory row</v>
      </c>
      <c r="F284" s="50" t="str">
        <f>'WhatsApp Tracker'!B281</f>
        <v>Imported contact</v>
      </c>
      <c r="G284" s="50">
        <f>'WhatsApp Tracker'!C281</f>
        <v>0</v>
      </c>
      <c r="H284" s="50" t="str">
        <f>'WhatsApp Tracker'!D281</f>
        <v>9435344605</v>
      </c>
      <c r="I284" s="50" t="str">
        <f>'WhatsApp Tracker'!T281</f>
        <v>Not sent</v>
      </c>
      <c r="J284" s="50" t="str">
        <f>'WhatsApp Tracker'!U281</f>
        <v>Unknown</v>
      </c>
      <c r="K284" s="50" t="str">
        <f>'WhatsApp Tracker'!V281</f>
        <v>Unknown</v>
      </c>
      <c r="L284" s="50" t="str">
        <f>'WhatsApp Tracker'!W281</f>
        <v>Not offered</v>
      </c>
      <c r="M284" s="51" t="str">
        <f>'WhatsApp Tracker'!X281</f>
        <v/>
      </c>
      <c r="N284" s="50" t="str">
        <f>'WhatsApp Tracker'!AM281</f>
        <v>Low confidence: verify before sending</v>
      </c>
      <c r="O284" s="50" t="str">
        <f>'WhatsApp Tracker'!AC281</f>
        <v>Imported from extract_garden. Confidence: Low. Parsed from Assam Tea Directory row, verify before sending</v>
      </c>
    </row>
    <row r="285" spans="1:15" x14ac:dyDescent="0.25">
      <c r="A285" s="50">
        <f>'WhatsApp Tracker'!AH282</f>
        <v>9596</v>
      </c>
      <c r="B285" s="50" t="str">
        <f>'WhatsApp Tracker'!AA282</f>
        <v>Do not send</v>
      </c>
      <c r="C285" s="50" t="str">
        <f>'WhatsApp Tracker'!M282</f>
        <v>Hold</v>
      </c>
      <c r="D285" s="50">
        <f>'WhatsApp Tracker'!AN282</f>
        <v>5</v>
      </c>
      <c r="E285" s="50" t="str">
        <f>'WhatsApp Tracker'!AL282</f>
        <v>Parsed directory row</v>
      </c>
      <c r="F285" s="50" t="str">
        <f>'WhatsApp Tracker'!B282</f>
        <v>Imported contact</v>
      </c>
      <c r="G285" s="50">
        <f>'WhatsApp Tracker'!C282</f>
        <v>0</v>
      </c>
      <c r="H285" s="50" t="str">
        <f>'WhatsApp Tracker'!D282</f>
        <v>9435030458</v>
      </c>
      <c r="I285" s="50" t="str">
        <f>'WhatsApp Tracker'!T282</f>
        <v>Not sent</v>
      </c>
      <c r="J285" s="50" t="str">
        <f>'WhatsApp Tracker'!U282</f>
        <v>Unknown</v>
      </c>
      <c r="K285" s="50" t="str">
        <f>'WhatsApp Tracker'!V282</f>
        <v>Unknown</v>
      </c>
      <c r="L285" s="50" t="str">
        <f>'WhatsApp Tracker'!W282</f>
        <v>Not offered</v>
      </c>
      <c r="M285" s="51" t="str">
        <f>'WhatsApp Tracker'!X282</f>
        <v/>
      </c>
      <c r="N285" s="50" t="str">
        <f>'WhatsApp Tracker'!AM282</f>
        <v>Low confidence: verify before sending</v>
      </c>
      <c r="O285" s="50" t="str">
        <f>'WhatsApp Tracker'!AC282</f>
        <v>Imported from extract_garden. Confidence: Low. Parsed from Assam Tea Directory row, verify before sending</v>
      </c>
    </row>
    <row r="286" spans="1:15" x14ac:dyDescent="0.25">
      <c r="A286" s="50">
        <f>'WhatsApp Tracker'!AH283</f>
        <v>9596</v>
      </c>
      <c r="B286" s="50" t="str">
        <f>'WhatsApp Tracker'!AA283</f>
        <v>Do not send</v>
      </c>
      <c r="C286" s="50" t="str">
        <f>'WhatsApp Tracker'!M283</f>
        <v>Hold</v>
      </c>
      <c r="D286" s="50">
        <f>'WhatsApp Tracker'!AN283</f>
        <v>5</v>
      </c>
      <c r="E286" s="50" t="str">
        <f>'WhatsApp Tracker'!AL283</f>
        <v>Parsed directory row</v>
      </c>
      <c r="F286" s="50" t="str">
        <f>'WhatsApp Tracker'!B283</f>
        <v>Imported contact</v>
      </c>
      <c r="G286" s="50">
        <f>'WhatsApp Tracker'!C283</f>
        <v>0</v>
      </c>
      <c r="H286" s="50" t="str">
        <f>'WhatsApp Tracker'!D283</f>
        <v>9854439587</v>
      </c>
      <c r="I286" s="50" t="str">
        <f>'WhatsApp Tracker'!T283</f>
        <v>Not sent</v>
      </c>
      <c r="J286" s="50" t="str">
        <f>'WhatsApp Tracker'!U283</f>
        <v>Unknown</v>
      </c>
      <c r="K286" s="50" t="str">
        <f>'WhatsApp Tracker'!V283</f>
        <v>Unknown</v>
      </c>
      <c r="L286" s="50" t="str">
        <f>'WhatsApp Tracker'!W283</f>
        <v>Not offered</v>
      </c>
      <c r="M286" s="51" t="str">
        <f>'WhatsApp Tracker'!X283</f>
        <v/>
      </c>
      <c r="N286" s="50" t="str">
        <f>'WhatsApp Tracker'!AM283</f>
        <v>Low confidence: verify before sending</v>
      </c>
      <c r="O286" s="50" t="str">
        <f>'WhatsApp Tracker'!AC283</f>
        <v>Imported from extract_garden. Confidence: Low. Parsed from Assam Tea Directory row, verify before sending</v>
      </c>
    </row>
    <row r="287" spans="1:15" x14ac:dyDescent="0.25">
      <c r="A287" s="50">
        <f>'WhatsApp Tracker'!AH284</f>
        <v>9596</v>
      </c>
      <c r="B287" s="50" t="str">
        <f>'WhatsApp Tracker'!AA284</f>
        <v>Do not send</v>
      </c>
      <c r="C287" s="50" t="str">
        <f>'WhatsApp Tracker'!M284</f>
        <v>Hold</v>
      </c>
      <c r="D287" s="50">
        <f>'WhatsApp Tracker'!AN284</f>
        <v>5</v>
      </c>
      <c r="E287" s="50" t="str">
        <f>'WhatsApp Tracker'!AL284</f>
        <v>Parsed directory row</v>
      </c>
      <c r="F287" s="50" t="str">
        <f>'WhatsApp Tracker'!B284</f>
        <v>Imported contact</v>
      </c>
      <c r="G287" s="50">
        <f>'WhatsApp Tracker'!C284</f>
        <v>0</v>
      </c>
      <c r="H287" s="50" t="str">
        <f>'WhatsApp Tracker'!D284</f>
        <v>9401186742</v>
      </c>
      <c r="I287" s="50" t="str">
        <f>'WhatsApp Tracker'!T284</f>
        <v>Not sent</v>
      </c>
      <c r="J287" s="50" t="str">
        <f>'WhatsApp Tracker'!U284</f>
        <v>Unknown</v>
      </c>
      <c r="K287" s="50" t="str">
        <f>'WhatsApp Tracker'!V284</f>
        <v>Unknown</v>
      </c>
      <c r="L287" s="50" t="str">
        <f>'WhatsApp Tracker'!W284</f>
        <v>Not offered</v>
      </c>
      <c r="M287" s="51" t="str">
        <f>'WhatsApp Tracker'!X284</f>
        <v/>
      </c>
      <c r="N287" s="50" t="str">
        <f>'WhatsApp Tracker'!AM284</f>
        <v>Low confidence: verify before sending</v>
      </c>
      <c r="O287" s="50" t="str">
        <f>'WhatsApp Tracker'!AC284</f>
        <v>Imported from extract_garden. Confidence: Low. Parsed from Assam Tea Directory row, verify before sending</v>
      </c>
    </row>
    <row r="288" spans="1:15" x14ac:dyDescent="0.25">
      <c r="A288" s="50">
        <f>'WhatsApp Tracker'!AH285</f>
        <v>9596</v>
      </c>
      <c r="B288" s="50" t="str">
        <f>'WhatsApp Tracker'!AA285</f>
        <v>Do not send</v>
      </c>
      <c r="C288" s="50" t="str">
        <f>'WhatsApp Tracker'!M285</f>
        <v>Hold</v>
      </c>
      <c r="D288" s="50">
        <f>'WhatsApp Tracker'!AN285</f>
        <v>5</v>
      </c>
      <c r="E288" s="50" t="str">
        <f>'WhatsApp Tracker'!AL285</f>
        <v>Parsed directory row</v>
      </c>
      <c r="F288" s="50" t="str">
        <f>'WhatsApp Tracker'!B285</f>
        <v>Imported contact</v>
      </c>
      <c r="G288" s="50">
        <f>'WhatsApp Tracker'!C285</f>
        <v>0</v>
      </c>
      <c r="H288" s="50" t="str">
        <f>'WhatsApp Tracker'!D285</f>
        <v>9435033825</v>
      </c>
      <c r="I288" s="50" t="str">
        <f>'WhatsApp Tracker'!T285</f>
        <v>Not sent</v>
      </c>
      <c r="J288" s="50" t="str">
        <f>'WhatsApp Tracker'!U285</f>
        <v>Unknown</v>
      </c>
      <c r="K288" s="50" t="str">
        <f>'WhatsApp Tracker'!V285</f>
        <v>Unknown</v>
      </c>
      <c r="L288" s="50" t="str">
        <f>'WhatsApp Tracker'!W285</f>
        <v>Not offered</v>
      </c>
      <c r="M288" s="51" t="str">
        <f>'WhatsApp Tracker'!X285</f>
        <v/>
      </c>
      <c r="N288" s="50" t="str">
        <f>'WhatsApp Tracker'!AM285</f>
        <v>Low confidence: verify before sending</v>
      </c>
      <c r="O288" s="50" t="str">
        <f>'WhatsApp Tracker'!AC285</f>
        <v>Imported from extract_garden. Confidence: Low. Parsed from Assam Tea Directory row, verify before sending</v>
      </c>
    </row>
    <row r="289" spans="1:15" x14ac:dyDescent="0.25">
      <c r="A289" s="50">
        <f>'WhatsApp Tracker'!AH286</f>
        <v>9596</v>
      </c>
      <c r="B289" s="50" t="str">
        <f>'WhatsApp Tracker'!AA286</f>
        <v>Do not send</v>
      </c>
      <c r="C289" s="50" t="str">
        <f>'WhatsApp Tracker'!M286</f>
        <v>Hold</v>
      </c>
      <c r="D289" s="50">
        <f>'WhatsApp Tracker'!AN286</f>
        <v>5</v>
      </c>
      <c r="E289" s="50" t="str">
        <f>'WhatsApp Tracker'!AL286</f>
        <v>Parsed directory row</v>
      </c>
      <c r="F289" s="50" t="str">
        <f>'WhatsApp Tracker'!B286</f>
        <v>Imported contact</v>
      </c>
      <c r="G289" s="50">
        <f>'WhatsApp Tracker'!C286</f>
        <v>0</v>
      </c>
      <c r="H289" s="50" t="str">
        <f>'WhatsApp Tracker'!D286</f>
        <v>9435433558</v>
      </c>
      <c r="I289" s="50" t="str">
        <f>'WhatsApp Tracker'!T286</f>
        <v>Not sent</v>
      </c>
      <c r="J289" s="50" t="str">
        <f>'WhatsApp Tracker'!U286</f>
        <v>Unknown</v>
      </c>
      <c r="K289" s="50" t="str">
        <f>'WhatsApp Tracker'!V286</f>
        <v>Unknown</v>
      </c>
      <c r="L289" s="50" t="str">
        <f>'WhatsApp Tracker'!W286</f>
        <v>Not offered</v>
      </c>
      <c r="M289" s="51" t="str">
        <f>'WhatsApp Tracker'!X286</f>
        <v/>
      </c>
      <c r="N289" s="50" t="str">
        <f>'WhatsApp Tracker'!AM286</f>
        <v>Low confidence: verify before sending</v>
      </c>
      <c r="O289" s="50" t="str">
        <f>'WhatsApp Tracker'!AC286</f>
        <v>Imported from extract_garden. Confidence: Low. Parsed from Assam Tea Directory row, verify before sending</v>
      </c>
    </row>
    <row r="290" spans="1:15" x14ac:dyDescent="0.25">
      <c r="A290" s="50">
        <f>'WhatsApp Tracker'!AH287</f>
        <v>9596</v>
      </c>
      <c r="B290" s="50" t="str">
        <f>'WhatsApp Tracker'!AA287</f>
        <v>Do not send</v>
      </c>
      <c r="C290" s="50" t="str">
        <f>'WhatsApp Tracker'!M287</f>
        <v>Hold</v>
      </c>
      <c r="D290" s="50">
        <f>'WhatsApp Tracker'!AN287</f>
        <v>5</v>
      </c>
      <c r="E290" s="50" t="str">
        <f>'WhatsApp Tracker'!AL287</f>
        <v>Parsed directory row</v>
      </c>
      <c r="F290" s="50" t="str">
        <f>'WhatsApp Tracker'!B287</f>
        <v>Imported contact</v>
      </c>
      <c r="G290" s="50">
        <f>'WhatsApp Tracker'!C287</f>
        <v>0</v>
      </c>
      <c r="H290" s="50" t="str">
        <f>'WhatsApp Tracker'!D287</f>
        <v>9678380680</v>
      </c>
      <c r="I290" s="50" t="str">
        <f>'WhatsApp Tracker'!T287</f>
        <v>Not sent</v>
      </c>
      <c r="J290" s="50" t="str">
        <f>'WhatsApp Tracker'!U287</f>
        <v>Unknown</v>
      </c>
      <c r="K290" s="50" t="str">
        <f>'WhatsApp Tracker'!V287</f>
        <v>Unknown</v>
      </c>
      <c r="L290" s="50" t="str">
        <f>'WhatsApp Tracker'!W287</f>
        <v>Not offered</v>
      </c>
      <c r="M290" s="51" t="str">
        <f>'WhatsApp Tracker'!X287</f>
        <v/>
      </c>
      <c r="N290" s="50" t="str">
        <f>'WhatsApp Tracker'!AM287</f>
        <v>Low confidence: verify before sending</v>
      </c>
      <c r="O290" s="50" t="str">
        <f>'WhatsApp Tracker'!AC287</f>
        <v>Imported from extract_garden. Confidence: Low. Parsed from Assam Tea Directory row, verify before sending</v>
      </c>
    </row>
    <row r="291" spans="1:15" x14ac:dyDescent="0.25">
      <c r="A291" s="50">
        <f>'WhatsApp Tracker'!AH288</f>
        <v>9596</v>
      </c>
      <c r="B291" s="50" t="str">
        <f>'WhatsApp Tracker'!AA288</f>
        <v>Do not send</v>
      </c>
      <c r="C291" s="50" t="str">
        <f>'WhatsApp Tracker'!M288</f>
        <v>Hold</v>
      </c>
      <c r="D291" s="50">
        <f>'WhatsApp Tracker'!AN288</f>
        <v>5</v>
      </c>
      <c r="E291" s="50" t="str">
        <f>'WhatsApp Tracker'!AL288</f>
        <v>Parsed directory row</v>
      </c>
      <c r="F291" s="50" t="str">
        <f>'WhatsApp Tracker'!B288</f>
        <v>Imported contact</v>
      </c>
      <c r="G291" s="50">
        <f>'WhatsApp Tracker'!C288</f>
        <v>0</v>
      </c>
      <c r="H291" s="50" t="str">
        <f>'WhatsApp Tracker'!D288</f>
        <v>9435040611</v>
      </c>
      <c r="I291" s="50" t="str">
        <f>'WhatsApp Tracker'!T288</f>
        <v>Not sent</v>
      </c>
      <c r="J291" s="50" t="str">
        <f>'WhatsApp Tracker'!U288</f>
        <v>Unknown</v>
      </c>
      <c r="K291" s="50" t="str">
        <f>'WhatsApp Tracker'!V288</f>
        <v>Unknown</v>
      </c>
      <c r="L291" s="50" t="str">
        <f>'WhatsApp Tracker'!W288</f>
        <v>Not offered</v>
      </c>
      <c r="M291" s="51" t="str">
        <f>'WhatsApp Tracker'!X288</f>
        <v/>
      </c>
      <c r="N291" s="50" t="str">
        <f>'WhatsApp Tracker'!AM288</f>
        <v>Low confidence: verify before sending</v>
      </c>
      <c r="O291" s="50" t="str">
        <f>'WhatsApp Tracker'!AC288</f>
        <v>Imported from extract_garden. Confidence: Low. Parsed from Assam Tea Directory row, verify before sending</v>
      </c>
    </row>
    <row r="292" spans="1:15" x14ac:dyDescent="0.25">
      <c r="A292" s="50">
        <f>'WhatsApp Tracker'!AH289</f>
        <v>9596</v>
      </c>
      <c r="B292" s="50" t="str">
        <f>'WhatsApp Tracker'!AA289</f>
        <v>Do not send</v>
      </c>
      <c r="C292" s="50" t="str">
        <f>'WhatsApp Tracker'!M289</f>
        <v>Hold</v>
      </c>
      <c r="D292" s="50">
        <f>'WhatsApp Tracker'!AN289</f>
        <v>5</v>
      </c>
      <c r="E292" s="50" t="str">
        <f>'WhatsApp Tracker'!AL289</f>
        <v>Parsed directory row</v>
      </c>
      <c r="F292" s="50" t="str">
        <f>'WhatsApp Tracker'!B289</f>
        <v>Imported contact</v>
      </c>
      <c r="G292" s="50">
        <f>'WhatsApp Tracker'!C289</f>
        <v>0</v>
      </c>
      <c r="H292" s="50" t="str">
        <f>'WhatsApp Tracker'!D289</f>
        <v>9435735898</v>
      </c>
      <c r="I292" s="50" t="str">
        <f>'WhatsApp Tracker'!T289</f>
        <v>Not sent</v>
      </c>
      <c r="J292" s="50" t="str">
        <f>'WhatsApp Tracker'!U289</f>
        <v>Unknown</v>
      </c>
      <c r="K292" s="50" t="str">
        <f>'WhatsApp Tracker'!V289</f>
        <v>Unknown</v>
      </c>
      <c r="L292" s="50" t="str">
        <f>'WhatsApp Tracker'!W289</f>
        <v>Not offered</v>
      </c>
      <c r="M292" s="51" t="str">
        <f>'WhatsApp Tracker'!X289</f>
        <v/>
      </c>
      <c r="N292" s="50" t="str">
        <f>'WhatsApp Tracker'!AM289</f>
        <v>Low confidence: verify before sending</v>
      </c>
      <c r="O292" s="50" t="str">
        <f>'WhatsApp Tracker'!AC289</f>
        <v>Imported from extract_garden. Confidence: Low. Parsed from Assam Tea Directory row, verify before sending</v>
      </c>
    </row>
    <row r="293" spans="1:15" x14ac:dyDescent="0.25">
      <c r="A293" s="50">
        <f>'WhatsApp Tracker'!AH290</f>
        <v>9596</v>
      </c>
      <c r="B293" s="50" t="str">
        <f>'WhatsApp Tracker'!AA290</f>
        <v>Do not send</v>
      </c>
      <c r="C293" s="50" t="str">
        <f>'WhatsApp Tracker'!M290</f>
        <v>Hold</v>
      </c>
      <c r="D293" s="50">
        <f>'WhatsApp Tracker'!AN290</f>
        <v>5</v>
      </c>
      <c r="E293" s="50" t="str">
        <f>'WhatsApp Tracker'!AL290</f>
        <v>Parsed directory row</v>
      </c>
      <c r="F293" s="50" t="str">
        <f>'WhatsApp Tracker'!B290</f>
        <v>Imported contact</v>
      </c>
      <c r="G293" s="50">
        <f>'WhatsApp Tracker'!C290</f>
        <v>0</v>
      </c>
      <c r="H293" s="50" t="str">
        <f>'WhatsApp Tracker'!D290</f>
        <v>9957421622</v>
      </c>
      <c r="I293" s="50" t="str">
        <f>'WhatsApp Tracker'!T290</f>
        <v>Not sent</v>
      </c>
      <c r="J293" s="50" t="str">
        <f>'WhatsApp Tracker'!U290</f>
        <v>Unknown</v>
      </c>
      <c r="K293" s="50" t="str">
        <f>'WhatsApp Tracker'!V290</f>
        <v>Unknown</v>
      </c>
      <c r="L293" s="50" t="str">
        <f>'WhatsApp Tracker'!W290</f>
        <v>Not offered</v>
      </c>
      <c r="M293" s="51" t="str">
        <f>'WhatsApp Tracker'!X290</f>
        <v/>
      </c>
      <c r="N293" s="50" t="str">
        <f>'WhatsApp Tracker'!AM290</f>
        <v>Low confidence: verify before sending</v>
      </c>
      <c r="O293" s="50" t="str">
        <f>'WhatsApp Tracker'!AC290</f>
        <v>Imported from extract_garden. Confidence: Low. Parsed from Assam Tea Directory row, verify before sending</v>
      </c>
    </row>
    <row r="294" spans="1:15" x14ac:dyDescent="0.25">
      <c r="A294" s="50">
        <f>'WhatsApp Tracker'!AH291</f>
        <v>9596</v>
      </c>
      <c r="B294" s="50" t="str">
        <f>'WhatsApp Tracker'!AA291</f>
        <v>Do not send</v>
      </c>
      <c r="C294" s="50" t="str">
        <f>'WhatsApp Tracker'!M291</f>
        <v>Hold</v>
      </c>
      <c r="D294" s="50">
        <f>'WhatsApp Tracker'!AN291</f>
        <v>5</v>
      </c>
      <c r="E294" s="50" t="str">
        <f>'WhatsApp Tracker'!AL291</f>
        <v>Parsed directory row</v>
      </c>
      <c r="F294" s="50" t="str">
        <f>'WhatsApp Tracker'!B291</f>
        <v>ASSAM.</v>
      </c>
      <c r="G294" s="50" t="str">
        <f>'WhatsApp Tracker'!C291</f>
        <v>ASSAM.</v>
      </c>
      <c r="H294" s="50" t="str">
        <f>'WhatsApp Tracker'!D291</f>
        <v>9868958425</v>
      </c>
      <c r="I294" s="50" t="str">
        <f>'WhatsApp Tracker'!T291</f>
        <v>Not sent</v>
      </c>
      <c r="J294" s="50" t="str">
        <f>'WhatsApp Tracker'!U291</f>
        <v>Unknown</v>
      </c>
      <c r="K294" s="50" t="str">
        <f>'WhatsApp Tracker'!V291</f>
        <v>Unknown</v>
      </c>
      <c r="L294" s="50" t="str">
        <f>'WhatsApp Tracker'!W291</f>
        <v>Not offered</v>
      </c>
      <c r="M294" s="51" t="str">
        <f>'WhatsApp Tracker'!X291</f>
        <v/>
      </c>
      <c r="N294" s="50" t="str">
        <f>'WhatsApp Tracker'!AM291</f>
        <v>Low confidence: verify before sending</v>
      </c>
      <c r="O294" s="50" t="str">
        <f>'WhatsApp Tracker'!AC291</f>
        <v>Imported from extract_garden. Confidence: Low. Parsed from Assam Tea Directory row, verify before sending</v>
      </c>
    </row>
    <row r="295" spans="1:15" x14ac:dyDescent="0.25">
      <c r="A295" s="50">
        <f>'WhatsApp Tracker'!AH292</f>
        <v>9596</v>
      </c>
      <c r="B295" s="50" t="str">
        <f>'WhatsApp Tracker'!AA292</f>
        <v>Do not send</v>
      </c>
      <c r="C295" s="50" t="str">
        <f>'WhatsApp Tracker'!M292</f>
        <v>Hold</v>
      </c>
      <c r="D295" s="50">
        <f>'WhatsApp Tracker'!AN292</f>
        <v>5</v>
      </c>
      <c r="E295" s="50" t="str">
        <f>'WhatsApp Tracker'!AL292</f>
        <v>Parsed directory row</v>
      </c>
      <c r="F295" s="50" t="str">
        <f>'WhatsApp Tracker'!B292</f>
        <v>Imported contact</v>
      </c>
      <c r="G295" s="50">
        <f>'WhatsApp Tracker'!C292</f>
        <v>0</v>
      </c>
      <c r="H295" s="50" t="str">
        <f>'WhatsApp Tracker'!D292</f>
        <v>9707076375</v>
      </c>
      <c r="I295" s="50" t="str">
        <f>'WhatsApp Tracker'!T292</f>
        <v>Not sent</v>
      </c>
      <c r="J295" s="50" t="str">
        <f>'WhatsApp Tracker'!U292</f>
        <v>Unknown</v>
      </c>
      <c r="K295" s="50" t="str">
        <f>'WhatsApp Tracker'!V292</f>
        <v>Unknown</v>
      </c>
      <c r="L295" s="50" t="str">
        <f>'WhatsApp Tracker'!W292</f>
        <v>Not offered</v>
      </c>
      <c r="M295" s="51" t="str">
        <f>'WhatsApp Tracker'!X292</f>
        <v/>
      </c>
      <c r="N295" s="50" t="str">
        <f>'WhatsApp Tracker'!AM292</f>
        <v>Low confidence: verify before sending</v>
      </c>
      <c r="O295" s="50" t="str">
        <f>'WhatsApp Tracker'!AC292</f>
        <v>Imported from extract_garden. Confidence: Low. Parsed from Assam Tea Directory row, verify before sending</v>
      </c>
    </row>
    <row r="296" spans="1:15" x14ac:dyDescent="0.25">
      <c r="A296" s="50">
        <f>'WhatsApp Tracker'!AH293</f>
        <v>9596</v>
      </c>
      <c r="B296" s="50" t="str">
        <f>'WhatsApp Tracker'!AA293</f>
        <v>Do not send</v>
      </c>
      <c r="C296" s="50" t="str">
        <f>'WhatsApp Tracker'!M293</f>
        <v>Hold</v>
      </c>
      <c r="D296" s="50">
        <f>'WhatsApp Tracker'!AN293</f>
        <v>5</v>
      </c>
      <c r="E296" s="50" t="str">
        <f>'WhatsApp Tracker'!AL293</f>
        <v>Parsed directory row</v>
      </c>
      <c r="F296" s="50" t="str">
        <f>'WhatsApp Tracker'!B293</f>
        <v>Imported contact</v>
      </c>
      <c r="G296" s="50">
        <f>'WhatsApp Tracker'!C293</f>
        <v>0</v>
      </c>
      <c r="H296" s="50" t="str">
        <f>'WhatsApp Tracker'!D293</f>
        <v>9435378374</v>
      </c>
      <c r="I296" s="50" t="str">
        <f>'WhatsApp Tracker'!T293</f>
        <v>Not sent</v>
      </c>
      <c r="J296" s="50" t="str">
        <f>'WhatsApp Tracker'!U293</f>
        <v>Unknown</v>
      </c>
      <c r="K296" s="50" t="str">
        <f>'WhatsApp Tracker'!V293</f>
        <v>Unknown</v>
      </c>
      <c r="L296" s="50" t="str">
        <f>'WhatsApp Tracker'!W293</f>
        <v>Not offered</v>
      </c>
      <c r="M296" s="51" t="str">
        <f>'WhatsApp Tracker'!X293</f>
        <v/>
      </c>
      <c r="N296" s="50" t="str">
        <f>'WhatsApp Tracker'!AM293</f>
        <v>Low confidence: verify before sending</v>
      </c>
      <c r="O296" s="50" t="str">
        <f>'WhatsApp Tracker'!AC293</f>
        <v>Imported from extract_garden. Confidence: Low. Parsed from Assam Tea Directory row, verify before sending</v>
      </c>
    </row>
    <row r="297" spans="1:15" x14ac:dyDescent="0.25">
      <c r="A297" s="50">
        <f>'WhatsApp Tracker'!AH294</f>
        <v>9596</v>
      </c>
      <c r="B297" s="50" t="str">
        <f>'WhatsApp Tracker'!AA294</f>
        <v>Do not send</v>
      </c>
      <c r="C297" s="50" t="str">
        <f>'WhatsApp Tracker'!M294</f>
        <v>Hold</v>
      </c>
      <c r="D297" s="50">
        <f>'WhatsApp Tracker'!AN294</f>
        <v>5</v>
      </c>
      <c r="E297" s="50" t="str">
        <f>'WhatsApp Tracker'!AL294</f>
        <v>Parsed directory row</v>
      </c>
      <c r="F297" s="50" t="str">
        <f>'WhatsApp Tracker'!B294</f>
        <v>Imported contact</v>
      </c>
      <c r="G297" s="50">
        <f>'WhatsApp Tracker'!C294</f>
        <v>0</v>
      </c>
      <c r="H297" s="50" t="str">
        <f>'WhatsApp Tracker'!D294</f>
        <v>9435059050</v>
      </c>
      <c r="I297" s="50" t="str">
        <f>'WhatsApp Tracker'!T294</f>
        <v>Not sent</v>
      </c>
      <c r="J297" s="50" t="str">
        <f>'WhatsApp Tracker'!U294</f>
        <v>Unknown</v>
      </c>
      <c r="K297" s="50" t="str">
        <f>'WhatsApp Tracker'!V294</f>
        <v>Unknown</v>
      </c>
      <c r="L297" s="50" t="str">
        <f>'WhatsApp Tracker'!W294</f>
        <v>Not offered</v>
      </c>
      <c r="M297" s="51" t="str">
        <f>'WhatsApp Tracker'!X294</f>
        <v/>
      </c>
      <c r="N297" s="50" t="str">
        <f>'WhatsApp Tracker'!AM294</f>
        <v>Low confidence: verify before sending</v>
      </c>
      <c r="O297" s="50" t="str">
        <f>'WhatsApp Tracker'!AC294</f>
        <v>Imported from extract_garden. Confidence: Low. Parsed from Assam Tea Directory row, verify before sending</v>
      </c>
    </row>
    <row r="298" spans="1:15" x14ac:dyDescent="0.25">
      <c r="A298" s="50">
        <f>'WhatsApp Tracker'!AH295</f>
        <v>9596</v>
      </c>
      <c r="B298" s="50" t="str">
        <f>'WhatsApp Tracker'!AA295</f>
        <v>Do not send</v>
      </c>
      <c r="C298" s="50" t="str">
        <f>'WhatsApp Tracker'!M295</f>
        <v>Hold</v>
      </c>
      <c r="D298" s="50">
        <f>'WhatsApp Tracker'!AN295</f>
        <v>5</v>
      </c>
      <c r="E298" s="50" t="str">
        <f>'WhatsApp Tracker'!AL295</f>
        <v>Parsed directory row</v>
      </c>
      <c r="F298" s="50" t="str">
        <f>'WhatsApp Tracker'!B295</f>
        <v>Imported contact</v>
      </c>
      <c r="G298" s="50">
        <f>'WhatsApp Tracker'!C295</f>
        <v>0</v>
      </c>
      <c r="H298" s="50" t="str">
        <f>'WhatsApp Tracker'!D295</f>
        <v>9435724409</v>
      </c>
      <c r="I298" s="50" t="str">
        <f>'WhatsApp Tracker'!T295</f>
        <v>Not sent</v>
      </c>
      <c r="J298" s="50" t="str">
        <f>'WhatsApp Tracker'!U295</f>
        <v>Unknown</v>
      </c>
      <c r="K298" s="50" t="str">
        <f>'WhatsApp Tracker'!V295</f>
        <v>Unknown</v>
      </c>
      <c r="L298" s="50" t="str">
        <f>'WhatsApp Tracker'!W295</f>
        <v>Not offered</v>
      </c>
      <c r="M298" s="51" t="str">
        <f>'WhatsApp Tracker'!X295</f>
        <v/>
      </c>
      <c r="N298" s="50" t="str">
        <f>'WhatsApp Tracker'!AM295</f>
        <v>Low confidence: verify before sending</v>
      </c>
      <c r="O298" s="50" t="str">
        <f>'WhatsApp Tracker'!AC295</f>
        <v>Imported from extract_garden. Confidence: Low. Parsed from Assam Tea Directory row, verify before sending</v>
      </c>
    </row>
    <row r="299" spans="1:15" x14ac:dyDescent="0.25">
      <c r="A299" s="50">
        <f>'WhatsApp Tracker'!AH296</f>
        <v>9596</v>
      </c>
      <c r="B299" s="50" t="str">
        <f>'WhatsApp Tracker'!AA296</f>
        <v>Do not send</v>
      </c>
      <c r="C299" s="50" t="str">
        <f>'WhatsApp Tracker'!M296</f>
        <v>Hold</v>
      </c>
      <c r="D299" s="50">
        <f>'WhatsApp Tracker'!AN296</f>
        <v>5</v>
      </c>
      <c r="E299" s="50" t="str">
        <f>'WhatsApp Tracker'!AL296</f>
        <v>Parsed directory row</v>
      </c>
      <c r="F299" s="50" t="str">
        <f>'WhatsApp Tracker'!B296</f>
        <v>Imported contact</v>
      </c>
      <c r="G299" s="50">
        <f>'WhatsApp Tracker'!C296</f>
        <v>0</v>
      </c>
      <c r="H299" s="50" t="str">
        <f>'WhatsApp Tracker'!D296</f>
        <v>9859919819</v>
      </c>
      <c r="I299" s="50" t="str">
        <f>'WhatsApp Tracker'!T296</f>
        <v>Not sent</v>
      </c>
      <c r="J299" s="50" t="str">
        <f>'WhatsApp Tracker'!U296</f>
        <v>Unknown</v>
      </c>
      <c r="K299" s="50" t="str">
        <f>'WhatsApp Tracker'!V296</f>
        <v>Unknown</v>
      </c>
      <c r="L299" s="50" t="str">
        <f>'WhatsApp Tracker'!W296</f>
        <v>Not offered</v>
      </c>
      <c r="M299" s="51" t="str">
        <f>'WhatsApp Tracker'!X296</f>
        <v/>
      </c>
      <c r="N299" s="50" t="str">
        <f>'WhatsApp Tracker'!AM296</f>
        <v>Low confidence: verify before sending</v>
      </c>
      <c r="O299" s="50" t="str">
        <f>'WhatsApp Tracker'!AC296</f>
        <v>Imported from extract_garden. Confidence: Low. Parsed from Assam Tea Directory row, verify before sending</v>
      </c>
    </row>
    <row r="300" spans="1:15" x14ac:dyDescent="0.25">
      <c r="A300" s="50">
        <f>'WhatsApp Tracker'!AH297</f>
        <v>9596</v>
      </c>
      <c r="B300" s="50" t="str">
        <f>'WhatsApp Tracker'!AA297</f>
        <v>Do not send</v>
      </c>
      <c r="C300" s="50" t="str">
        <f>'WhatsApp Tracker'!M297</f>
        <v>Hold</v>
      </c>
      <c r="D300" s="50">
        <f>'WhatsApp Tracker'!AN297</f>
        <v>5</v>
      </c>
      <c r="E300" s="50" t="str">
        <f>'WhatsApp Tracker'!AL297</f>
        <v>Parsed directory row</v>
      </c>
      <c r="F300" s="50" t="str">
        <f>'WhatsApp Tracker'!B297</f>
        <v>Imported contact</v>
      </c>
      <c r="G300" s="50">
        <f>'WhatsApp Tracker'!C297</f>
        <v>0</v>
      </c>
      <c r="H300" s="50" t="str">
        <f>'WhatsApp Tracker'!D297</f>
        <v>9435150930</v>
      </c>
      <c r="I300" s="50" t="str">
        <f>'WhatsApp Tracker'!T297</f>
        <v>Not sent</v>
      </c>
      <c r="J300" s="50" t="str">
        <f>'WhatsApp Tracker'!U297</f>
        <v>Unknown</v>
      </c>
      <c r="K300" s="50" t="str">
        <f>'WhatsApp Tracker'!V297</f>
        <v>Unknown</v>
      </c>
      <c r="L300" s="50" t="str">
        <f>'WhatsApp Tracker'!W297</f>
        <v>Not offered</v>
      </c>
      <c r="M300" s="51" t="str">
        <f>'WhatsApp Tracker'!X297</f>
        <v/>
      </c>
      <c r="N300" s="50" t="str">
        <f>'WhatsApp Tracker'!AM297</f>
        <v>Low confidence: verify before sending</v>
      </c>
      <c r="O300" s="50" t="str">
        <f>'WhatsApp Tracker'!AC297</f>
        <v>Imported from extract_garden. Confidence: Low. Parsed from Assam Tea Directory row, verify before sending</v>
      </c>
    </row>
    <row r="301" spans="1:15" x14ac:dyDescent="0.25">
      <c r="A301" s="50">
        <f>'WhatsApp Tracker'!AH298</f>
        <v>9596</v>
      </c>
      <c r="B301" s="50" t="str">
        <f>'WhatsApp Tracker'!AA298</f>
        <v>Do not send</v>
      </c>
      <c r="C301" s="50" t="str">
        <f>'WhatsApp Tracker'!M298</f>
        <v>Hold</v>
      </c>
      <c r="D301" s="50">
        <f>'WhatsApp Tracker'!AN298</f>
        <v>5</v>
      </c>
      <c r="E301" s="50" t="str">
        <f>'WhatsApp Tracker'!AL298</f>
        <v>Parsed directory row</v>
      </c>
      <c r="F301" s="50" t="str">
        <f>'WhatsApp Tracker'!B298</f>
        <v>Imported contact</v>
      </c>
      <c r="G301" s="50">
        <f>'WhatsApp Tracker'!C298</f>
        <v>0</v>
      </c>
      <c r="H301" s="50" t="str">
        <f>'WhatsApp Tracker'!D298</f>
        <v>9435245790</v>
      </c>
      <c r="I301" s="50" t="str">
        <f>'WhatsApp Tracker'!T298</f>
        <v>Not sent</v>
      </c>
      <c r="J301" s="50" t="str">
        <f>'WhatsApp Tracker'!U298</f>
        <v>Unknown</v>
      </c>
      <c r="K301" s="50" t="str">
        <f>'WhatsApp Tracker'!V298</f>
        <v>Unknown</v>
      </c>
      <c r="L301" s="50" t="str">
        <f>'WhatsApp Tracker'!W298</f>
        <v>Not offered</v>
      </c>
      <c r="M301" s="51" t="str">
        <f>'WhatsApp Tracker'!X298</f>
        <v/>
      </c>
      <c r="N301" s="50" t="str">
        <f>'WhatsApp Tracker'!AM298</f>
        <v>Low confidence: verify before sending</v>
      </c>
      <c r="O301" s="50" t="str">
        <f>'WhatsApp Tracker'!AC298</f>
        <v>Imported from extract_garden. Confidence: Low. Parsed from Assam Tea Directory row, verify before sending</v>
      </c>
    </row>
    <row r="302" spans="1:15" x14ac:dyDescent="0.25">
      <c r="A302" s="50">
        <f>'WhatsApp Tracker'!AH299</f>
        <v>9596</v>
      </c>
      <c r="B302" s="50" t="str">
        <f>'WhatsApp Tracker'!AA299</f>
        <v>Do not send</v>
      </c>
      <c r="C302" s="50" t="str">
        <f>'WhatsApp Tracker'!M299</f>
        <v>Hold</v>
      </c>
      <c r="D302" s="50">
        <f>'WhatsApp Tracker'!AN299</f>
        <v>5</v>
      </c>
      <c r="E302" s="50" t="str">
        <f>'WhatsApp Tracker'!AL299</f>
        <v>Parsed directory row</v>
      </c>
      <c r="F302" s="50" t="str">
        <f>'WhatsApp Tracker'!B299</f>
        <v>Imported contact</v>
      </c>
      <c r="G302" s="50">
        <f>'WhatsApp Tracker'!C299</f>
        <v>0</v>
      </c>
      <c r="H302" s="50" t="str">
        <f>'WhatsApp Tracker'!D299</f>
        <v>9435475049</v>
      </c>
      <c r="I302" s="50" t="str">
        <f>'WhatsApp Tracker'!T299</f>
        <v>Not sent</v>
      </c>
      <c r="J302" s="50" t="str">
        <f>'WhatsApp Tracker'!U299</f>
        <v>Unknown</v>
      </c>
      <c r="K302" s="50" t="str">
        <f>'WhatsApp Tracker'!V299</f>
        <v>Unknown</v>
      </c>
      <c r="L302" s="50" t="str">
        <f>'WhatsApp Tracker'!W299</f>
        <v>Not offered</v>
      </c>
      <c r="M302" s="51" t="str">
        <f>'WhatsApp Tracker'!X299</f>
        <v/>
      </c>
      <c r="N302" s="50" t="str">
        <f>'WhatsApp Tracker'!AM299</f>
        <v>Low confidence: verify before sending</v>
      </c>
      <c r="O302" s="50" t="str">
        <f>'WhatsApp Tracker'!AC299</f>
        <v>Imported from extract_garden. Confidence: Low. Parsed from Assam Tea Directory row, verify before sending</v>
      </c>
    </row>
    <row r="303" spans="1:15" x14ac:dyDescent="0.25">
      <c r="A303" s="50">
        <f>'WhatsApp Tracker'!AH300</f>
        <v>9596</v>
      </c>
      <c r="B303" s="50" t="str">
        <f>'WhatsApp Tracker'!AA300</f>
        <v>Do not send</v>
      </c>
      <c r="C303" s="50" t="str">
        <f>'WhatsApp Tracker'!M300</f>
        <v>Hold</v>
      </c>
      <c r="D303" s="50">
        <f>'WhatsApp Tracker'!AN300</f>
        <v>5</v>
      </c>
      <c r="E303" s="50" t="str">
        <f>'WhatsApp Tracker'!AL300</f>
        <v>Parsed directory row</v>
      </c>
      <c r="F303" s="50" t="str">
        <f>'WhatsApp Tracker'!B300</f>
        <v>Imported contact</v>
      </c>
      <c r="G303" s="50">
        <f>'WhatsApp Tracker'!C300</f>
        <v>0</v>
      </c>
      <c r="H303" s="50" t="str">
        <f>'WhatsApp Tracker'!D300</f>
        <v>9435506388</v>
      </c>
      <c r="I303" s="50" t="str">
        <f>'WhatsApp Tracker'!T300</f>
        <v>Not sent</v>
      </c>
      <c r="J303" s="50" t="str">
        <f>'WhatsApp Tracker'!U300</f>
        <v>Unknown</v>
      </c>
      <c r="K303" s="50" t="str">
        <f>'WhatsApp Tracker'!V300</f>
        <v>Unknown</v>
      </c>
      <c r="L303" s="50" t="str">
        <f>'WhatsApp Tracker'!W300</f>
        <v>Not offered</v>
      </c>
      <c r="M303" s="51" t="str">
        <f>'WhatsApp Tracker'!X300</f>
        <v/>
      </c>
      <c r="N303" s="50" t="str">
        <f>'WhatsApp Tracker'!AM300</f>
        <v>Low confidence: verify before sending</v>
      </c>
      <c r="O303" s="50" t="str">
        <f>'WhatsApp Tracker'!AC300</f>
        <v>Imported from extract_garden. Confidence: Low. Parsed from Assam Tea Directory row, verify before sending</v>
      </c>
    </row>
    <row r="304" spans="1:15" x14ac:dyDescent="0.25">
      <c r="A304" s="50">
        <f>'WhatsApp Tracker'!AH301</f>
        <v>9596</v>
      </c>
      <c r="B304" s="50" t="str">
        <f>'WhatsApp Tracker'!AA301</f>
        <v>Do not send</v>
      </c>
      <c r="C304" s="50" t="str">
        <f>'WhatsApp Tracker'!M301</f>
        <v>Hold</v>
      </c>
      <c r="D304" s="50">
        <f>'WhatsApp Tracker'!AN301</f>
        <v>5</v>
      </c>
      <c r="E304" s="50" t="str">
        <f>'WhatsApp Tracker'!AL301</f>
        <v>Parsed directory row</v>
      </c>
      <c r="F304" s="50" t="str">
        <f>'WhatsApp Tracker'!B301</f>
        <v>Imported contact</v>
      </c>
      <c r="G304" s="50">
        <f>'WhatsApp Tracker'!C301</f>
        <v>0</v>
      </c>
      <c r="H304" s="50" t="str">
        <f>'WhatsApp Tracker'!D301</f>
        <v>9435206577</v>
      </c>
      <c r="I304" s="50" t="str">
        <f>'WhatsApp Tracker'!T301</f>
        <v>Not sent</v>
      </c>
      <c r="J304" s="50" t="str">
        <f>'WhatsApp Tracker'!U301</f>
        <v>Unknown</v>
      </c>
      <c r="K304" s="50" t="str">
        <f>'WhatsApp Tracker'!V301</f>
        <v>Unknown</v>
      </c>
      <c r="L304" s="50" t="str">
        <f>'WhatsApp Tracker'!W301</f>
        <v>Not offered</v>
      </c>
      <c r="M304" s="51" t="str">
        <f>'WhatsApp Tracker'!X301</f>
        <v/>
      </c>
      <c r="N304" s="50" t="str">
        <f>'WhatsApp Tracker'!AM301</f>
        <v>Low confidence: verify before sending</v>
      </c>
      <c r="O304" s="50" t="str">
        <f>'WhatsApp Tracker'!AC301</f>
        <v>Imported from extract_garden. Confidence: Low. Parsed from Assam Tea Directory row, verify before sending</v>
      </c>
    </row>
    <row r="305" spans="1:15" x14ac:dyDescent="0.25">
      <c r="A305" s="50">
        <f>'WhatsApp Tracker'!AH302</f>
        <v>9596</v>
      </c>
      <c r="B305" s="50" t="str">
        <f>'WhatsApp Tracker'!AA302</f>
        <v>Do not send</v>
      </c>
      <c r="C305" s="50" t="str">
        <f>'WhatsApp Tracker'!M302</f>
        <v>Hold</v>
      </c>
      <c r="D305" s="50">
        <f>'WhatsApp Tracker'!AN302</f>
        <v>5</v>
      </c>
      <c r="E305" s="50" t="str">
        <f>'WhatsApp Tracker'!AL302</f>
        <v>Parsed directory row</v>
      </c>
      <c r="F305" s="50" t="str">
        <f>'WhatsApp Tracker'!B302</f>
        <v>Imported contact</v>
      </c>
      <c r="G305" s="50">
        <f>'WhatsApp Tracker'!C302</f>
        <v>0</v>
      </c>
      <c r="H305" s="50" t="str">
        <f>'WhatsApp Tracker'!D302</f>
        <v>9435184301</v>
      </c>
      <c r="I305" s="50" t="str">
        <f>'WhatsApp Tracker'!T302</f>
        <v>Not sent</v>
      </c>
      <c r="J305" s="50" t="str">
        <f>'WhatsApp Tracker'!U302</f>
        <v>Unknown</v>
      </c>
      <c r="K305" s="50" t="str">
        <f>'WhatsApp Tracker'!V302</f>
        <v>Unknown</v>
      </c>
      <c r="L305" s="50" t="str">
        <f>'WhatsApp Tracker'!W302</f>
        <v>Not offered</v>
      </c>
      <c r="M305" s="51" t="str">
        <f>'WhatsApp Tracker'!X302</f>
        <v/>
      </c>
      <c r="N305" s="50" t="str">
        <f>'WhatsApp Tracker'!AM302</f>
        <v>Low confidence: verify before sending</v>
      </c>
      <c r="O305" s="50" t="str">
        <f>'WhatsApp Tracker'!AC302</f>
        <v>Imported from extract_garden. Confidence: Low. Parsed from Assam Tea Directory row, verify before sending</v>
      </c>
    </row>
    <row r="306" spans="1:15" x14ac:dyDescent="0.25">
      <c r="A306" s="50">
        <f>'WhatsApp Tracker'!AH303</f>
        <v>9596</v>
      </c>
      <c r="B306" s="50" t="str">
        <f>'WhatsApp Tracker'!AA303</f>
        <v>Do not send</v>
      </c>
      <c r="C306" s="50" t="str">
        <f>'WhatsApp Tracker'!M303</f>
        <v>Hold</v>
      </c>
      <c r="D306" s="50">
        <f>'WhatsApp Tracker'!AN303</f>
        <v>5</v>
      </c>
      <c r="E306" s="50" t="str">
        <f>'WhatsApp Tracker'!AL303</f>
        <v>Parsed directory row</v>
      </c>
      <c r="F306" s="50" t="str">
        <f>'WhatsApp Tracker'!B303</f>
        <v>Imported contact</v>
      </c>
      <c r="G306" s="50">
        <f>'WhatsApp Tracker'!C303</f>
        <v>0</v>
      </c>
      <c r="H306" s="50" t="str">
        <f>'WhatsApp Tracker'!D303</f>
        <v>9435158782</v>
      </c>
      <c r="I306" s="50" t="str">
        <f>'WhatsApp Tracker'!T303</f>
        <v>Not sent</v>
      </c>
      <c r="J306" s="50" t="str">
        <f>'WhatsApp Tracker'!U303</f>
        <v>Unknown</v>
      </c>
      <c r="K306" s="50" t="str">
        <f>'WhatsApp Tracker'!V303</f>
        <v>Unknown</v>
      </c>
      <c r="L306" s="50" t="str">
        <f>'WhatsApp Tracker'!W303</f>
        <v>Not offered</v>
      </c>
      <c r="M306" s="51" t="str">
        <f>'WhatsApp Tracker'!X303</f>
        <v/>
      </c>
      <c r="N306" s="50" t="str">
        <f>'WhatsApp Tracker'!AM303</f>
        <v>Low confidence: verify before sending</v>
      </c>
      <c r="O306" s="50" t="str">
        <f>'WhatsApp Tracker'!AC303</f>
        <v>Imported from extract_garden. Confidence: Low. Parsed from Assam Tea Directory row, verify before sending</v>
      </c>
    </row>
    <row r="307" spans="1:15" x14ac:dyDescent="0.25">
      <c r="A307" s="50">
        <f>'WhatsApp Tracker'!AH304</f>
        <v>9596</v>
      </c>
      <c r="B307" s="50" t="str">
        <f>'WhatsApp Tracker'!AA304</f>
        <v>Do not send</v>
      </c>
      <c r="C307" s="50" t="str">
        <f>'WhatsApp Tracker'!M304</f>
        <v>Hold</v>
      </c>
      <c r="D307" s="50">
        <f>'WhatsApp Tracker'!AN304</f>
        <v>5</v>
      </c>
      <c r="E307" s="50" t="str">
        <f>'WhatsApp Tracker'!AL304</f>
        <v>Parsed directory row</v>
      </c>
      <c r="F307" s="50" t="str">
        <f>'WhatsApp Tracker'!B304</f>
        <v>Imported contact</v>
      </c>
      <c r="G307" s="50">
        <f>'WhatsApp Tracker'!C304</f>
        <v>0</v>
      </c>
      <c r="H307" s="50" t="str">
        <f>'WhatsApp Tracker'!D304</f>
        <v>9954125396</v>
      </c>
      <c r="I307" s="50" t="str">
        <f>'WhatsApp Tracker'!T304</f>
        <v>Not sent</v>
      </c>
      <c r="J307" s="50" t="str">
        <f>'WhatsApp Tracker'!U304</f>
        <v>Unknown</v>
      </c>
      <c r="K307" s="50" t="str">
        <f>'WhatsApp Tracker'!V304</f>
        <v>Unknown</v>
      </c>
      <c r="L307" s="50" t="str">
        <f>'WhatsApp Tracker'!W304</f>
        <v>Not offered</v>
      </c>
      <c r="M307" s="51" t="str">
        <f>'WhatsApp Tracker'!X304</f>
        <v/>
      </c>
      <c r="N307" s="50" t="str">
        <f>'WhatsApp Tracker'!AM304</f>
        <v>Low confidence: verify before sending</v>
      </c>
      <c r="O307" s="50" t="str">
        <f>'WhatsApp Tracker'!AC304</f>
        <v>Imported from extract_garden. Confidence: Low. Parsed from Assam Tea Directory row, verify before sending</v>
      </c>
    </row>
    <row r="308" spans="1:15" x14ac:dyDescent="0.25">
      <c r="A308" s="50">
        <f>'WhatsApp Tracker'!AH305</f>
        <v>9596</v>
      </c>
      <c r="B308" s="50" t="str">
        <f>'WhatsApp Tracker'!AA305</f>
        <v>Do not send</v>
      </c>
      <c r="C308" s="50" t="str">
        <f>'WhatsApp Tracker'!M305</f>
        <v>Hold</v>
      </c>
      <c r="D308" s="50">
        <f>'WhatsApp Tracker'!AN305</f>
        <v>5</v>
      </c>
      <c r="E308" s="50" t="str">
        <f>'WhatsApp Tracker'!AL305</f>
        <v>Parsed directory row</v>
      </c>
      <c r="F308" s="50" t="str">
        <f>'WhatsApp Tracker'!B305</f>
        <v>Imported contact</v>
      </c>
      <c r="G308" s="50">
        <f>'WhatsApp Tracker'!C305</f>
        <v>0</v>
      </c>
      <c r="H308" s="50" t="str">
        <f>'WhatsApp Tracker'!D305</f>
        <v>9859952215</v>
      </c>
      <c r="I308" s="50" t="str">
        <f>'WhatsApp Tracker'!T305</f>
        <v>Not sent</v>
      </c>
      <c r="J308" s="50" t="str">
        <f>'WhatsApp Tracker'!U305</f>
        <v>Unknown</v>
      </c>
      <c r="K308" s="50" t="str">
        <f>'WhatsApp Tracker'!V305</f>
        <v>Unknown</v>
      </c>
      <c r="L308" s="50" t="str">
        <f>'WhatsApp Tracker'!W305</f>
        <v>Not offered</v>
      </c>
      <c r="M308" s="51" t="str">
        <f>'WhatsApp Tracker'!X305</f>
        <v/>
      </c>
      <c r="N308" s="50" t="str">
        <f>'WhatsApp Tracker'!AM305</f>
        <v>Low confidence: verify before sending</v>
      </c>
      <c r="O308" s="50" t="str">
        <f>'WhatsApp Tracker'!AC305</f>
        <v>Imported from extract_garden. Confidence: Low. Parsed from Assam Tea Directory row, verify before sending</v>
      </c>
    </row>
    <row r="309" spans="1:15" x14ac:dyDescent="0.25">
      <c r="A309" s="50">
        <f>'WhatsApp Tracker'!AH306</f>
        <v>9596</v>
      </c>
      <c r="B309" s="50" t="str">
        <f>'WhatsApp Tracker'!AA306</f>
        <v>Do not send</v>
      </c>
      <c r="C309" s="50" t="str">
        <f>'WhatsApp Tracker'!M306</f>
        <v>Hold</v>
      </c>
      <c r="D309" s="50">
        <f>'WhatsApp Tracker'!AN306</f>
        <v>5</v>
      </c>
      <c r="E309" s="50" t="str">
        <f>'WhatsApp Tracker'!AL306</f>
        <v>Parsed directory row</v>
      </c>
      <c r="F309" s="50" t="str">
        <f>'WhatsApp Tracker'!B306</f>
        <v>Imported contact</v>
      </c>
      <c r="G309" s="50">
        <f>'WhatsApp Tracker'!C306</f>
        <v>0</v>
      </c>
      <c r="H309" s="50" t="str">
        <f>'WhatsApp Tracker'!D306</f>
        <v>9435527264</v>
      </c>
      <c r="I309" s="50" t="str">
        <f>'WhatsApp Tracker'!T306</f>
        <v>Not sent</v>
      </c>
      <c r="J309" s="50" t="str">
        <f>'WhatsApp Tracker'!U306</f>
        <v>Unknown</v>
      </c>
      <c r="K309" s="50" t="str">
        <f>'WhatsApp Tracker'!V306</f>
        <v>Unknown</v>
      </c>
      <c r="L309" s="50" t="str">
        <f>'WhatsApp Tracker'!W306</f>
        <v>Not offered</v>
      </c>
      <c r="M309" s="51" t="str">
        <f>'WhatsApp Tracker'!X306</f>
        <v/>
      </c>
      <c r="N309" s="50" t="str">
        <f>'WhatsApp Tracker'!AM306</f>
        <v>Low confidence: verify before sending</v>
      </c>
      <c r="O309" s="50" t="str">
        <f>'WhatsApp Tracker'!AC306</f>
        <v>Imported from extract_garden. Confidence: Low. Parsed from Assam Tea Directory row, verify before sending</v>
      </c>
    </row>
    <row r="310" spans="1:15" x14ac:dyDescent="0.25">
      <c r="A310" s="50">
        <f>'WhatsApp Tracker'!AH307</f>
        <v>9596</v>
      </c>
      <c r="B310" s="50" t="str">
        <f>'WhatsApp Tracker'!AA307</f>
        <v>Do not send</v>
      </c>
      <c r="C310" s="50" t="str">
        <f>'WhatsApp Tracker'!M307</f>
        <v>Hold</v>
      </c>
      <c r="D310" s="50">
        <f>'WhatsApp Tracker'!AN307</f>
        <v>5</v>
      </c>
      <c r="E310" s="50" t="str">
        <f>'WhatsApp Tracker'!AL307</f>
        <v>Parsed directory row</v>
      </c>
      <c r="F310" s="50" t="str">
        <f>'WhatsApp Tracker'!B307</f>
        <v>Imported contact</v>
      </c>
      <c r="G310" s="50">
        <f>'WhatsApp Tracker'!C307</f>
        <v>0</v>
      </c>
      <c r="H310" s="50" t="str">
        <f>'WhatsApp Tracker'!D307</f>
        <v>9435179670</v>
      </c>
      <c r="I310" s="50" t="str">
        <f>'WhatsApp Tracker'!T307</f>
        <v>Not sent</v>
      </c>
      <c r="J310" s="50" t="str">
        <f>'WhatsApp Tracker'!U307</f>
        <v>Unknown</v>
      </c>
      <c r="K310" s="50" t="str">
        <f>'WhatsApp Tracker'!V307</f>
        <v>Unknown</v>
      </c>
      <c r="L310" s="50" t="str">
        <f>'WhatsApp Tracker'!W307</f>
        <v>Not offered</v>
      </c>
      <c r="M310" s="51" t="str">
        <f>'WhatsApp Tracker'!X307</f>
        <v/>
      </c>
      <c r="N310" s="50" t="str">
        <f>'WhatsApp Tracker'!AM307</f>
        <v>Low confidence: verify before sending</v>
      </c>
      <c r="O310" s="50" t="str">
        <f>'WhatsApp Tracker'!AC307</f>
        <v>Imported from extract_garden. Confidence: Low. Parsed from Assam Tea Directory row, verify before sending</v>
      </c>
    </row>
    <row r="311" spans="1:15" x14ac:dyDescent="0.25">
      <c r="A311" s="50">
        <f>'WhatsApp Tracker'!AH308</f>
        <v>9596</v>
      </c>
      <c r="B311" s="50" t="str">
        <f>'WhatsApp Tracker'!AA308</f>
        <v>Do not send</v>
      </c>
      <c r="C311" s="50" t="str">
        <f>'WhatsApp Tracker'!M308</f>
        <v>Hold</v>
      </c>
      <c r="D311" s="50">
        <f>'WhatsApp Tracker'!AN308</f>
        <v>5</v>
      </c>
      <c r="E311" s="50" t="str">
        <f>'WhatsApp Tracker'!AL308</f>
        <v>Parsed directory row</v>
      </c>
      <c r="F311" s="50" t="str">
        <f>'WhatsApp Tracker'!B308</f>
        <v>Imported contact</v>
      </c>
      <c r="G311" s="50">
        <f>'WhatsApp Tracker'!C308</f>
        <v>0</v>
      </c>
      <c r="H311" s="50" t="str">
        <f>'WhatsApp Tracker'!D308</f>
        <v>9401176390</v>
      </c>
      <c r="I311" s="50" t="str">
        <f>'WhatsApp Tracker'!T308</f>
        <v>Not sent</v>
      </c>
      <c r="J311" s="50" t="str">
        <f>'WhatsApp Tracker'!U308</f>
        <v>Unknown</v>
      </c>
      <c r="K311" s="50" t="str">
        <f>'WhatsApp Tracker'!V308</f>
        <v>Unknown</v>
      </c>
      <c r="L311" s="50" t="str">
        <f>'WhatsApp Tracker'!W308</f>
        <v>Not offered</v>
      </c>
      <c r="M311" s="51" t="str">
        <f>'WhatsApp Tracker'!X308</f>
        <v/>
      </c>
      <c r="N311" s="50" t="str">
        <f>'WhatsApp Tracker'!AM308</f>
        <v>Low confidence: verify before sending</v>
      </c>
      <c r="O311" s="50" t="str">
        <f>'WhatsApp Tracker'!AC308</f>
        <v>Imported from extract_garden. Confidence: Low. Parsed from Assam Tea Directory row, verify before sending</v>
      </c>
    </row>
    <row r="312" spans="1:15" x14ac:dyDescent="0.25">
      <c r="A312" s="50">
        <f>'WhatsApp Tracker'!AH309</f>
        <v>9596</v>
      </c>
      <c r="B312" s="50" t="str">
        <f>'WhatsApp Tracker'!AA309</f>
        <v>Do not send</v>
      </c>
      <c r="C312" s="50" t="str">
        <f>'WhatsApp Tracker'!M309</f>
        <v>Hold</v>
      </c>
      <c r="D312" s="50">
        <f>'WhatsApp Tracker'!AN309</f>
        <v>5</v>
      </c>
      <c r="E312" s="50" t="str">
        <f>'WhatsApp Tracker'!AL309</f>
        <v>Parsed directory row</v>
      </c>
      <c r="F312" s="50" t="str">
        <f>'WhatsApp Tracker'!B309</f>
        <v>Imported contact</v>
      </c>
      <c r="G312" s="50">
        <f>'WhatsApp Tracker'!C309</f>
        <v>0</v>
      </c>
      <c r="H312" s="50" t="str">
        <f>'WhatsApp Tracker'!D309</f>
        <v>9435053600</v>
      </c>
      <c r="I312" s="50" t="str">
        <f>'WhatsApp Tracker'!T309</f>
        <v>Not sent</v>
      </c>
      <c r="J312" s="50" t="str">
        <f>'WhatsApp Tracker'!U309</f>
        <v>Unknown</v>
      </c>
      <c r="K312" s="50" t="str">
        <f>'WhatsApp Tracker'!V309</f>
        <v>Unknown</v>
      </c>
      <c r="L312" s="50" t="str">
        <f>'WhatsApp Tracker'!W309</f>
        <v>Not offered</v>
      </c>
      <c r="M312" s="51" t="str">
        <f>'WhatsApp Tracker'!X309</f>
        <v/>
      </c>
      <c r="N312" s="50" t="str">
        <f>'WhatsApp Tracker'!AM309</f>
        <v>Low confidence: verify before sending</v>
      </c>
      <c r="O312" s="50" t="str">
        <f>'WhatsApp Tracker'!AC309</f>
        <v>Imported from extract_garden. Confidence: Low. Parsed from Assam Tea Directory row, verify before sending</v>
      </c>
    </row>
    <row r="313" spans="1:15" x14ac:dyDescent="0.25">
      <c r="A313" s="50">
        <f>'WhatsApp Tracker'!AH310</f>
        <v>9596</v>
      </c>
      <c r="B313" s="50" t="str">
        <f>'WhatsApp Tracker'!AA310</f>
        <v>Do not send</v>
      </c>
      <c r="C313" s="50" t="str">
        <f>'WhatsApp Tracker'!M310</f>
        <v>Hold</v>
      </c>
      <c r="D313" s="50">
        <f>'WhatsApp Tracker'!AN310</f>
        <v>5</v>
      </c>
      <c r="E313" s="50" t="str">
        <f>'WhatsApp Tracker'!AL310</f>
        <v>Parsed directory row</v>
      </c>
      <c r="F313" s="50" t="str">
        <f>'WhatsApp Tracker'!B310</f>
        <v>Imported contact</v>
      </c>
      <c r="G313" s="50">
        <f>'WhatsApp Tracker'!C310</f>
        <v>0</v>
      </c>
      <c r="H313" s="50" t="str">
        <f>'WhatsApp Tracker'!D310</f>
        <v>9957206739</v>
      </c>
      <c r="I313" s="50" t="str">
        <f>'WhatsApp Tracker'!T310</f>
        <v>Not sent</v>
      </c>
      <c r="J313" s="50" t="str">
        <f>'WhatsApp Tracker'!U310</f>
        <v>Unknown</v>
      </c>
      <c r="K313" s="50" t="str">
        <f>'WhatsApp Tracker'!V310</f>
        <v>Unknown</v>
      </c>
      <c r="L313" s="50" t="str">
        <f>'WhatsApp Tracker'!W310</f>
        <v>Not offered</v>
      </c>
      <c r="M313" s="51" t="str">
        <f>'WhatsApp Tracker'!X310</f>
        <v/>
      </c>
      <c r="N313" s="50" t="str">
        <f>'WhatsApp Tracker'!AM310</f>
        <v>Low confidence: verify before sending</v>
      </c>
      <c r="O313" s="50" t="str">
        <f>'WhatsApp Tracker'!AC310</f>
        <v>Imported from extract_garden. Confidence: Low. Parsed from Assam Tea Directory row, verify before sending</v>
      </c>
    </row>
    <row r="314" spans="1:15" x14ac:dyDescent="0.25">
      <c r="A314" s="50">
        <f>'WhatsApp Tracker'!AH311</f>
        <v>9596</v>
      </c>
      <c r="B314" s="50" t="str">
        <f>'WhatsApp Tracker'!AA311</f>
        <v>Do not send</v>
      </c>
      <c r="C314" s="50" t="str">
        <f>'WhatsApp Tracker'!M311</f>
        <v>Hold</v>
      </c>
      <c r="D314" s="50">
        <f>'WhatsApp Tracker'!AN311</f>
        <v>5</v>
      </c>
      <c r="E314" s="50" t="str">
        <f>'WhatsApp Tracker'!AL311</f>
        <v>Parsed directory row</v>
      </c>
      <c r="F314" s="50" t="str">
        <f>'WhatsApp Tracker'!B311</f>
        <v>Imported contact</v>
      </c>
      <c r="G314" s="50">
        <f>'WhatsApp Tracker'!C311</f>
        <v>0</v>
      </c>
      <c r="H314" s="50" t="str">
        <f>'WhatsApp Tracker'!D311</f>
        <v>9903030160</v>
      </c>
      <c r="I314" s="50" t="str">
        <f>'WhatsApp Tracker'!T311</f>
        <v>Not sent</v>
      </c>
      <c r="J314" s="50" t="str">
        <f>'WhatsApp Tracker'!U311</f>
        <v>Unknown</v>
      </c>
      <c r="K314" s="50" t="str">
        <f>'WhatsApp Tracker'!V311</f>
        <v>Unknown</v>
      </c>
      <c r="L314" s="50" t="str">
        <f>'WhatsApp Tracker'!W311</f>
        <v>Not offered</v>
      </c>
      <c r="M314" s="51" t="str">
        <f>'WhatsApp Tracker'!X311</f>
        <v/>
      </c>
      <c r="N314" s="50" t="str">
        <f>'WhatsApp Tracker'!AM311</f>
        <v>Low confidence: verify before sending</v>
      </c>
      <c r="O314" s="50" t="str">
        <f>'WhatsApp Tracker'!AC311</f>
        <v>Imported from extract_garden. Confidence: Low. Parsed from Assam Tea Directory row, verify before sending</v>
      </c>
    </row>
    <row r="315" spans="1:15" x14ac:dyDescent="0.25">
      <c r="A315" s="50">
        <f>'WhatsApp Tracker'!AH312</f>
        <v>9596</v>
      </c>
      <c r="B315" s="50" t="str">
        <f>'WhatsApp Tracker'!AA312</f>
        <v>Do not send</v>
      </c>
      <c r="C315" s="50" t="str">
        <f>'WhatsApp Tracker'!M312</f>
        <v>Hold</v>
      </c>
      <c r="D315" s="50">
        <f>'WhatsApp Tracker'!AN312</f>
        <v>5</v>
      </c>
      <c r="E315" s="50" t="str">
        <f>'WhatsApp Tracker'!AL312</f>
        <v>Parsed directory row</v>
      </c>
      <c r="F315" s="50" t="str">
        <f>'WhatsApp Tracker'!B312</f>
        <v>Imported contact</v>
      </c>
      <c r="G315" s="50">
        <f>'WhatsApp Tracker'!C312</f>
        <v>0</v>
      </c>
      <c r="H315" s="50" t="str">
        <f>'WhatsApp Tracker'!D312</f>
        <v>9435175088</v>
      </c>
      <c r="I315" s="50" t="str">
        <f>'WhatsApp Tracker'!T312</f>
        <v>Not sent</v>
      </c>
      <c r="J315" s="50" t="str">
        <f>'WhatsApp Tracker'!U312</f>
        <v>Unknown</v>
      </c>
      <c r="K315" s="50" t="str">
        <f>'WhatsApp Tracker'!V312</f>
        <v>Unknown</v>
      </c>
      <c r="L315" s="50" t="str">
        <f>'WhatsApp Tracker'!W312</f>
        <v>Not offered</v>
      </c>
      <c r="M315" s="51" t="str">
        <f>'WhatsApp Tracker'!X312</f>
        <v/>
      </c>
      <c r="N315" s="50" t="str">
        <f>'WhatsApp Tracker'!AM312</f>
        <v>Low confidence: verify before sending</v>
      </c>
      <c r="O315" s="50" t="str">
        <f>'WhatsApp Tracker'!AC312</f>
        <v>Imported from extract_garden. Confidence: Low. Parsed from Assam Tea Directory row, verify before sending</v>
      </c>
    </row>
    <row r="316" spans="1:15" x14ac:dyDescent="0.25">
      <c r="A316" s="50">
        <f>'WhatsApp Tracker'!AH313</f>
        <v>9596</v>
      </c>
      <c r="B316" s="50" t="str">
        <f>'WhatsApp Tracker'!AA313</f>
        <v>Do not send</v>
      </c>
      <c r="C316" s="50" t="str">
        <f>'WhatsApp Tracker'!M313</f>
        <v>Hold</v>
      </c>
      <c r="D316" s="50">
        <f>'WhatsApp Tracker'!AN313</f>
        <v>5</v>
      </c>
      <c r="E316" s="50" t="str">
        <f>'WhatsApp Tracker'!AL313</f>
        <v>Parsed directory row</v>
      </c>
      <c r="F316" s="50" t="str">
        <f>'WhatsApp Tracker'!B313</f>
        <v>Imported contact</v>
      </c>
      <c r="G316" s="50">
        <f>'WhatsApp Tracker'!C313</f>
        <v>0</v>
      </c>
      <c r="H316" s="50" t="str">
        <f>'WhatsApp Tracker'!D313</f>
        <v>9831896643</v>
      </c>
      <c r="I316" s="50" t="str">
        <f>'WhatsApp Tracker'!T313</f>
        <v>Not sent</v>
      </c>
      <c r="J316" s="50" t="str">
        <f>'WhatsApp Tracker'!U313</f>
        <v>Unknown</v>
      </c>
      <c r="K316" s="50" t="str">
        <f>'WhatsApp Tracker'!V313</f>
        <v>Unknown</v>
      </c>
      <c r="L316" s="50" t="str">
        <f>'WhatsApp Tracker'!W313</f>
        <v>Not offered</v>
      </c>
      <c r="M316" s="51" t="str">
        <f>'WhatsApp Tracker'!X313</f>
        <v/>
      </c>
      <c r="N316" s="50" t="str">
        <f>'WhatsApp Tracker'!AM313</f>
        <v>Low confidence: verify before sending</v>
      </c>
      <c r="O316" s="50" t="str">
        <f>'WhatsApp Tracker'!AC313</f>
        <v>Imported from extract_garden. Confidence: Low. Parsed from Assam Tea Directory row, verify before sending</v>
      </c>
    </row>
    <row r="317" spans="1:15" x14ac:dyDescent="0.25">
      <c r="A317" s="50">
        <f>'WhatsApp Tracker'!AH314</f>
        <v>9596</v>
      </c>
      <c r="B317" s="50" t="str">
        <f>'WhatsApp Tracker'!AA314</f>
        <v>Do not send</v>
      </c>
      <c r="C317" s="50" t="str">
        <f>'WhatsApp Tracker'!M314</f>
        <v>Hold</v>
      </c>
      <c r="D317" s="50">
        <f>'WhatsApp Tracker'!AN314</f>
        <v>5</v>
      </c>
      <c r="E317" s="50" t="str">
        <f>'WhatsApp Tracker'!AL314</f>
        <v>Parsed directory row</v>
      </c>
      <c r="F317" s="50" t="str">
        <f>'WhatsApp Tracker'!B314</f>
        <v>Imported contact</v>
      </c>
      <c r="G317" s="50">
        <f>'WhatsApp Tracker'!C314</f>
        <v>0</v>
      </c>
      <c r="H317" s="50" t="str">
        <f>'WhatsApp Tracker'!D314</f>
        <v>9435091043</v>
      </c>
      <c r="I317" s="50" t="str">
        <f>'WhatsApp Tracker'!T314</f>
        <v>Not sent</v>
      </c>
      <c r="J317" s="50" t="str">
        <f>'WhatsApp Tracker'!U314</f>
        <v>Unknown</v>
      </c>
      <c r="K317" s="50" t="str">
        <f>'WhatsApp Tracker'!V314</f>
        <v>Unknown</v>
      </c>
      <c r="L317" s="50" t="str">
        <f>'WhatsApp Tracker'!W314</f>
        <v>Not offered</v>
      </c>
      <c r="M317" s="51" t="str">
        <f>'WhatsApp Tracker'!X314</f>
        <v/>
      </c>
      <c r="N317" s="50" t="str">
        <f>'WhatsApp Tracker'!AM314</f>
        <v>Low confidence: verify before sending</v>
      </c>
      <c r="O317" s="50" t="str">
        <f>'WhatsApp Tracker'!AC314</f>
        <v>Imported from extract_garden. Confidence: Low. Parsed from Assam Tea Directory row, verify before sending</v>
      </c>
    </row>
    <row r="318" spans="1:15" x14ac:dyDescent="0.25">
      <c r="A318" s="50">
        <f>'WhatsApp Tracker'!AH315</f>
        <v>9596</v>
      </c>
      <c r="B318" s="50" t="str">
        <f>'WhatsApp Tracker'!AA315</f>
        <v>Do not send</v>
      </c>
      <c r="C318" s="50" t="str">
        <f>'WhatsApp Tracker'!M315</f>
        <v>Hold</v>
      </c>
      <c r="D318" s="50">
        <f>'WhatsApp Tracker'!AN315</f>
        <v>5</v>
      </c>
      <c r="E318" s="50" t="str">
        <f>'WhatsApp Tracker'!AL315</f>
        <v>Parsed directory row</v>
      </c>
      <c r="F318" s="50" t="str">
        <f>'WhatsApp Tracker'!B315</f>
        <v>Imported contact</v>
      </c>
      <c r="G318" s="50">
        <f>'WhatsApp Tracker'!C315</f>
        <v>0</v>
      </c>
      <c r="H318" s="50" t="str">
        <f>'WhatsApp Tracker'!D315</f>
        <v>9401031473</v>
      </c>
      <c r="I318" s="50" t="str">
        <f>'WhatsApp Tracker'!T315</f>
        <v>Not sent</v>
      </c>
      <c r="J318" s="50" t="str">
        <f>'WhatsApp Tracker'!U315</f>
        <v>Unknown</v>
      </c>
      <c r="K318" s="50" t="str">
        <f>'WhatsApp Tracker'!V315</f>
        <v>Unknown</v>
      </c>
      <c r="L318" s="50" t="str">
        <f>'WhatsApp Tracker'!W315</f>
        <v>Not offered</v>
      </c>
      <c r="M318" s="51" t="str">
        <f>'WhatsApp Tracker'!X315</f>
        <v/>
      </c>
      <c r="N318" s="50" t="str">
        <f>'WhatsApp Tracker'!AM315</f>
        <v>Low confidence: verify before sending</v>
      </c>
      <c r="O318" s="50" t="str">
        <f>'WhatsApp Tracker'!AC315</f>
        <v>Imported from extract_garden. Confidence: Low. Parsed from Assam Tea Directory row, verify before sending</v>
      </c>
    </row>
    <row r="319" spans="1:15" x14ac:dyDescent="0.25">
      <c r="A319" s="50">
        <f>'WhatsApp Tracker'!AH316</f>
        <v>9596</v>
      </c>
      <c r="B319" s="50" t="str">
        <f>'WhatsApp Tracker'!AA316</f>
        <v>Do not send</v>
      </c>
      <c r="C319" s="50" t="str">
        <f>'WhatsApp Tracker'!M316</f>
        <v>Hold</v>
      </c>
      <c r="D319" s="50">
        <f>'WhatsApp Tracker'!AN316</f>
        <v>5</v>
      </c>
      <c r="E319" s="50" t="str">
        <f>'WhatsApp Tracker'!AL316</f>
        <v>Parsed directory row</v>
      </c>
      <c r="F319" s="50" t="str">
        <f>'WhatsApp Tracker'!B316</f>
        <v>Imported contact</v>
      </c>
      <c r="G319" s="50">
        <f>'WhatsApp Tracker'!C316</f>
        <v>0</v>
      </c>
      <c r="H319" s="50" t="str">
        <f>'WhatsApp Tracker'!D316</f>
        <v>9435009147</v>
      </c>
      <c r="I319" s="50" t="str">
        <f>'WhatsApp Tracker'!T316</f>
        <v>Not sent</v>
      </c>
      <c r="J319" s="50" t="str">
        <f>'WhatsApp Tracker'!U316</f>
        <v>Unknown</v>
      </c>
      <c r="K319" s="50" t="str">
        <f>'WhatsApp Tracker'!V316</f>
        <v>Unknown</v>
      </c>
      <c r="L319" s="50" t="str">
        <f>'WhatsApp Tracker'!W316</f>
        <v>Not offered</v>
      </c>
      <c r="M319" s="51" t="str">
        <f>'WhatsApp Tracker'!X316</f>
        <v/>
      </c>
      <c r="N319" s="50" t="str">
        <f>'WhatsApp Tracker'!AM316</f>
        <v>Low confidence: verify before sending</v>
      </c>
      <c r="O319" s="50" t="str">
        <f>'WhatsApp Tracker'!AC316</f>
        <v>Imported from extract_garden. Confidence: Low. Parsed from Assam Tea Directory row, verify before sending</v>
      </c>
    </row>
    <row r="320" spans="1:15" x14ac:dyDescent="0.25">
      <c r="A320" s="50">
        <f>'WhatsApp Tracker'!AH317</f>
        <v>9596</v>
      </c>
      <c r="B320" s="50" t="str">
        <f>'WhatsApp Tracker'!AA317</f>
        <v>Do not send</v>
      </c>
      <c r="C320" s="50" t="str">
        <f>'WhatsApp Tracker'!M317</f>
        <v>Hold</v>
      </c>
      <c r="D320" s="50">
        <f>'WhatsApp Tracker'!AN317</f>
        <v>5</v>
      </c>
      <c r="E320" s="50" t="str">
        <f>'WhatsApp Tracker'!AL317</f>
        <v>Parsed directory row</v>
      </c>
      <c r="F320" s="50" t="str">
        <f>'WhatsApp Tracker'!B317</f>
        <v>Imported contact</v>
      </c>
      <c r="G320" s="50">
        <f>'WhatsApp Tracker'!C317</f>
        <v>0</v>
      </c>
      <c r="H320" s="50" t="str">
        <f>'WhatsApp Tracker'!D317</f>
        <v>9957109064</v>
      </c>
      <c r="I320" s="50" t="str">
        <f>'WhatsApp Tracker'!T317</f>
        <v>Not sent</v>
      </c>
      <c r="J320" s="50" t="str">
        <f>'WhatsApp Tracker'!U317</f>
        <v>Unknown</v>
      </c>
      <c r="K320" s="50" t="str">
        <f>'WhatsApp Tracker'!V317</f>
        <v>Unknown</v>
      </c>
      <c r="L320" s="50" t="str">
        <f>'WhatsApp Tracker'!W317</f>
        <v>Not offered</v>
      </c>
      <c r="M320" s="51" t="str">
        <f>'WhatsApp Tracker'!X317</f>
        <v/>
      </c>
      <c r="N320" s="50" t="str">
        <f>'WhatsApp Tracker'!AM317</f>
        <v>Low confidence: verify before sending</v>
      </c>
      <c r="O320" s="50" t="str">
        <f>'WhatsApp Tracker'!AC317</f>
        <v>Imported from extract_garden. Confidence: Low. Parsed from Assam Tea Directory row, verify before sending</v>
      </c>
    </row>
    <row r="321" spans="1:15" x14ac:dyDescent="0.25">
      <c r="A321" s="50">
        <f>'WhatsApp Tracker'!AH318</f>
        <v>9596</v>
      </c>
      <c r="B321" s="50" t="str">
        <f>'WhatsApp Tracker'!AA318</f>
        <v>Do not send</v>
      </c>
      <c r="C321" s="50" t="str">
        <f>'WhatsApp Tracker'!M318</f>
        <v>Hold</v>
      </c>
      <c r="D321" s="50">
        <f>'WhatsApp Tracker'!AN318</f>
        <v>5</v>
      </c>
      <c r="E321" s="50" t="str">
        <f>'WhatsApp Tracker'!AL318</f>
        <v>Parsed directory row</v>
      </c>
      <c r="F321" s="50" t="str">
        <f>'WhatsApp Tracker'!B318</f>
        <v>Imported contact</v>
      </c>
      <c r="G321" s="50">
        <f>'WhatsApp Tracker'!C318</f>
        <v>0</v>
      </c>
      <c r="H321" s="50" t="str">
        <f>'WhatsApp Tracker'!D318</f>
        <v>9435338050</v>
      </c>
      <c r="I321" s="50" t="str">
        <f>'WhatsApp Tracker'!T318</f>
        <v>Not sent</v>
      </c>
      <c r="J321" s="50" t="str">
        <f>'WhatsApp Tracker'!U318</f>
        <v>Unknown</v>
      </c>
      <c r="K321" s="50" t="str">
        <f>'WhatsApp Tracker'!V318</f>
        <v>Unknown</v>
      </c>
      <c r="L321" s="50" t="str">
        <f>'WhatsApp Tracker'!W318</f>
        <v>Not offered</v>
      </c>
      <c r="M321" s="51" t="str">
        <f>'WhatsApp Tracker'!X318</f>
        <v/>
      </c>
      <c r="N321" s="50" t="str">
        <f>'WhatsApp Tracker'!AM318</f>
        <v>Low confidence: verify before sending</v>
      </c>
      <c r="O321" s="50" t="str">
        <f>'WhatsApp Tracker'!AC318</f>
        <v>Imported from extract_garden. Confidence: Low. Parsed from Assam Tea Directory row, verify before sending</v>
      </c>
    </row>
    <row r="322" spans="1:15" x14ac:dyDescent="0.25">
      <c r="A322" s="50">
        <f>'WhatsApp Tracker'!AH319</f>
        <v>9596</v>
      </c>
      <c r="B322" s="50" t="str">
        <f>'WhatsApp Tracker'!AA319</f>
        <v>Do not send</v>
      </c>
      <c r="C322" s="50" t="str">
        <f>'WhatsApp Tracker'!M319</f>
        <v>Hold</v>
      </c>
      <c r="D322" s="50">
        <f>'WhatsApp Tracker'!AN319</f>
        <v>5</v>
      </c>
      <c r="E322" s="50" t="str">
        <f>'WhatsApp Tracker'!AL319</f>
        <v>Parsed directory row</v>
      </c>
      <c r="F322" s="50" t="str">
        <f>'WhatsApp Tracker'!B319</f>
        <v>Imported contact</v>
      </c>
      <c r="G322" s="50">
        <f>'WhatsApp Tracker'!C319</f>
        <v>0</v>
      </c>
      <c r="H322" s="50" t="str">
        <f>'WhatsApp Tracker'!D319</f>
        <v>9954473941</v>
      </c>
      <c r="I322" s="50" t="str">
        <f>'WhatsApp Tracker'!T319</f>
        <v>Not sent</v>
      </c>
      <c r="J322" s="50" t="str">
        <f>'WhatsApp Tracker'!U319</f>
        <v>Unknown</v>
      </c>
      <c r="K322" s="50" t="str">
        <f>'WhatsApp Tracker'!V319</f>
        <v>Unknown</v>
      </c>
      <c r="L322" s="50" t="str">
        <f>'WhatsApp Tracker'!W319</f>
        <v>Not offered</v>
      </c>
      <c r="M322" s="51" t="str">
        <f>'WhatsApp Tracker'!X319</f>
        <v/>
      </c>
      <c r="N322" s="50" t="str">
        <f>'WhatsApp Tracker'!AM319</f>
        <v>Low confidence: verify before sending</v>
      </c>
      <c r="O322" s="50" t="str">
        <f>'WhatsApp Tracker'!AC319</f>
        <v>Imported from extract_garden. Confidence: Low. Parsed from Assam Tea Directory row, verify before sending</v>
      </c>
    </row>
    <row r="323" spans="1:15" x14ac:dyDescent="0.25">
      <c r="A323" s="50">
        <f>'WhatsApp Tracker'!AH320</f>
        <v>9596</v>
      </c>
      <c r="B323" s="50" t="str">
        <f>'WhatsApp Tracker'!AA320</f>
        <v>Do not send</v>
      </c>
      <c r="C323" s="50" t="str">
        <f>'WhatsApp Tracker'!M320</f>
        <v>Hold</v>
      </c>
      <c r="D323" s="50">
        <f>'WhatsApp Tracker'!AN320</f>
        <v>5</v>
      </c>
      <c r="E323" s="50" t="str">
        <f>'WhatsApp Tracker'!AL320</f>
        <v>Parsed directory row</v>
      </c>
      <c r="F323" s="50" t="str">
        <f>'WhatsApp Tracker'!B320</f>
        <v>Imported contact</v>
      </c>
      <c r="G323" s="50">
        <f>'WhatsApp Tracker'!C320</f>
        <v>0</v>
      </c>
      <c r="H323" s="50" t="str">
        <f>'WhatsApp Tracker'!D320</f>
        <v>9435293585</v>
      </c>
      <c r="I323" s="50" t="str">
        <f>'WhatsApp Tracker'!T320</f>
        <v>Not sent</v>
      </c>
      <c r="J323" s="50" t="str">
        <f>'WhatsApp Tracker'!U320</f>
        <v>Unknown</v>
      </c>
      <c r="K323" s="50" t="str">
        <f>'WhatsApp Tracker'!V320</f>
        <v>Unknown</v>
      </c>
      <c r="L323" s="50" t="str">
        <f>'WhatsApp Tracker'!W320</f>
        <v>Not offered</v>
      </c>
      <c r="M323" s="51" t="str">
        <f>'WhatsApp Tracker'!X320</f>
        <v/>
      </c>
      <c r="N323" s="50" t="str">
        <f>'WhatsApp Tracker'!AM320</f>
        <v>Low confidence: verify before sending</v>
      </c>
      <c r="O323" s="50" t="str">
        <f>'WhatsApp Tracker'!AC320</f>
        <v>Imported from extract_garden. Confidence: Low. Parsed from Assam Tea Directory row, verify before sending</v>
      </c>
    </row>
    <row r="324" spans="1:15" x14ac:dyDescent="0.25">
      <c r="A324" s="50">
        <f>'WhatsApp Tracker'!AH321</f>
        <v>9596</v>
      </c>
      <c r="B324" s="50" t="str">
        <f>'WhatsApp Tracker'!AA321</f>
        <v>Do not send</v>
      </c>
      <c r="C324" s="50" t="str">
        <f>'WhatsApp Tracker'!M321</f>
        <v>Hold</v>
      </c>
      <c r="D324" s="50">
        <f>'WhatsApp Tracker'!AN321</f>
        <v>5</v>
      </c>
      <c r="E324" s="50" t="str">
        <f>'WhatsApp Tracker'!AL321</f>
        <v>Parsed directory row</v>
      </c>
      <c r="F324" s="50" t="str">
        <f>'WhatsApp Tracker'!B321</f>
        <v>Imported contact</v>
      </c>
      <c r="G324" s="50">
        <f>'WhatsApp Tracker'!C321</f>
        <v>0</v>
      </c>
      <c r="H324" s="50" t="str">
        <f>'WhatsApp Tracker'!D321</f>
        <v>9831159173</v>
      </c>
      <c r="I324" s="50" t="str">
        <f>'WhatsApp Tracker'!T321</f>
        <v>Not sent</v>
      </c>
      <c r="J324" s="50" t="str">
        <f>'WhatsApp Tracker'!U321</f>
        <v>Unknown</v>
      </c>
      <c r="K324" s="50" t="str">
        <f>'WhatsApp Tracker'!V321</f>
        <v>Unknown</v>
      </c>
      <c r="L324" s="50" t="str">
        <f>'WhatsApp Tracker'!W321</f>
        <v>Not offered</v>
      </c>
      <c r="M324" s="51" t="str">
        <f>'WhatsApp Tracker'!X321</f>
        <v/>
      </c>
      <c r="N324" s="50" t="str">
        <f>'WhatsApp Tracker'!AM321</f>
        <v>Low confidence: verify before sending</v>
      </c>
      <c r="O324" s="50" t="str">
        <f>'WhatsApp Tracker'!AC321</f>
        <v>Imported from extract_garden. Confidence: Low. Parsed from Assam Tea Directory row, verify before sending</v>
      </c>
    </row>
    <row r="325" spans="1:15" x14ac:dyDescent="0.25">
      <c r="A325" s="50">
        <f>'WhatsApp Tracker'!AH322</f>
        <v>9596</v>
      </c>
      <c r="B325" s="50" t="str">
        <f>'WhatsApp Tracker'!AA322</f>
        <v>Do not send</v>
      </c>
      <c r="C325" s="50" t="str">
        <f>'WhatsApp Tracker'!M322</f>
        <v>Hold</v>
      </c>
      <c r="D325" s="50">
        <f>'WhatsApp Tracker'!AN322</f>
        <v>5</v>
      </c>
      <c r="E325" s="50" t="str">
        <f>'WhatsApp Tracker'!AL322</f>
        <v>Parsed directory row</v>
      </c>
      <c r="F325" s="50" t="str">
        <f>'WhatsApp Tracker'!B322</f>
        <v>Imported contact</v>
      </c>
      <c r="G325" s="50">
        <f>'WhatsApp Tracker'!C322</f>
        <v>0</v>
      </c>
      <c r="H325" s="50" t="str">
        <f>'WhatsApp Tracker'!D322</f>
        <v>8011821620</v>
      </c>
      <c r="I325" s="50" t="str">
        <f>'WhatsApp Tracker'!T322</f>
        <v>Not sent</v>
      </c>
      <c r="J325" s="50" t="str">
        <f>'WhatsApp Tracker'!U322</f>
        <v>Unknown</v>
      </c>
      <c r="K325" s="50" t="str">
        <f>'WhatsApp Tracker'!V322</f>
        <v>Unknown</v>
      </c>
      <c r="L325" s="50" t="str">
        <f>'WhatsApp Tracker'!W322</f>
        <v>Not offered</v>
      </c>
      <c r="M325" s="51" t="str">
        <f>'WhatsApp Tracker'!X322</f>
        <v/>
      </c>
      <c r="N325" s="50" t="str">
        <f>'WhatsApp Tracker'!AM322</f>
        <v>Low confidence: verify before sending</v>
      </c>
      <c r="O325" s="50" t="str">
        <f>'WhatsApp Tracker'!AC322</f>
        <v>Imported from extract_garden. Confidence: Low. Parsed from Assam Tea Directory row, verify before sending</v>
      </c>
    </row>
    <row r="326" spans="1:15" x14ac:dyDescent="0.25">
      <c r="A326" s="50">
        <f>'WhatsApp Tracker'!AH323</f>
        <v>9596</v>
      </c>
      <c r="B326" s="50" t="str">
        <f>'WhatsApp Tracker'!AA323</f>
        <v>Do not send</v>
      </c>
      <c r="C326" s="50" t="str">
        <f>'WhatsApp Tracker'!M323</f>
        <v>Hold</v>
      </c>
      <c r="D326" s="50">
        <f>'WhatsApp Tracker'!AN323</f>
        <v>5</v>
      </c>
      <c r="E326" s="50" t="str">
        <f>'WhatsApp Tracker'!AL323</f>
        <v>Parsed directory row</v>
      </c>
      <c r="F326" s="50" t="str">
        <f>'WhatsApp Tracker'!B323</f>
        <v>Imported contact</v>
      </c>
      <c r="G326" s="50">
        <f>'WhatsApp Tracker'!C323</f>
        <v>0</v>
      </c>
      <c r="H326" s="50" t="str">
        <f>'WhatsApp Tracker'!D323</f>
        <v>9613861414</v>
      </c>
      <c r="I326" s="50" t="str">
        <f>'WhatsApp Tracker'!T323</f>
        <v>Not sent</v>
      </c>
      <c r="J326" s="50" t="str">
        <f>'WhatsApp Tracker'!U323</f>
        <v>Unknown</v>
      </c>
      <c r="K326" s="50" t="str">
        <f>'WhatsApp Tracker'!V323</f>
        <v>Unknown</v>
      </c>
      <c r="L326" s="50" t="str">
        <f>'WhatsApp Tracker'!W323</f>
        <v>Not offered</v>
      </c>
      <c r="M326" s="51" t="str">
        <f>'WhatsApp Tracker'!X323</f>
        <v/>
      </c>
      <c r="N326" s="50" t="str">
        <f>'WhatsApp Tracker'!AM323</f>
        <v>Low confidence: verify before sending</v>
      </c>
      <c r="O326" s="50" t="str">
        <f>'WhatsApp Tracker'!AC323</f>
        <v>Imported from extract_garden. Confidence: Low. Parsed from Assam Tea Directory row, verify before sending</v>
      </c>
    </row>
    <row r="327" spans="1:15" x14ac:dyDescent="0.25">
      <c r="A327" s="50">
        <f>'WhatsApp Tracker'!AH324</f>
        <v>9596</v>
      </c>
      <c r="B327" s="50" t="str">
        <f>'WhatsApp Tracker'!AA324</f>
        <v>Do not send</v>
      </c>
      <c r="C327" s="50" t="str">
        <f>'WhatsApp Tracker'!M324</f>
        <v>Hold</v>
      </c>
      <c r="D327" s="50">
        <f>'WhatsApp Tracker'!AN324</f>
        <v>5</v>
      </c>
      <c r="E327" s="50" t="str">
        <f>'WhatsApp Tracker'!AL324</f>
        <v>Parsed directory row</v>
      </c>
      <c r="F327" s="50" t="str">
        <f>'WhatsApp Tracker'!B324</f>
        <v>Imported contact</v>
      </c>
      <c r="G327" s="50">
        <f>'WhatsApp Tracker'!C324</f>
        <v>0</v>
      </c>
      <c r="H327" s="50" t="str">
        <f>'WhatsApp Tracker'!D324</f>
        <v>9435171539</v>
      </c>
      <c r="I327" s="50" t="str">
        <f>'WhatsApp Tracker'!T324</f>
        <v>Not sent</v>
      </c>
      <c r="J327" s="50" t="str">
        <f>'WhatsApp Tracker'!U324</f>
        <v>Unknown</v>
      </c>
      <c r="K327" s="50" t="str">
        <f>'WhatsApp Tracker'!V324</f>
        <v>Unknown</v>
      </c>
      <c r="L327" s="50" t="str">
        <f>'WhatsApp Tracker'!W324</f>
        <v>Not offered</v>
      </c>
      <c r="M327" s="51" t="str">
        <f>'WhatsApp Tracker'!X324</f>
        <v/>
      </c>
      <c r="N327" s="50" t="str">
        <f>'WhatsApp Tracker'!AM324</f>
        <v>Low confidence: verify before sending</v>
      </c>
      <c r="O327" s="50" t="str">
        <f>'WhatsApp Tracker'!AC324</f>
        <v>Imported from extract_garden. Confidence: Low. Parsed from Assam Tea Directory row, verify before sending</v>
      </c>
    </row>
    <row r="328" spans="1:15" x14ac:dyDescent="0.25">
      <c r="A328" s="50">
        <f>'WhatsApp Tracker'!AH325</f>
        <v>9596</v>
      </c>
      <c r="B328" s="50" t="str">
        <f>'WhatsApp Tracker'!AA325</f>
        <v>Do not send</v>
      </c>
      <c r="C328" s="50" t="str">
        <f>'WhatsApp Tracker'!M325</f>
        <v>Hold</v>
      </c>
      <c r="D328" s="50">
        <f>'WhatsApp Tracker'!AN325</f>
        <v>5</v>
      </c>
      <c r="E328" s="50" t="str">
        <f>'WhatsApp Tracker'!AL325</f>
        <v>Parsed directory row</v>
      </c>
      <c r="F328" s="50" t="str">
        <f>'WhatsApp Tracker'!B325</f>
        <v>Imported contact</v>
      </c>
      <c r="G328" s="50">
        <f>'WhatsApp Tracker'!C325</f>
        <v>0</v>
      </c>
      <c r="H328" s="50" t="str">
        <f>'WhatsApp Tracker'!D325</f>
        <v>9830040980</v>
      </c>
      <c r="I328" s="50" t="str">
        <f>'WhatsApp Tracker'!T325</f>
        <v>Not sent</v>
      </c>
      <c r="J328" s="50" t="str">
        <f>'WhatsApp Tracker'!U325</f>
        <v>Unknown</v>
      </c>
      <c r="K328" s="50" t="str">
        <f>'WhatsApp Tracker'!V325</f>
        <v>Unknown</v>
      </c>
      <c r="L328" s="50" t="str">
        <f>'WhatsApp Tracker'!W325</f>
        <v>Not offered</v>
      </c>
      <c r="M328" s="51" t="str">
        <f>'WhatsApp Tracker'!X325</f>
        <v/>
      </c>
      <c r="N328" s="50" t="str">
        <f>'WhatsApp Tracker'!AM325</f>
        <v>Low confidence: verify before sending</v>
      </c>
      <c r="O328" s="50" t="str">
        <f>'WhatsApp Tracker'!AC325</f>
        <v>Imported from extract_garden. Confidence: Low. Parsed from Assam Tea Directory row, verify before sending</v>
      </c>
    </row>
    <row r="329" spans="1:15" x14ac:dyDescent="0.25">
      <c r="A329" s="50">
        <f>'WhatsApp Tracker'!AH326</f>
        <v>9596</v>
      </c>
      <c r="B329" s="50" t="str">
        <f>'WhatsApp Tracker'!AA326</f>
        <v>Do not send</v>
      </c>
      <c r="C329" s="50" t="str">
        <f>'WhatsApp Tracker'!M326</f>
        <v>Hold</v>
      </c>
      <c r="D329" s="50">
        <f>'WhatsApp Tracker'!AN326</f>
        <v>5</v>
      </c>
      <c r="E329" s="50" t="str">
        <f>'WhatsApp Tracker'!AL326</f>
        <v>Parsed directory row</v>
      </c>
      <c r="F329" s="50" t="str">
        <f>'WhatsApp Tracker'!B326</f>
        <v>Imported contact</v>
      </c>
      <c r="G329" s="50">
        <f>'WhatsApp Tracker'!C326</f>
        <v>0</v>
      </c>
      <c r="H329" s="50" t="str">
        <f>'WhatsApp Tracker'!D326</f>
        <v>9436603061</v>
      </c>
      <c r="I329" s="50" t="str">
        <f>'WhatsApp Tracker'!T326</f>
        <v>Not sent</v>
      </c>
      <c r="J329" s="50" t="str">
        <f>'WhatsApp Tracker'!U326</f>
        <v>Unknown</v>
      </c>
      <c r="K329" s="50" t="str">
        <f>'WhatsApp Tracker'!V326</f>
        <v>Unknown</v>
      </c>
      <c r="L329" s="50" t="str">
        <f>'WhatsApp Tracker'!W326</f>
        <v>Not offered</v>
      </c>
      <c r="M329" s="51" t="str">
        <f>'WhatsApp Tracker'!X326</f>
        <v/>
      </c>
      <c r="N329" s="50" t="str">
        <f>'WhatsApp Tracker'!AM326</f>
        <v>Low confidence: verify before sending</v>
      </c>
      <c r="O329" s="50" t="str">
        <f>'WhatsApp Tracker'!AC326</f>
        <v>Imported from extract_garden. Confidence: Low. Parsed from Assam Tea Directory row, verify before sending</v>
      </c>
    </row>
    <row r="330" spans="1:15" x14ac:dyDescent="0.25">
      <c r="A330" s="50">
        <f>'WhatsApp Tracker'!AH327</f>
        <v>9596</v>
      </c>
      <c r="B330" s="50" t="str">
        <f>'WhatsApp Tracker'!AA327</f>
        <v>Do not send</v>
      </c>
      <c r="C330" s="50" t="str">
        <f>'WhatsApp Tracker'!M327</f>
        <v>Hold</v>
      </c>
      <c r="D330" s="50">
        <f>'WhatsApp Tracker'!AN327</f>
        <v>5</v>
      </c>
      <c r="E330" s="50" t="str">
        <f>'WhatsApp Tracker'!AL327</f>
        <v>Parsed directory row</v>
      </c>
      <c r="F330" s="50" t="str">
        <f>'WhatsApp Tracker'!B327</f>
        <v>Imported contact</v>
      </c>
      <c r="G330" s="50">
        <f>'WhatsApp Tracker'!C327</f>
        <v>0</v>
      </c>
      <c r="H330" s="50" t="str">
        <f>'WhatsApp Tracker'!D327</f>
        <v>9436000027</v>
      </c>
      <c r="I330" s="50" t="str">
        <f>'WhatsApp Tracker'!T327</f>
        <v>Not sent</v>
      </c>
      <c r="J330" s="50" t="str">
        <f>'WhatsApp Tracker'!U327</f>
        <v>Unknown</v>
      </c>
      <c r="K330" s="50" t="str">
        <f>'WhatsApp Tracker'!V327</f>
        <v>Unknown</v>
      </c>
      <c r="L330" s="50" t="str">
        <f>'WhatsApp Tracker'!W327</f>
        <v>Not offered</v>
      </c>
      <c r="M330" s="51" t="str">
        <f>'WhatsApp Tracker'!X327</f>
        <v/>
      </c>
      <c r="N330" s="50" t="str">
        <f>'WhatsApp Tracker'!AM327</f>
        <v>Low confidence: verify before sending</v>
      </c>
      <c r="O330" s="50" t="str">
        <f>'WhatsApp Tracker'!AC327</f>
        <v>Imported from extract_garden. Confidence: Low. Parsed from Assam Tea Directory row, verify before sending</v>
      </c>
    </row>
    <row r="331" spans="1:15" x14ac:dyDescent="0.25">
      <c r="A331" s="50">
        <f>'WhatsApp Tracker'!AH328</f>
        <v>9596</v>
      </c>
      <c r="B331" s="50" t="str">
        <f>'WhatsApp Tracker'!AA328</f>
        <v>Do not send</v>
      </c>
      <c r="C331" s="50" t="str">
        <f>'WhatsApp Tracker'!M328</f>
        <v>Hold</v>
      </c>
      <c r="D331" s="50">
        <f>'WhatsApp Tracker'!AN328</f>
        <v>5</v>
      </c>
      <c r="E331" s="50" t="str">
        <f>'WhatsApp Tracker'!AL328</f>
        <v>Parsed directory row</v>
      </c>
      <c r="F331" s="50" t="str">
        <f>'WhatsApp Tracker'!B328</f>
        <v>Imported contact</v>
      </c>
      <c r="G331" s="50">
        <f>'WhatsApp Tracker'!C328</f>
        <v>0</v>
      </c>
      <c r="H331" s="50" t="str">
        <f>'WhatsApp Tracker'!D328</f>
        <v>9435053809</v>
      </c>
      <c r="I331" s="50" t="str">
        <f>'WhatsApp Tracker'!T328</f>
        <v>Not sent</v>
      </c>
      <c r="J331" s="50" t="str">
        <f>'WhatsApp Tracker'!U328</f>
        <v>Unknown</v>
      </c>
      <c r="K331" s="50" t="str">
        <f>'WhatsApp Tracker'!V328</f>
        <v>Unknown</v>
      </c>
      <c r="L331" s="50" t="str">
        <f>'WhatsApp Tracker'!W328</f>
        <v>Not offered</v>
      </c>
      <c r="M331" s="51" t="str">
        <f>'WhatsApp Tracker'!X328</f>
        <v/>
      </c>
      <c r="N331" s="50" t="str">
        <f>'WhatsApp Tracker'!AM328</f>
        <v>Low confidence: verify before sending</v>
      </c>
      <c r="O331" s="50" t="str">
        <f>'WhatsApp Tracker'!AC328</f>
        <v>Imported from extract_garden. Confidence: Low. Parsed from Assam Tea Directory row, verify before sending</v>
      </c>
    </row>
    <row r="332" spans="1:15" x14ac:dyDescent="0.25">
      <c r="A332" s="50">
        <f>'WhatsApp Tracker'!AH329</f>
        <v>9596</v>
      </c>
      <c r="B332" s="50" t="str">
        <f>'WhatsApp Tracker'!AA329</f>
        <v>Do not send</v>
      </c>
      <c r="C332" s="50" t="str">
        <f>'WhatsApp Tracker'!M329</f>
        <v>Hold</v>
      </c>
      <c r="D332" s="50">
        <f>'WhatsApp Tracker'!AN329</f>
        <v>5</v>
      </c>
      <c r="E332" s="50" t="str">
        <f>'WhatsApp Tracker'!AL329</f>
        <v>Parsed directory row</v>
      </c>
      <c r="F332" s="50" t="str">
        <f>'WhatsApp Tracker'!B329</f>
        <v>Imported contact</v>
      </c>
      <c r="G332" s="50">
        <f>'WhatsApp Tracker'!C329</f>
        <v>0</v>
      </c>
      <c r="H332" s="50" t="str">
        <f>'WhatsApp Tracker'!D329</f>
        <v>9435703174</v>
      </c>
      <c r="I332" s="50" t="str">
        <f>'WhatsApp Tracker'!T329</f>
        <v>Not sent</v>
      </c>
      <c r="J332" s="50" t="str">
        <f>'WhatsApp Tracker'!U329</f>
        <v>Unknown</v>
      </c>
      <c r="K332" s="50" t="str">
        <f>'WhatsApp Tracker'!V329</f>
        <v>Unknown</v>
      </c>
      <c r="L332" s="50" t="str">
        <f>'WhatsApp Tracker'!W329</f>
        <v>Not offered</v>
      </c>
      <c r="M332" s="51" t="str">
        <f>'WhatsApp Tracker'!X329</f>
        <v/>
      </c>
      <c r="N332" s="50" t="str">
        <f>'WhatsApp Tracker'!AM329</f>
        <v>Low confidence: verify before sending</v>
      </c>
      <c r="O332" s="50" t="str">
        <f>'WhatsApp Tracker'!AC329</f>
        <v>Imported from extract_garden. Confidence: Low. Parsed from Assam Tea Directory row, verify before sending</v>
      </c>
    </row>
    <row r="333" spans="1:15" x14ac:dyDescent="0.25">
      <c r="A333" s="50">
        <f>'WhatsApp Tracker'!AH330</f>
        <v>9596</v>
      </c>
      <c r="B333" s="50" t="str">
        <f>'WhatsApp Tracker'!AA330</f>
        <v>Do not send</v>
      </c>
      <c r="C333" s="50" t="str">
        <f>'WhatsApp Tracker'!M330</f>
        <v>Hold</v>
      </c>
      <c r="D333" s="50">
        <f>'WhatsApp Tracker'!AN330</f>
        <v>5</v>
      </c>
      <c r="E333" s="50" t="str">
        <f>'WhatsApp Tracker'!AL330</f>
        <v>Parsed directory row</v>
      </c>
      <c r="F333" s="50" t="str">
        <f>'WhatsApp Tracker'!B330</f>
        <v>Imported contact</v>
      </c>
      <c r="G333" s="50">
        <f>'WhatsApp Tracker'!C330</f>
        <v>0</v>
      </c>
      <c r="H333" s="50" t="str">
        <f>'WhatsApp Tracker'!D330</f>
        <v>8011400425</v>
      </c>
      <c r="I333" s="50" t="str">
        <f>'WhatsApp Tracker'!T330</f>
        <v>Not sent</v>
      </c>
      <c r="J333" s="50" t="str">
        <f>'WhatsApp Tracker'!U330</f>
        <v>Unknown</v>
      </c>
      <c r="K333" s="50" t="str">
        <f>'WhatsApp Tracker'!V330</f>
        <v>Unknown</v>
      </c>
      <c r="L333" s="50" t="str">
        <f>'WhatsApp Tracker'!W330</f>
        <v>Not offered</v>
      </c>
      <c r="M333" s="51" t="str">
        <f>'WhatsApp Tracker'!X330</f>
        <v/>
      </c>
      <c r="N333" s="50" t="str">
        <f>'WhatsApp Tracker'!AM330</f>
        <v>Low confidence: verify before sending</v>
      </c>
      <c r="O333" s="50" t="str">
        <f>'WhatsApp Tracker'!AC330</f>
        <v>Imported from extract_garden. Confidence: Low. Parsed from Assam Tea Directory row, verify before sending</v>
      </c>
    </row>
    <row r="334" spans="1:15" x14ac:dyDescent="0.25">
      <c r="A334" s="50">
        <f>'WhatsApp Tracker'!AH331</f>
        <v>9596</v>
      </c>
      <c r="B334" s="50" t="str">
        <f>'WhatsApp Tracker'!AA331</f>
        <v>Do not send</v>
      </c>
      <c r="C334" s="50" t="str">
        <f>'WhatsApp Tracker'!M331</f>
        <v>Hold</v>
      </c>
      <c r="D334" s="50">
        <f>'WhatsApp Tracker'!AN331</f>
        <v>5</v>
      </c>
      <c r="E334" s="50" t="str">
        <f>'WhatsApp Tracker'!AL331</f>
        <v>Parsed directory row</v>
      </c>
      <c r="F334" s="50" t="str">
        <f>'WhatsApp Tracker'!B331</f>
        <v>Imported contact</v>
      </c>
      <c r="G334" s="50">
        <f>'WhatsApp Tracker'!C331</f>
        <v>0</v>
      </c>
      <c r="H334" s="50" t="str">
        <f>'WhatsApp Tracker'!D331</f>
        <v>8822533881</v>
      </c>
      <c r="I334" s="50" t="str">
        <f>'WhatsApp Tracker'!T331</f>
        <v>Not sent</v>
      </c>
      <c r="J334" s="50" t="str">
        <f>'WhatsApp Tracker'!U331</f>
        <v>Unknown</v>
      </c>
      <c r="K334" s="50" t="str">
        <f>'WhatsApp Tracker'!V331</f>
        <v>Unknown</v>
      </c>
      <c r="L334" s="50" t="str">
        <f>'WhatsApp Tracker'!W331</f>
        <v>Not offered</v>
      </c>
      <c r="M334" s="51" t="str">
        <f>'WhatsApp Tracker'!X331</f>
        <v/>
      </c>
      <c r="N334" s="50" t="str">
        <f>'WhatsApp Tracker'!AM331</f>
        <v>Low confidence: verify before sending</v>
      </c>
      <c r="O334" s="50" t="str">
        <f>'WhatsApp Tracker'!AC331</f>
        <v>Imported from extract_garden. Confidence: Low. Parsed from Assam Tea Directory row, verify before sending</v>
      </c>
    </row>
    <row r="335" spans="1:15" x14ac:dyDescent="0.25">
      <c r="A335" s="50">
        <f>'WhatsApp Tracker'!AH332</f>
        <v>9596</v>
      </c>
      <c r="B335" s="50" t="str">
        <f>'WhatsApp Tracker'!AA332</f>
        <v>Do not send</v>
      </c>
      <c r="C335" s="50" t="str">
        <f>'WhatsApp Tracker'!M332</f>
        <v>Hold</v>
      </c>
      <c r="D335" s="50">
        <f>'WhatsApp Tracker'!AN332</f>
        <v>5</v>
      </c>
      <c r="E335" s="50" t="str">
        <f>'WhatsApp Tracker'!AL332</f>
        <v>Parsed directory row</v>
      </c>
      <c r="F335" s="50" t="str">
        <f>'WhatsApp Tracker'!B332</f>
        <v>Imported contact</v>
      </c>
      <c r="G335" s="50">
        <f>'WhatsApp Tracker'!C332</f>
        <v>0</v>
      </c>
      <c r="H335" s="50" t="str">
        <f>'WhatsApp Tracker'!D332</f>
        <v>9957008453</v>
      </c>
      <c r="I335" s="50" t="str">
        <f>'WhatsApp Tracker'!T332</f>
        <v>Not sent</v>
      </c>
      <c r="J335" s="50" t="str">
        <f>'WhatsApp Tracker'!U332</f>
        <v>Unknown</v>
      </c>
      <c r="K335" s="50" t="str">
        <f>'WhatsApp Tracker'!V332</f>
        <v>Unknown</v>
      </c>
      <c r="L335" s="50" t="str">
        <f>'WhatsApp Tracker'!W332</f>
        <v>Not offered</v>
      </c>
      <c r="M335" s="51" t="str">
        <f>'WhatsApp Tracker'!X332</f>
        <v/>
      </c>
      <c r="N335" s="50" t="str">
        <f>'WhatsApp Tracker'!AM332</f>
        <v>Low confidence: verify before sending</v>
      </c>
      <c r="O335" s="50" t="str">
        <f>'WhatsApp Tracker'!AC332</f>
        <v>Imported from extract_garden. Confidence: Low. Parsed from Assam Tea Directory row, verify before sending</v>
      </c>
    </row>
    <row r="336" spans="1:15" x14ac:dyDescent="0.25">
      <c r="A336" s="50">
        <f>'WhatsApp Tracker'!AH333</f>
        <v>9596</v>
      </c>
      <c r="B336" s="50" t="str">
        <f>'WhatsApp Tracker'!AA333</f>
        <v>Do not send</v>
      </c>
      <c r="C336" s="50" t="str">
        <f>'WhatsApp Tracker'!M333</f>
        <v>Hold</v>
      </c>
      <c r="D336" s="50">
        <f>'WhatsApp Tracker'!AN333</f>
        <v>5</v>
      </c>
      <c r="E336" s="50" t="str">
        <f>'WhatsApp Tracker'!AL333</f>
        <v>Parsed directory row</v>
      </c>
      <c r="F336" s="50" t="str">
        <f>'WhatsApp Tracker'!B333</f>
        <v>Imported contact</v>
      </c>
      <c r="G336" s="50">
        <f>'WhatsApp Tracker'!C333</f>
        <v>0</v>
      </c>
      <c r="H336" s="50" t="str">
        <f>'WhatsApp Tracker'!D333</f>
        <v>9831152391</v>
      </c>
      <c r="I336" s="50" t="str">
        <f>'WhatsApp Tracker'!T333</f>
        <v>Not sent</v>
      </c>
      <c r="J336" s="50" t="str">
        <f>'WhatsApp Tracker'!U333</f>
        <v>Unknown</v>
      </c>
      <c r="K336" s="50" t="str">
        <f>'WhatsApp Tracker'!V333</f>
        <v>Unknown</v>
      </c>
      <c r="L336" s="50" t="str">
        <f>'WhatsApp Tracker'!W333</f>
        <v>Not offered</v>
      </c>
      <c r="M336" s="51" t="str">
        <f>'WhatsApp Tracker'!X333</f>
        <v/>
      </c>
      <c r="N336" s="50" t="str">
        <f>'WhatsApp Tracker'!AM333</f>
        <v>Low confidence: verify before sending</v>
      </c>
      <c r="O336" s="50" t="str">
        <f>'WhatsApp Tracker'!AC333</f>
        <v>Imported from extract_garden. Confidence: Low. Parsed from Assam Tea Directory row, verify before sending</v>
      </c>
    </row>
    <row r="337" spans="1:15" x14ac:dyDescent="0.25">
      <c r="A337" s="50">
        <f>'WhatsApp Tracker'!AH334</f>
        <v>9596</v>
      </c>
      <c r="B337" s="50" t="str">
        <f>'WhatsApp Tracker'!AA334</f>
        <v>Do not send</v>
      </c>
      <c r="C337" s="50" t="str">
        <f>'WhatsApp Tracker'!M334</f>
        <v>Hold</v>
      </c>
      <c r="D337" s="50">
        <f>'WhatsApp Tracker'!AN334</f>
        <v>5</v>
      </c>
      <c r="E337" s="50" t="str">
        <f>'WhatsApp Tracker'!AL334</f>
        <v>Parsed directory row</v>
      </c>
      <c r="F337" s="50" t="str">
        <f>'WhatsApp Tracker'!B334</f>
        <v>Imported contact</v>
      </c>
      <c r="G337" s="50">
        <f>'WhatsApp Tracker'!C334</f>
        <v>0</v>
      </c>
      <c r="H337" s="50" t="str">
        <f>'WhatsApp Tracker'!D334</f>
        <v>9435184919</v>
      </c>
      <c r="I337" s="50" t="str">
        <f>'WhatsApp Tracker'!T334</f>
        <v>Not sent</v>
      </c>
      <c r="J337" s="50" t="str">
        <f>'WhatsApp Tracker'!U334</f>
        <v>Unknown</v>
      </c>
      <c r="K337" s="50" t="str">
        <f>'WhatsApp Tracker'!V334</f>
        <v>Unknown</v>
      </c>
      <c r="L337" s="50" t="str">
        <f>'WhatsApp Tracker'!W334</f>
        <v>Not offered</v>
      </c>
      <c r="M337" s="51" t="str">
        <f>'WhatsApp Tracker'!X334</f>
        <v/>
      </c>
      <c r="N337" s="50" t="str">
        <f>'WhatsApp Tracker'!AM334</f>
        <v>Low confidence: verify before sending</v>
      </c>
      <c r="O337" s="50" t="str">
        <f>'WhatsApp Tracker'!AC334</f>
        <v>Imported from extract_garden. Confidence: Low. Parsed from Assam Tea Directory row, verify before sending</v>
      </c>
    </row>
    <row r="338" spans="1:15" x14ac:dyDescent="0.25">
      <c r="A338" s="50">
        <f>'WhatsApp Tracker'!AH335</f>
        <v>9596</v>
      </c>
      <c r="B338" s="50" t="str">
        <f>'WhatsApp Tracker'!AA335</f>
        <v>Do not send</v>
      </c>
      <c r="C338" s="50" t="str">
        <f>'WhatsApp Tracker'!M335</f>
        <v>Hold</v>
      </c>
      <c r="D338" s="50">
        <f>'WhatsApp Tracker'!AN335</f>
        <v>5</v>
      </c>
      <c r="E338" s="50" t="str">
        <f>'WhatsApp Tracker'!AL335</f>
        <v>Parsed directory row</v>
      </c>
      <c r="F338" s="50" t="str">
        <f>'WhatsApp Tracker'!B335</f>
        <v>Imported contact</v>
      </c>
      <c r="G338" s="50">
        <f>'WhatsApp Tracker'!C335</f>
        <v>0</v>
      </c>
      <c r="H338" s="50" t="str">
        <f>'WhatsApp Tracker'!D335</f>
        <v>9435007278</v>
      </c>
      <c r="I338" s="50" t="str">
        <f>'WhatsApp Tracker'!T335</f>
        <v>Not sent</v>
      </c>
      <c r="J338" s="50" t="str">
        <f>'WhatsApp Tracker'!U335</f>
        <v>Unknown</v>
      </c>
      <c r="K338" s="50" t="str">
        <f>'WhatsApp Tracker'!V335</f>
        <v>Unknown</v>
      </c>
      <c r="L338" s="50" t="str">
        <f>'WhatsApp Tracker'!W335</f>
        <v>Not offered</v>
      </c>
      <c r="M338" s="51" t="str">
        <f>'WhatsApp Tracker'!X335</f>
        <v/>
      </c>
      <c r="N338" s="50" t="str">
        <f>'WhatsApp Tracker'!AM335</f>
        <v>Low confidence: verify before sending</v>
      </c>
      <c r="O338" s="50" t="str">
        <f>'WhatsApp Tracker'!AC335</f>
        <v>Imported from extract_garden. Confidence: Low. Parsed from Assam Tea Directory row, verify before sending</v>
      </c>
    </row>
    <row r="339" spans="1:15" x14ac:dyDescent="0.25">
      <c r="A339" s="50">
        <f>'WhatsApp Tracker'!AH336</f>
        <v>9596</v>
      </c>
      <c r="B339" s="50" t="str">
        <f>'WhatsApp Tracker'!AA336</f>
        <v>Do not send</v>
      </c>
      <c r="C339" s="50" t="str">
        <f>'WhatsApp Tracker'!M336</f>
        <v>Hold</v>
      </c>
      <c r="D339" s="50">
        <f>'WhatsApp Tracker'!AN336</f>
        <v>5</v>
      </c>
      <c r="E339" s="50" t="str">
        <f>'WhatsApp Tracker'!AL336</f>
        <v>Parsed directory row</v>
      </c>
      <c r="F339" s="50" t="str">
        <f>'WhatsApp Tracker'!B336</f>
        <v>Imported contact</v>
      </c>
      <c r="G339" s="50">
        <f>'WhatsApp Tracker'!C336</f>
        <v>0</v>
      </c>
      <c r="H339" s="50" t="str">
        <f>'WhatsApp Tracker'!D336</f>
        <v>9435597249</v>
      </c>
      <c r="I339" s="50" t="str">
        <f>'WhatsApp Tracker'!T336</f>
        <v>Not sent</v>
      </c>
      <c r="J339" s="50" t="str">
        <f>'WhatsApp Tracker'!U336</f>
        <v>Unknown</v>
      </c>
      <c r="K339" s="50" t="str">
        <f>'WhatsApp Tracker'!V336</f>
        <v>Unknown</v>
      </c>
      <c r="L339" s="50" t="str">
        <f>'WhatsApp Tracker'!W336</f>
        <v>Not offered</v>
      </c>
      <c r="M339" s="51" t="str">
        <f>'WhatsApp Tracker'!X336</f>
        <v/>
      </c>
      <c r="N339" s="50" t="str">
        <f>'WhatsApp Tracker'!AM336</f>
        <v>Low confidence: verify before sending</v>
      </c>
      <c r="O339" s="50" t="str">
        <f>'WhatsApp Tracker'!AC336</f>
        <v>Imported from extract_garden. Confidence: Low. Parsed from Assam Tea Directory row, verify before sending</v>
      </c>
    </row>
    <row r="340" spans="1:15" x14ac:dyDescent="0.25">
      <c r="A340" s="50">
        <f>'WhatsApp Tracker'!AH337</f>
        <v>9596</v>
      </c>
      <c r="B340" s="50" t="str">
        <f>'WhatsApp Tracker'!AA337</f>
        <v>Do not send</v>
      </c>
      <c r="C340" s="50" t="str">
        <f>'WhatsApp Tracker'!M337</f>
        <v>Hold</v>
      </c>
      <c r="D340" s="50">
        <f>'WhatsApp Tracker'!AN337</f>
        <v>5</v>
      </c>
      <c r="E340" s="50" t="str">
        <f>'WhatsApp Tracker'!AL337</f>
        <v>Parsed directory row</v>
      </c>
      <c r="F340" s="50" t="str">
        <f>'WhatsApp Tracker'!B337</f>
        <v>Imported contact</v>
      </c>
      <c r="G340" s="50">
        <f>'WhatsApp Tracker'!C337</f>
        <v>0</v>
      </c>
      <c r="H340" s="50" t="str">
        <f>'WhatsApp Tracker'!D337</f>
        <v>9435724545</v>
      </c>
      <c r="I340" s="50" t="str">
        <f>'WhatsApp Tracker'!T337</f>
        <v>Not sent</v>
      </c>
      <c r="J340" s="50" t="str">
        <f>'WhatsApp Tracker'!U337</f>
        <v>Unknown</v>
      </c>
      <c r="K340" s="50" t="str">
        <f>'WhatsApp Tracker'!V337</f>
        <v>Unknown</v>
      </c>
      <c r="L340" s="50" t="str">
        <f>'WhatsApp Tracker'!W337</f>
        <v>Not offered</v>
      </c>
      <c r="M340" s="51" t="str">
        <f>'WhatsApp Tracker'!X337</f>
        <v/>
      </c>
      <c r="N340" s="50" t="str">
        <f>'WhatsApp Tracker'!AM337</f>
        <v>Low confidence: verify before sending</v>
      </c>
      <c r="O340" s="50" t="str">
        <f>'WhatsApp Tracker'!AC337</f>
        <v>Imported from extract_garden. Confidence: Low. Parsed from Assam Tea Directory row, verify before sending</v>
      </c>
    </row>
    <row r="341" spans="1:15" x14ac:dyDescent="0.25">
      <c r="A341" s="50">
        <f>'WhatsApp Tracker'!AH338</f>
        <v>9596</v>
      </c>
      <c r="B341" s="50" t="str">
        <f>'WhatsApp Tracker'!AA338</f>
        <v>Do not send</v>
      </c>
      <c r="C341" s="50" t="str">
        <f>'WhatsApp Tracker'!M338</f>
        <v>Hold</v>
      </c>
      <c r="D341" s="50">
        <f>'WhatsApp Tracker'!AN338</f>
        <v>5</v>
      </c>
      <c r="E341" s="50" t="str">
        <f>'WhatsApp Tracker'!AL338</f>
        <v>Parsed directory row</v>
      </c>
      <c r="F341" s="50" t="str">
        <f>'WhatsApp Tracker'!B338</f>
        <v>Imported contact</v>
      </c>
      <c r="G341" s="50">
        <f>'WhatsApp Tracker'!C338</f>
        <v>0</v>
      </c>
      <c r="H341" s="50" t="str">
        <f>'WhatsApp Tracker'!D338</f>
        <v>9435745339</v>
      </c>
      <c r="I341" s="50" t="str">
        <f>'WhatsApp Tracker'!T338</f>
        <v>Not sent</v>
      </c>
      <c r="J341" s="50" t="str">
        <f>'WhatsApp Tracker'!U338</f>
        <v>Unknown</v>
      </c>
      <c r="K341" s="50" t="str">
        <f>'WhatsApp Tracker'!V338</f>
        <v>Unknown</v>
      </c>
      <c r="L341" s="50" t="str">
        <f>'WhatsApp Tracker'!W338</f>
        <v>Not offered</v>
      </c>
      <c r="M341" s="51" t="str">
        <f>'WhatsApp Tracker'!X338</f>
        <v/>
      </c>
      <c r="N341" s="50" t="str">
        <f>'WhatsApp Tracker'!AM338</f>
        <v>Low confidence: verify before sending</v>
      </c>
      <c r="O341" s="50" t="str">
        <f>'WhatsApp Tracker'!AC338</f>
        <v>Imported from extract_garden. Confidence: Low. Parsed from Assam Tea Directory row, verify before sending</v>
      </c>
    </row>
    <row r="342" spans="1:15" x14ac:dyDescent="0.25">
      <c r="A342" s="50">
        <f>'WhatsApp Tracker'!AH339</f>
        <v>9596</v>
      </c>
      <c r="B342" s="50" t="str">
        <f>'WhatsApp Tracker'!AA339</f>
        <v>Do not send</v>
      </c>
      <c r="C342" s="50" t="str">
        <f>'WhatsApp Tracker'!M339</f>
        <v>Hold</v>
      </c>
      <c r="D342" s="50">
        <f>'WhatsApp Tracker'!AN339</f>
        <v>5</v>
      </c>
      <c r="E342" s="50" t="str">
        <f>'WhatsApp Tracker'!AL339</f>
        <v>Parsed directory row</v>
      </c>
      <c r="F342" s="50" t="str">
        <f>'WhatsApp Tracker'!B339</f>
        <v>Imported contact</v>
      </c>
      <c r="G342" s="50">
        <f>'WhatsApp Tracker'!C339</f>
        <v>0</v>
      </c>
      <c r="H342" s="50" t="str">
        <f>'WhatsApp Tracker'!D339</f>
        <v>9435908142</v>
      </c>
      <c r="I342" s="50" t="str">
        <f>'WhatsApp Tracker'!T339</f>
        <v>Not sent</v>
      </c>
      <c r="J342" s="50" t="str">
        <f>'WhatsApp Tracker'!U339</f>
        <v>Unknown</v>
      </c>
      <c r="K342" s="50" t="str">
        <f>'WhatsApp Tracker'!V339</f>
        <v>Unknown</v>
      </c>
      <c r="L342" s="50" t="str">
        <f>'WhatsApp Tracker'!W339</f>
        <v>Not offered</v>
      </c>
      <c r="M342" s="51" t="str">
        <f>'WhatsApp Tracker'!X339</f>
        <v/>
      </c>
      <c r="N342" s="50" t="str">
        <f>'WhatsApp Tracker'!AM339</f>
        <v>Low confidence: verify before sending</v>
      </c>
      <c r="O342" s="50" t="str">
        <f>'WhatsApp Tracker'!AC339</f>
        <v>Imported from extract_garden. Confidence: Low. Parsed from Assam Tea Directory row, verify before sending</v>
      </c>
    </row>
    <row r="343" spans="1:15" x14ac:dyDescent="0.25">
      <c r="A343" s="50">
        <f>'WhatsApp Tracker'!AH340</f>
        <v>9596</v>
      </c>
      <c r="B343" s="50" t="str">
        <f>'WhatsApp Tracker'!AA340</f>
        <v>Do not send</v>
      </c>
      <c r="C343" s="50" t="str">
        <f>'WhatsApp Tracker'!M340</f>
        <v>Hold</v>
      </c>
      <c r="D343" s="50">
        <f>'WhatsApp Tracker'!AN340</f>
        <v>5</v>
      </c>
      <c r="E343" s="50" t="str">
        <f>'WhatsApp Tracker'!AL340</f>
        <v>Parsed directory row</v>
      </c>
      <c r="F343" s="50" t="str">
        <f>'WhatsApp Tracker'!B340</f>
        <v>Imported contact</v>
      </c>
      <c r="G343" s="50">
        <f>'WhatsApp Tracker'!C340</f>
        <v>0</v>
      </c>
      <c r="H343" s="50" t="str">
        <f>'WhatsApp Tracker'!D340</f>
        <v>8011670354</v>
      </c>
      <c r="I343" s="50" t="str">
        <f>'WhatsApp Tracker'!T340</f>
        <v>Not sent</v>
      </c>
      <c r="J343" s="50" t="str">
        <f>'WhatsApp Tracker'!U340</f>
        <v>Unknown</v>
      </c>
      <c r="K343" s="50" t="str">
        <f>'WhatsApp Tracker'!V340</f>
        <v>Unknown</v>
      </c>
      <c r="L343" s="50" t="str">
        <f>'WhatsApp Tracker'!W340</f>
        <v>Not offered</v>
      </c>
      <c r="M343" s="51" t="str">
        <f>'WhatsApp Tracker'!X340</f>
        <v/>
      </c>
      <c r="N343" s="50" t="str">
        <f>'WhatsApp Tracker'!AM340</f>
        <v>Low confidence: verify before sending</v>
      </c>
      <c r="O343" s="50" t="str">
        <f>'WhatsApp Tracker'!AC340</f>
        <v>Imported from extract_garden. Confidence: Low. Parsed from Assam Tea Directory row, verify before sending</v>
      </c>
    </row>
    <row r="344" spans="1:15" x14ac:dyDescent="0.25">
      <c r="A344" s="50">
        <f>'WhatsApp Tracker'!AH341</f>
        <v>9596</v>
      </c>
      <c r="B344" s="50" t="str">
        <f>'WhatsApp Tracker'!AA341</f>
        <v>Do not send</v>
      </c>
      <c r="C344" s="50" t="str">
        <f>'WhatsApp Tracker'!M341</f>
        <v>Hold</v>
      </c>
      <c r="D344" s="50">
        <f>'WhatsApp Tracker'!AN341</f>
        <v>5</v>
      </c>
      <c r="E344" s="50" t="str">
        <f>'WhatsApp Tracker'!AL341</f>
        <v>Parsed directory row</v>
      </c>
      <c r="F344" s="50" t="str">
        <f>'WhatsApp Tracker'!B341</f>
        <v>Imported contact</v>
      </c>
      <c r="G344" s="50">
        <f>'WhatsApp Tracker'!C341</f>
        <v>0</v>
      </c>
      <c r="H344" s="50" t="str">
        <f>'WhatsApp Tracker'!D341</f>
        <v>9435330119</v>
      </c>
      <c r="I344" s="50" t="str">
        <f>'WhatsApp Tracker'!T341</f>
        <v>Not sent</v>
      </c>
      <c r="J344" s="50" t="str">
        <f>'WhatsApp Tracker'!U341</f>
        <v>Unknown</v>
      </c>
      <c r="K344" s="50" t="str">
        <f>'WhatsApp Tracker'!V341</f>
        <v>Unknown</v>
      </c>
      <c r="L344" s="50" t="str">
        <f>'WhatsApp Tracker'!W341</f>
        <v>Not offered</v>
      </c>
      <c r="M344" s="51" t="str">
        <f>'WhatsApp Tracker'!X341</f>
        <v/>
      </c>
      <c r="N344" s="50" t="str">
        <f>'WhatsApp Tracker'!AM341</f>
        <v>Low confidence: verify before sending</v>
      </c>
      <c r="O344" s="50" t="str">
        <f>'WhatsApp Tracker'!AC341</f>
        <v>Imported from extract_garden. Confidence: Low. Parsed from Assam Tea Directory row, verify before sending</v>
      </c>
    </row>
    <row r="345" spans="1:15" x14ac:dyDescent="0.25">
      <c r="A345" s="50">
        <f>'WhatsApp Tracker'!AH342</f>
        <v>9596</v>
      </c>
      <c r="B345" s="50" t="str">
        <f>'WhatsApp Tracker'!AA342</f>
        <v>Do not send</v>
      </c>
      <c r="C345" s="50" t="str">
        <f>'WhatsApp Tracker'!M342</f>
        <v>Hold</v>
      </c>
      <c r="D345" s="50">
        <f>'WhatsApp Tracker'!AN342</f>
        <v>5</v>
      </c>
      <c r="E345" s="50" t="str">
        <f>'WhatsApp Tracker'!AL342</f>
        <v>Parsed directory row</v>
      </c>
      <c r="F345" s="50" t="str">
        <f>'WhatsApp Tracker'!B342</f>
        <v>Imported contact</v>
      </c>
      <c r="G345" s="50">
        <f>'WhatsApp Tracker'!C342</f>
        <v>0</v>
      </c>
      <c r="H345" s="50" t="str">
        <f>'WhatsApp Tracker'!D342</f>
        <v>9435132017</v>
      </c>
      <c r="I345" s="50" t="str">
        <f>'WhatsApp Tracker'!T342</f>
        <v>Not sent</v>
      </c>
      <c r="J345" s="50" t="str">
        <f>'WhatsApp Tracker'!U342</f>
        <v>Unknown</v>
      </c>
      <c r="K345" s="50" t="str">
        <f>'WhatsApp Tracker'!V342</f>
        <v>Unknown</v>
      </c>
      <c r="L345" s="50" t="str">
        <f>'WhatsApp Tracker'!W342</f>
        <v>Not offered</v>
      </c>
      <c r="M345" s="51" t="str">
        <f>'WhatsApp Tracker'!X342</f>
        <v/>
      </c>
      <c r="N345" s="50" t="str">
        <f>'WhatsApp Tracker'!AM342</f>
        <v>Low confidence: verify before sending</v>
      </c>
      <c r="O345" s="50" t="str">
        <f>'WhatsApp Tracker'!AC342</f>
        <v>Imported from extract_garden. Confidence: Low. Parsed from Assam Tea Directory row, verify before sending</v>
      </c>
    </row>
    <row r="346" spans="1:15" x14ac:dyDescent="0.25">
      <c r="A346" s="50">
        <f>'WhatsApp Tracker'!AH343</f>
        <v>9596</v>
      </c>
      <c r="B346" s="50" t="str">
        <f>'WhatsApp Tracker'!AA343</f>
        <v>Do not send</v>
      </c>
      <c r="C346" s="50" t="str">
        <f>'WhatsApp Tracker'!M343</f>
        <v>Hold</v>
      </c>
      <c r="D346" s="50">
        <f>'WhatsApp Tracker'!AN343</f>
        <v>5</v>
      </c>
      <c r="E346" s="50" t="str">
        <f>'WhatsApp Tracker'!AL343</f>
        <v>Parsed directory row</v>
      </c>
      <c r="F346" s="50" t="str">
        <f>'WhatsApp Tracker'!B343</f>
        <v>Imported contact</v>
      </c>
      <c r="G346" s="50">
        <f>'WhatsApp Tracker'!C343</f>
        <v>0</v>
      </c>
      <c r="H346" s="50" t="str">
        <f>'WhatsApp Tracker'!D343</f>
        <v>9435178808</v>
      </c>
      <c r="I346" s="50" t="str">
        <f>'WhatsApp Tracker'!T343</f>
        <v>Not sent</v>
      </c>
      <c r="J346" s="50" t="str">
        <f>'WhatsApp Tracker'!U343</f>
        <v>Unknown</v>
      </c>
      <c r="K346" s="50" t="str">
        <f>'WhatsApp Tracker'!V343</f>
        <v>Unknown</v>
      </c>
      <c r="L346" s="50" t="str">
        <f>'WhatsApp Tracker'!W343</f>
        <v>Not offered</v>
      </c>
      <c r="M346" s="51" t="str">
        <f>'WhatsApp Tracker'!X343</f>
        <v/>
      </c>
      <c r="N346" s="50" t="str">
        <f>'WhatsApp Tracker'!AM343</f>
        <v>Low confidence: verify before sending</v>
      </c>
      <c r="O346" s="50" t="str">
        <f>'WhatsApp Tracker'!AC343</f>
        <v>Imported from extract_garden. Confidence: Low. Parsed from Assam Tea Directory row, verify before sending</v>
      </c>
    </row>
    <row r="347" spans="1:15" x14ac:dyDescent="0.25">
      <c r="A347" s="50">
        <f>'WhatsApp Tracker'!AH344</f>
        <v>9596</v>
      </c>
      <c r="B347" s="50" t="str">
        <f>'WhatsApp Tracker'!AA344</f>
        <v>Do not send</v>
      </c>
      <c r="C347" s="50" t="str">
        <f>'WhatsApp Tracker'!M344</f>
        <v>Hold</v>
      </c>
      <c r="D347" s="50">
        <f>'WhatsApp Tracker'!AN344</f>
        <v>5</v>
      </c>
      <c r="E347" s="50" t="str">
        <f>'WhatsApp Tracker'!AL344</f>
        <v>Parsed directory row</v>
      </c>
      <c r="F347" s="50" t="str">
        <f>'WhatsApp Tracker'!B344</f>
        <v>Imported contact</v>
      </c>
      <c r="G347" s="50">
        <f>'WhatsApp Tracker'!C344</f>
        <v>0</v>
      </c>
      <c r="H347" s="50" t="str">
        <f>'WhatsApp Tracker'!D344</f>
        <v>9435526991</v>
      </c>
      <c r="I347" s="50" t="str">
        <f>'WhatsApp Tracker'!T344</f>
        <v>Not sent</v>
      </c>
      <c r="J347" s="50" t="str">
        <f>'WhatsApp Tracker'!U344</f>
        <v>Unknown</v>
      </c>
      <c r="K347" s="50" t="str">
        <f>'WhatsApp Tracker'!V344</f>
        <v>Unknown</v>
      </c>
      <c r="L347" s="50" t="str">
        <f>'WhatsApp Tracker'!W344</f>
        <v>Not offered</v>
      </c>
      <c r="M347" s="51" t="str">
        <f>'WhatsApp Tracker'!X344</f>
        <v/>
      </c>
      <c r="N347" s="50" t="str">
        <f>'WhatsApp Tracker'!AM344</f>
        <v>Low confidence: verify before sending</v>
      </c>
      <c r="O347" s="50" t="str">
        <f>'WhatsApp Tracker'!AC344</f>
        <v>Imported from extract_garden. Confidence: Low. Parsed from Assam Tea Directory row, verify before sending</v>
      </c>
    </row>
    <row r="348" spans="1:15" x14ac:dyDescent="0.25">
      <c r="A348" s="50">
        <f>'WhatsApp Tracker'!AH345</f>
        <v>9596</v>
      </c>
      <c r="B348" s="50" t="str">
        <f>'WhatsApp Tracker'!AA345</f>
        <v>Do not send</v>
      </c>
      <c r="C348" s="50" t="str">
        <f>'WhatsApp Tracker'!M345</f>
        <v>Hold</v>
      </c>
      <c r="D348" s="50">
        <f>'WhatsApp Tracker'!AN345</f>
        <v>5</v>
      </c>
      <c r="E348" s="50" t="str">
        <f>'WhatsApp Tracker'!AL345</f>
        <v>Parsed directory row</v>
      </c>
      <c r="F348" s="50" t="str">
        <f>'WhatsApp Tracker'!B345</f>
        <v>Imported contact</v>
      </c>
      <c r="G348" s="50">
        <f>'WhatsApp Tracker'!C345</f>
        <v>0</v>
      </c>
      <c r="H348" s="50" t="str">
        <f>'WhatsApp Tracker'!D345</f>
        <v>9401024803</v>
      </c>
      <c r="I348" s="50" t="str">
        <f>'WhatsApp Tracker'!T345</f>
        <v>Not sent</v>
      </c>
      <c r="J348" s="50" t="str">
        <f>'WhatsApp Tracker'!U345</f>
        <v>Unknown</v>
      </c>
      <c r="K348" s="50" t="str">
        <f>'WhatsApp Tracker'!V345</f>
        <v>Unknown</v>
      </c>
      <c r="L348" s="50" t="str">
        <f>'WhatsApp Tracker'!W345</f>
        <v>Not offered</v>
      </c>
      <c r="M348" s="51" t="str">
        <f>'WhatsApp Tracker'!X345</f>
        <v/>
      </c>
      <c r="N348" s="50" t="str">
        <f>'WhatsApp Tracker'!AM345</f>
        <v>Low confidence: verify before sending</v>
      </c>
      <c r="O348" s="50" t="str">
        <f>'WhatsApp Tracker'!AC345</f>
        <v>Imported from extract_garden. Confidence: Low. Parsed from Assam Tea Directory row, verify before sending</v>
      </c>
    </row>
    <row r="349" spans="1:15" x14ac:dyDescent="0.25">
      <c r="A349" s="50">
        <f>'WhatsApp Tracker'!AH346</f>
        <v>9596</v>
      </c>
      <c r="B349" s="50" t="str">
        <f>'WhatsApp Tracker'!AA346</f>
        <v>Do not send</v>
      </c>
      <c r="C349" s="50" t="str">
        <f>'WhatsApp Tracker'!M346</f>
        <v>Hold</v>
      </c>
      <c r="D349" s="50">
        <f>'WhatsApp Tracker'!AN346</f>
        <v>5</v>
      </c>
      <c r="E349" s="50" t="str">
        <f>'WhatsApp Tracker'!AL346</f>
        <v>Parsed directory row</v>
      </c>
      <c r="F349" s="50" t="str">
        <f>'WhatsApp Tracker'!B346</f>
        <v>Imported contact</v>
      </c>
      <c r="G349" s="50">
        <f>'WhatsApp Tracker'!C346</f>
        <v>0</v>
      </c>
      <c r="H349" s="50" t="str">
        <f>'WhatsApp Tracker'!D346</f>
        <v>9859950569</v>
      </c>
      <c r="I349" s="50" t="str">
        <f>'WhatsApp Tracker'!T346</f>
        <v>Not sent</v>
      </c>
      <c r="J349" s="50" t="str">
        <f>'WhatsApp Tracker'!U346</f>
        <v>Unknown</v>
      </c>
      <c r="K349" s="50" t="str">
        <f>'WhatsApp Tracker'!V346</f>
        <v>Unknown</v>
      </c>
      <c r="L349" s="50" t="str">
        <f>'WhatsApp Tracker'!W346</f>
        <v>Not offered</v>
      </c>
      <c r="M349" s="51" t="str">
        <f>'WhatsApp Tracker'!X346</f>
        <v/>
      </c>
      <c r="N349" s="50" t="str">
        <f>'WhatsApp Tracker'!AM346</f>
        <v>Low confidence: verify before sending</v>
      </c>
      <c r="O349" s="50" t="str">
        <f>'WhatsApp Tracker'!AC346</f>
        <v>Imported from extract_garden. Confidence: Low. Parsed from Assam Tea Directory row, verify before sending</v>
      </c>
    </row>
    <row r="350" spans="1:15" x14ac:dyDescent="0.25">
      <c r="A350" s="50">
        <f>'WhatsApp Tracker'!AH347</f>
        <v>9596</v>
      </c>
      <c r="B350" s="50" t="str">
        <f>'WhatsApp Tracker'!AA347</f>
        <v>Do not send</v>
      </c>
      <c r="C350" s="50" t="str">
        <f>'WhatsApp Tracker'!M347</f>
        <v>Hold</v>
      </c>
      <c r="D350" s="50">
        <f>'WhatsApp Tracker'!AN347</f>
        <v>5</v>
      </c>
      <c r="E350" s="50" t="str">
        <f>'WhatsApp Tracker'!AL347</f>
        <v>Parsed directory row</v>
      </c>
      <c r="F350" s="50" t="str">
        <f>'WhatsApp Tracker'!B347</f>
        <v>Imported contact</v>
      </c>
      <c r="G350" s="50">
        <f>'WhatsApp Tracker'!C347</f>
        <v>0</v>
      </c>
      <c r="H350" s="50" t="str">
        <f>'WhatsApp Tracker'!D347</f>
        <v>9954050017</v>
      </c>
      <c r="I350" s="50" t="str">
        <f>'WhatsApp Tracker'!T347</f>
        <v>Not sent</v>
      </c>
      <c r="J350" s="50" t="str">
        <f>'WhatsApp Tracker'!U347</f>
        <v>Unknown</v>
      </c>
      <c r="K350" s="50" t="str">
        <f>'WhatsApp Tracker'!V347</f>
        <v>Unknown</v>
      </c>
      <c r="L350" s="50" t="str">
        <f>'WhatsApp Tracker'!W347</f>
        <v>Not offered</v>
      </c>
      <c r="M350" s="51" t="str">
        <f>'WhatsApp Tracker'!X347</f>
        <v/>
      </c>
      <c r="N350" s="50" t="str">
        <f>'WhatsApp Tracker'!AM347</f>
        <v>Low confidence: verify before sending</v>
      </c>
      <c r="O350" s="50" t="str">
        <f>'WhatsApp Tracker'!AC347</f>
        <v>Imported from extract_garden. Confidence: Low. Parsed from Assam Tea Directory row, verify before sending</v>
      </c>
    </row>
    <row r="351" spans="1:15" x14ac:dyDescent="0.25">
      <c r="A351" s="50">
        <f>'WhatsApp Tracker'!AH348</f>
        <v>9596</v>
      </c>
      <c r="B351" s="50" t="str">
        <f>'WhatsApp Tracker'!AA348</f>
        <v>Do not send</v>
      </c>
      <c r="C351" s="50" t="str">
        <f>'WhatsApp Tracker'!M348</f>
        <v>Hold</v>
      </c>
      <c r="D351" s="50">
        <f>'WhatsApp Tracker'!AN348</f>
        <v>5</v>
      </c>
      <c r="E351" s="50" t="str">
        <f>'WhatsApp Tracker'!AL348</f>
        <v>Parsed directory row</v>
      </c>
      <c r="F351" s="50" t="str">
        <f>'WhatsApp Tracker'!B348</f>
        <v>Imported contact</v>
      </c>
      <c r="G351" s="50">
        <f>'WhatsApp Tracker'!C348</f>
        <v>0</v>
      </c>
      <c r="H351" s="50" t="str">
        <f>'WhatsApp Tracker'!D348</f>
        <v>9954544790</v>
      </c>
      <c r="I351" s="50" t="str">
        <f>'WhatsApp Tracker'!T348</f>
        <v>Not sent</v>
      </c>
      <c r="J351" s="50" t="str">
        <f>'WhatsApp Tracker'!U348</f>
        <v>Unknown</v>
      </c>
      <c r="K351" s="50" t="str">
        <f>'WhatsApp Tracker'!V348</f>
        <v>Unknown</v>
      </c>
      <c r="L351" s="50" t="str">
        <f>'WhatsApp Tracker'!W348</f>
        <v>Not offered</v>
      </c>
      <c r="M351" s="51" t="str">
        <f>'WhatsApp Tracker'!X348</f>
        <v/>
      </c>
      <c r="N351" s="50" t="str">
        <f>'WhatsApp Tracker'!AM348</f>
        <v>Low confidence: verify before sending</v>
      </c>
      <c r="O351" s="50" t="str">
        <f>'WhatsApp Tracker'!AC348</f>
        <v>Imported from extract_garden. Confidence: Low. Parsed from Assam Tea Directory row, verify before sending</v>
      </c>
    </row>
    <row r="352" spans="1:15" x14ac:dyDescent="0.25">
      <c r="A352" s="50">
        <f>'WhatsApp Tracker'!AH349</f>
        <v>9596</v>
      </c>
      <c r="B352" s="50" t="str">
        <f>'WhatsApp Tracker'!AA349</f>
        <v>Do not send</v>
      </c>
      <c r="C352" s="50" t="str">
        <f>'WhatsApp Tracker'!M349</f>
        <v>Hold</v>
      </c>
      <c r="D352" s="50">
        <f>'WhatsApp Tracker'!AN349</f>
        <v>5</v>
      </c>
      <c r="E352" s="50" t="str">
        <f>'WhatsApp Tracker'!AL349</f>
        <v>Parsed directory row</v>
      </c>
      <c r="F352" s="50" t="str">
        <f>'WhatsApp Tracker'!B349</f>
        <v>Imported contact</v>
      </c>
      <c r="G352" s="50">
        <f>'WhatsApp Tracker'!C349</f>
        <v>0</v>
      </c>
      <c r="H352" s="50" t="str">
        <f>'WhatsApp Tracker'!D349</f>
        <v>9864225952</v>
      </c>
      <c r="I352" s="50" t="str">
        <f>'WhatsApp Tracker'!T349</f>
        <v>Not sent</v>
      </c>
      <c r="J352" s="50" t="str">
        <f>'WhatsApp Tracker'!U349</f>
        <v>Unknown</v>
      </c>
      <c r="K352" s="50" t="str">
        <f>'WhatsApp Tracker'!V349</f>
        <v>Unknown</v>
      </c>
      <c r="L352" s="50" t="str">
        <f>'WhatsApp Tracker'!W349</f>
        <v>Not offered</v>
      </c>
      <c r="M352" s="51" t="str">
        <f>'WhatsApp Tracker'!X349</f>
        <v/>
      </c>
      <c r="N352" s="50" t="str">
        <f>'WhatsApp Tracker'!AM349</f>
        <v>Low confidence: verify before sending</v>
      </c>
      <c r="O352" s="50" t="str">
        <f>'WhatsApp Tracker'!AC349</f>
        <v>Imported from extract_garden. Confidence: Low. Parsed from Assam Tea Directory row, verify before sending</v>
      </c>
    </row>
    <row r="353" spans="1:15" x14ac:dyDescent="0.25">
      <c r="A353" s="50">
        <f>'WhatsApp Tracker'!AH350</f>
        <v>9596</v>
      </c>
      <c r="B353" s="50" t="str">
        <f>'WhatsApp Tracker'!AA350</f>
        <v>Do not send</v>
      </c>
      <c r="C353" s="50" t="str">
        <f>'WhatsApp Tracker'!M350</f>
        <v>Hold</v>
      </c>
      <c r="D353" s="50">
        <f>'WhatsApp Tracker'!AN350</f>
        <v>5</v>
      </c>
      <c r="E353" s="50" t="str">
        <f>'WhatsApp Tracker'!AL350</f>
        <v>Parsed directory row</v>
      </c>
      <c r="F353" s="50" t="str">
        <f>'WhatsApp Tracker'!B350</f>
        <v>Imported contact</v>
      </c>
      <c r="G353" s="50">
        <f>'WhatsApp Tracker'!C350</f>
        <v>0</v>
      </c>
      <c r="H353" s="50" t="str">
        <f>'WhatsApp Tracker'!D350</f>
        <v>9613850269</v>
      </c>
      <c r="I353" s="50" t="str">
        <f>'WhatsApp Tracker'!T350</f>
        <v>Not sent</v>
      </c>
      <c r="J353" s="50" t="str">
        <f>'WhatsApp Tracker'!U350</f>
        <v>Unknown</v>
      </c>
      <c r="K353" s="50" t="str">
        <f>'WhatsApp Tracker'!V350</f>
        <v>Unknown</v>
      </c>
      <c r="L353" s="50" t="str">
        <f>'WhatsApp Tracker'!W350</f>
        <v>Not offered</v>
      </c>
      <c r="M353" s="51" t="str">
        <f>'WhatsApp Tracker'!X350</f>
        <v/>
      </c>
      <c r="N353" s="50" t="str">
        <f>'WhatsApp Tracker'!AM350</f>
        <v>Low confidence: verify before sending</v>
      </c>
      <c r="O353" s="50" t="str">
        <f>'WhatsApp Tracker'!AC350</f>
        <v>Imported from extract_garden. Confidence: Low. Parsed from Assam Tea Directory row, verify before sending</v>
      </c>
    </row>
    <row r="354" spans="1:15" x14ac:dyDescent="0.25">
      <c r="A354" s="50">
        <f>'WhatsApp Tracker'!AH351</f>
        <v>9596</v>
      </c>
      <c r="B354" s="50" t="str">
        <f>'WhatsApp Tracker'!AA351</f>
        <v>Do not send</v>
      </c>
      <c r="C354" s="50" t="str">
        <f>'WhatsApp Tracker'!M351</f>
        <v>Hold</v>
      </c>
      <c r="D354" s="50">
        <f>'WhatsApp Tracker'!AN351</f>
        <v>5</v>
      </c>
      <c r="E354" s="50" t="str">
        <f>'WhatsApp Tracker'!AL351</f>
        <v>Parsed directory row</v>
      </c>
      <c r="F354" s="50" t="str">
        <f>'WhatsApp Tracker'!B351</f>
        <v>Imported contact</v>
      </c>
      <c r="G354" s="50">
        <f>'WhatsApp Tracker'!C351</f>
        <v>0</v>
      </c>
      <c r="H354" s="50" t="str">
        <f>'WhatsApp Tracker'!D351</f>
        <v>9957766947</v>
      </c>
      <c r="I354" s="50" t="str">
        <f>'WhatsApp Tracker'!T351</f>
        <v>Not sent</v>
      </c>
      <c r="J354" s="50" t="str">
        <f>'WhatsApp Tracker'!U351</f>
        <v>Unknown</v>
      </c>
      <c r="K354" s="50" t="str">
        <f>'WhatsApp Tracker'!V351</f>
        <v>Unknown</v>
      </c>
      <c r="L354" s="50" t="str">
        <f>'WhatsApp Tracker'!W351</f>
        <v>Not offered</v>
      </c>
      <c r="M354" s="51" t="str">
        <f>'WhatsApp Tracker'!X351</f>
        <v/>
      </c>
      <c r="N354" s="50" t="str">
        <f>'WhatsApp Tracker'!AM351</f>
        <v>Low confidence: verify before sending</v>
      </c>
      <c r="O354" s="50" t="str">
        <f>'WhatsApp Tracker'!AC351</f>
        <v>Imported from extract_garden. Confidence: Low. Parsed from Assam Tea Directory row, verify before sending</v>
      </c>
    </row>
    <row r="355" spans="1:15" x14ac:dyDescent="0.25">
      <c r="A355" s="50">
        <f>'WhatsApp Tracker'!AH352</f>
        <v>9596</v>
      </c>
      <c r="B355" s="50" t="str">
        <f>'WhatsApp Tracker'!AA352</f>
        <v>Do not send</v>
      </c>
      <c r="C355" s="50" t="str">
        <f>'WhatsApp Tracker'!M352</f>
        <v>Hold</v>
      </c>
      <c r="D355" s="50">
        <f>'WhatsApp Tracker'!AN352</f>
        <v>5</v>
      </c>
      <c r="E355" s="50" t="str">
        <f>'WhatsApp Tracker'!AL352</f>
        <v>Parsed directory row</v>
      </c>
      <c r="F355" s="50" t="str">
        <f>'WhatsApp Tracker'!B352</f>
        <v>Imported contact</v>
      </c>
      <c r="G355" s="50">
        <f>'WhatsApp Tracker'!C352</f>
        <v>0</v>
      </c>
      <c r="H355" s="50" t="str">
        <f>'WhatsApp Tracker'!D352</f>
        <v>9435292315</v>
      </c>
      <c r="I355" s="50" t="str">
        <f>'WhatsApp Tracker'!T352</f>
        <v>Not sent</v>
      </c>
      <c r="J355" s="50" t="str">
        <f>'WhatsApp Tracker'!U352</f>
        <v>Unknown</v>
      </c>
      <c r="K355" s="50" t="str">
        <f>'WhatsApp Tracker'!V352</f>
        <v>Unknown</v>
      </c>
      <c r="L355" s="50" t="str">
        <f>'WhatsApp Tracker'!W352</f>
        <v>Not offered</v>
      </c>
      <c r="M355" s="51" t="str">
        <f>'WhatsApp Tracker'!X352</f>
        <v/>
      </c>
      <c r="N355" s="50" t="str">
        <f>'WhatsApp Tracker'!AM352</f>
        <v>Low confidence: verify before sending</v>
      </c>
      <c r="O355" s="50" t="str">
        <f>'WhatsApp Tracker'!AC352</f>
        <v>Imported from extract_garden. Confidence: Low. Parsed from Assam Tea Directory row, verify before sending</v>
      </c>
    </row>
    <row r="356" spans="1:15" x14ac:dyDescent="0.25">
      <c r="A356" s="50">
        <f>'WhatsApp Tracker'!AH353</f>
        <v>9596</v>
      </c>
      <c r="B356" s="50" t="str">
        <f>'WhatsApp Tracker'!AA353</f>
        <v>Do not send</v>
      </c>
      <c r="C356" s="50" t="str">
        <f>'WhatsApp Tracker'!M353</f>
        <v>Hold</v>
      </c>
      <c r="D356" s="50">
        <f>'WhatsApp Tracker'!AN353</f>
        <v>5</v>
      </c>
      <c r="E356" s="50" t="str">
        <f>'WhatsApp Tracker'!AL353</f>
        <v>Parsed directory row</v>
      </c>
      <c r="F356" s="50" t="str">
        <f>'WhatsApp Tracker'!B353</f>
        <v>Imported contact</v>
      </c>
      <c r="G356" s="50">
        <f>'WhatsApp Tracker'!C353</f>
        <v>0</v>
      </c>
      <c r="H356" s="50" t="str">
        <f>'WhatsApp Tracker'!D353</f>
        <v>9957060774</v>
      </c>
      <c r="I356" s="50" t="str">
        <f>'WhatsApp Tracker'!T353</f>
        <v>Not sent</v>
      </c>
      <c r="J356" s="50" t="str">
        <f>'WhatsApp Tracker'!U353</f>
        <v>Unknown</v>
      </c>
      <c r="K356" s="50" t="str">
        <f>'WhatsApp Tracker'!V353</f>
        <v>Unknown</v>
      </c>
      <c r="L356" s="50" t="str">
        <f>'WhatsApp Tracker'!W353</f>
        <v>Not offered</v>
      </c>
      <c r="M356" s="51" t="str">
        <f>'WhatsApp Tracker'!X353</f>
        <v/>
      </c>
      <c r="N356" s="50" t="str">
        <f>'WhatsApp Tracker'!AM353</f>
        <v>Low confidence: verify before sending</v>
      </c>
      <c r="O356" s="50" t="str">
        <f>'WhatsApp Tracker'!AC353</f>
        <v>Imported from extract_garden. Confidence: Low. Parsed from Assam Tea Directory row, verify before sending</v>
      </c>
    </row>
    <row r="357" spans="1:15" x14ac:dyDescent="0.25">
      <c r="A357" s="50">
        <f>'WhatsApp Tracker'!AH354</f>
        <v>9596</v>
      </c>
      <c r="B357" s="50" t="str">
        <f>'WhatsApp Tracker'!AA354</f>
        <v>Do not send</v>
      </c>
      <c r="C357" s="50" t="str">
        <f>'WhatsApp Tracker'!M354</f>
        <v>Hold</v>
      </c>
      <c r="D357" s="50">
        <f>'WhatsApp Tracker'!AN354</f>
        <v>5</v>
      </c>
      <c r="E357" s="50" t="str">
        <f>'WhatsApp Tracker'!AL354</f>
        <v>Parsed directory row</v>
      </c>
      <c r="F357" s="50" t="str">
        <f>'WhatsApp Tracker'!B354</f>
        <v>Imported contact</v>
      </c>
      <c r="G357" s="50">
        <f>'WhatsApp Tracker'!C354</f>
        <v>0</v>
      </c>
      <c r="H357" s="50" t="str">
        <f>'WhatsApp Tracker'!D354</f>
        <v>9435293626</v>
      </c>
      <c r="I357" s="50" t="str">
        <f>'WhatsApp Tracker'!T354</f>
        <v>Not sent</v>
      </c>
      <c r="J357" s="50" t="str">
        <f>'WhatsApp Tracker'!U354</f>
        <v>Unknown</v>
      </c>
      <c r="K357" s="50" t="str">
        <f>'WhatsApp Tracker'!V354</f>
        <v>Unknown</v>
      </c>
      <c r="L357" s="50" t="str">
        <f>'WhatsApp Tracker'!W354</f>
        <v>Not offered</v>
      </c>
      <c r="M357" s="51" t="str">
        <f>'WhatsApp Tracker'!X354</f>
        <v/>
      </c>
      <c r="N357" s="50" t="str">
        <f>'WhatsApp Tracker'!AM354</f>
        <v>Low confidence: verify before sending</v>
      </c>
      <c r="O357" s="50" t="str">
        <f>'WhatsApp Tracker'!AC354</f>
        <v>Imported from extract_garden. Confidence: Low. Parsed from Assam Tea Directory row, verify before sending</v>
      </c>
    </row>
    <row r="358" spans="1:15" x14ac:dyDescent="0.25">
      <c r="A358" s="50">
        <f>'WhatsApp Tracker'!AH355</f>
        <v>9596</v>
      </c>
      <c r="B358" s="50" t="str">
        <f>'WhatsApp Tracker'!AA355</f>
        <v>Do not send</v>
      </c>
      <c r="C358" s="50" t="str">
        <f>'WhatsApp Tracker'!M355</f>
        <v>Hold</v>
      </c>
      <c r="D358" s="50">
        <f>'WhatsApp Tracker'!AN355</f>
        <v>5</v>
      </c>
      <c r="E358" s="50" t="str">
        <f>'WhatsApp Tracker'!AL355</f>
        <v>Parsed directory row</v>
      </c>
      <c r="F358" s="50" t="str">
        <f>'WhatsApp Tracker'!B355</f>
        <v>Imported contact</v>
      </c>
      <c r="G358" s="50">
        <f>'WhatsApp Tracker'!C355</f>
        <v>0</v>
      </c>
      <c r="H358" s="50" t="str">
        <f>'WhatsApp Tracker'!D355</f>
        <v>9435030732</v>
      </c>
      <c r="I358" s="50" t="str">
        <f>'WhatsApp Tracker'!T355</f>
        <v>Not sent</v>
      </c>
      <c r="J358" s="50" t="str">
        <f>'WhatsApp Tracker'!U355</f>
        <v>Unknown</v>
      </c>
      <c r="K358" s="50" t="str">
        <f>'WhatsApp Tracker'!V355</f>
        <v>Unknown</v>
      </c>
      <c r="L358" s="50" t="str">
        <f>'WhatsApp Tracker'!W355</f>
        <v>Not offered</v>
      </c>
      <c r="M358" s="51" t="str">
        <f>'WhatsApp Tracker'!X355</f>
        <v/>
      </c>
      <c r="N358" s="50" t="str">
        <f>'WhatsApp Tracker'!AM355</f>
        <v>Low confidence: verify before sending</v>
      </c>
      <c r="O358" s="50" t="str">
        <f>'WhatsApp Tracker'!AC355</f>
        <v>Imported from extract_garden. Confidence: Low. Parsed from Assam Tea Directory row, verify before sending</v>
      </c>
    </row>
    <row r="359" spans="1:15" x14ac:dyDescent="0.25">
      <c r="A359" s="50">
        <f>'WhatsApp Tracker'!AH356</f>
        <v>9596</v>
      </c>
      <c r="B359" s="50" t="str">
        <f>'WhatsApp Tracker'!AA356</f>
        <v>Do not send</v>
      </c>
      <c r="C359" s="50" t="str">
        <f>'WhatsApp Tracker'!M356</f>
        <v>Hold</v>
      </c>
      <c r="D359" s="50">
        <f>'WhatsApp Tracker'!AN356</f>
        <v>5</v>
      </c>
      <c r="E359" s="50" t="str">
        <f>'WhatsApp Tracker'!AL356</f>
        <v>Parsed directory row</v>
      </c>
      <c r="F359" s="50" t="str">
        <f>'WhatsApp Tracker'!B356</f>
        <v>Imported contact</v>
      </c>
      <c r="G359" s="50">
        <f>'WhatsApp Tracker'!C356</f>
        <v>0</v>
      </c>
      <c r="H359" s="50" t="str">
        <f>'WhatsApp Tracker'!D356</f>
        <v>9830012233</v>
      </c>
      <c r="I359" s="50" t="str">
        <f>'WhatsApp Tracker'!T356</f>
        <v>Not sent</v>
      </c>
      <c r="J359" s="50" t="str">
        <f>'WhatsApp Tracker'!U356</f>
        <v>Unknown</v>
      </c>
      <c r="K359" s="50" t="str">
        <f>'WhatsApp Tracker'!V356</f>
        <v>Unknown</v>
      </c>
      <c r="L359" s="50" t="str">
        <f>'WhatsApp Tracker'!W356</f>
        <v>Not offered</v>
      </c>
      <c r="M359" s="51" t="str">
        <f>'WhatsApp Tracker'!X356</f>
        <v/>
      </c>
      <c r="N359" s="50" t="str">
        <f>'WhatsApp Tracker'!AM356</f>
        <v>Low confidence: verify before sending</v>
      </c>
      <c r="O359" s="50" t="str">
        <f>'WhatsApp Tracker'!AC356</f>
        <v>Imported from extract_garden. Confidence: Low. Parsed from Assam Tea Directory row, verify before sending</v>
      </c>
    </row>
    <row r="360" spans="1:15" x14ac:dyDescent="0.25">
      <c r="A360" s="50">
        <f>'WhatsApp Tracker'!AH357</f>
        <v>9596</v>
      </c>
      <c r="B360" s="50" t="str">
        <f>'WhatsApp Tracker'!AA357</f>
        <v>Do not send</v>
      </c>
      <c r="C360" s="50" t="str">
        <f>'WhatsApp Tracker'!M357</f>
        <v>Hold</v>
      </c>
      <c r="D360" s="50">
        <f>'WhatsApp Tracker'!AN357</f>
        <v>5</v>
      </c>
      <c r="E360" s="50" t="str">
        <f>'WhatsApp Tracker'!AL357</f>
        <v>Parsed directory row</v>
      </c>
      <c r="F360" s="50" t="str">
        <f>'WhatsApp Tracker'!B357</f>
        <v>Imported contact</v>
      </c>
      <c r="G360" s="50">
        <f>'WhatsApp Tracker'!C357</f>
        <v>0</v>
      </c>
      <c r="H360" s="50" t="str">
        <f>'WhatsApp Tracker'!D357</f>
        <v>9435739507</v>
      </c>
      <c r="I360" s="50" t="str">
        <f>'WhatsApp Tracker'!T357</f>
        <v>Not sent</v>
      </c>
      <c r="J360" s="50" t="str">
        <f>'WhatsApp Tracker'!U357</f>
        <v>Unknown</v>
      </c>
      <c r="K360" s="50" t="str">
        <f>'WhatsApp Tracker'!V357</f>
        <v>Unknown</v>
      </c>
      <c r="L360" s="50" t="str">
        <f>'WhatsApp Tracker'!W357</f>
        <v>Not offered</v>
      </c>
      <c r="M360" s="51" t="str">
        <f>'WhatsApp Tracker'!X357</f>
        <v/>
      </c>
      <c r="N360" s="50" t="str">
        <f>'WhatsApp Tracker'!AM357</f>
        <v>Low confidence: verify before sending</v>
      </c>
      <c r="O360" s="50" t="str">
        <f>'WhatsApp Tracker'!AC357</f>
        <v>Imported from extract_garden. Confidence: Low. Parsed from Assam Tea Directory row, verify before sending</v>
      </c>
    </row>
    <row r="361" spans="1:15" x14ac:dyDescent="0.25">
      <c r="A361" s="50">
        <f>'WhatsApp Tracker'!AH358</f>
        <v>9596</v>
      </c>
      <c r="B361" s="50" t="str">
        <f>'WhatsApp Tracker'!AA358</f>
        <v>Do not send</v>
      </c>
      <c r="C361" s="50" t="str">
        <f>'WhatsApp Tracker'!M358</f>
        <v>Hold</v>
      </c>
      <c r="D361" s="50">
        <f>'WhatsApp Tracker'!AN358</f>
        <v>5</v>
      </c>
      <c r="E361" s="50" t="str">
        <f>'WhatsApp Tracker'!AL358</f>
        <v>Parsed directory row</v>
      </c>
      <c r="F361" s="50" t="str">
        <f>'WhatsApp Tracker'!B358</f>
        <v>Imported contact</v>
      </c>
      <c r="G361" s="50">
        <f>'WhatsApp Tracker'!C358</f>
        <v>0</v>
      </c>
      <c r="H361" s="50" t="str">
        <f>'WhatsApp Tracker'!D358</f>
        <v>9435139702</v>
      </c>
      <c r="I361" s="50" t="str">
        <f>'WhatsApp Tracker'!T358</f>
        <v>Not sent</v>
      </c>
      <c r="J361" s="50" t="str">
        <f>'WhatsApp Tracker'!U358</f>
        <v>Unknown</v>
      </c>
      <c r="K361" s="50" t="str">
        <f>'WhatsApp Tracker'!V358</f>
        <v>Unknown</v>
      </c>
      <c r="L361" s="50" t="str">
        <f>'WhatsApp Tracker'!W358</f>
        <v>Not offered</v>
      </c>
      <c r="M361" s="51" t="str">
        <f>'WhatsApp Tracker'!X358</f>
        <v/>
      </c>
      <c r="N361" s="50" t="str">
        <f>'WhatsApp Tracker'!AM358</f>
        <v>Low confidence: verify before sending</v>
      </c>
      <c r="O361" s="50" t="str">
        <f>'WhatsApp Tracker'!AC358</f>
        <v>Imported from extract_garden. Confidence: Low. Parsed from Assam Tea Directory row, verify before sending</v>
      </c>
    </row>
    <row r="362" spans="1:15" x14ac:dyDescent="0.25">
      <c r="A362" s="50">
        <f>'WhatsApp Tracker'!AH359</f>
        <v>9596</v>
      </c>
      <c r="B362" s="50" t="str">
        <f>'WhatsApp Tracker'!AA359</f>
        <v>Do not send</v>
      </c>
      <c r="C362" s="50" t="str">
        <f>'WhatsApp Tracker'!M359</f>
        <v>Hold</v>
      </c>
      <c r="D362" s="50">
        <f>'WhatsApp Tracker'!AN359</f>
        <v>5</v>
      </c>
      <c r="E362" s="50" t="str">
        <f>'WhatsApp Tracker'!AL359</f>
        <v>Parsed directory row</v>
      </c>
      <c r="F362" s="50" t="str">
        <f>'WhatsApp Tracker'!B359</f>
        <v>Imported contact</v>
      </c>
      <c r="G362" s="50">
        <f>'WhatsApp Tracker'!C359</f>
        <v>0</v>
      </c>
      <c r="H362" s="50" t="str">
        <f>'WhatsApp Tracker'!D359</f>
        <v>9435053554</v>
      </c>
      <c r="I362" s="50" t="str">
        <f>'WhatsApp Tracker'!T359</f>
        <v>Not sent</v>
      </c>
      <c r="J362" s="50" t="str">
        <f>'WhatsApp Tracker'!U359</f>
        <v>Unknown</v>
      </c>
      <c r="K362" s="50" t="str">
        <f>'WhatsApp Tracker'!V359</f>
        <v>Unknown</v>
      </c>
      <c r="L362" s="50" t="str">
        <f>'WhatsApp Tracker'!W359</f>
        <v>Not offered</v>
      </c>
      <c r="M362" s="51" t="str">
        <f>'WhatsApp Tracker'!X359</f>
        <v/>
      </c>
      <c r="N362" s="50" t="str">
        <f>'WhatsApp Tracker'!AM359</f>
        <v>Low confidence: verify before sending</v>
      </c>
      <c r="O362" s="50" t="str">
        <f>'WhatsApp Tracker'!AC359</f>
        <v>Imported from extract_garden. Confidence: Low. Parsed from Assam Tea Directory row, verify before sending</v>
      </c>
    </row>
    <row r="363" spans="1:15" x14ac:dyDescent="0.25">
      <c r="A363" s="50">
        <f>'WhatsApp Tracker'!AH360</f>
        <v>9596</v>
      </c>
      <c r="B363" s="50" t="str">
        <f>'WhatsApp Tracker'!AA360</f>
        <v>Do not send</v>
      </c>
      <c r="C363" s="50" t="str">
        <f>'WhatsApp Tracker'!M360</f>
        <v>Hold</v>
      </c>
      <c r="D363" s="50">
        <f>'WhatsApp Tracker'!AN360</f>
        <v>5</v>
      </c>
      <c r="E363" s="50" t="str">
        <f>'WhatsApp Tracker'!AL360</f>
        <v>Parsed directory row</v>
      </c>
      <c r="F363" s="50" t="str">
        <f>'WhatsApp Tracker'!B360</f>
        <v>Imported contact</v>
      </c>
      <c r="G363" s="50">
        <f>'WhatsApp Tracker'!C360</f>
        <v>0</v>
      </c>
      <c r="H363" s="50" t="str">
        <f>'WhatsApp Tracker'!D360</f>
        <v>9831483093</v>
      </c>
      <c r="I363" s="50" t="str">
        <f>'WhatsApp Tracker'!T360</f>
        <v>Not sent</v>
      </c>
      <c r="J363" s="50" t="str">
        <f>'WhatsApp Tracker'!U360</f>
        <v>Unknown</v>
      </c>
      <c r="K363" s="50" t="str">
        <f>'WhatsApp Tracker'!V360</f>
        <v>Unknown</v>
      </c>
      <c r="L363" s="50" t="str">
        <f>'WhatsApp Tracker'!W360</f>
        <v>Not offered</v>
      </c>
      <c r="M363" s="51" t="str">
        <f>'WhatsApp Tracker'!X360</f>
        <v/>
      </c>
      <c r="N363" s="50" t="str">
        <f>'WhatsApp Tracker'!AM360</f>
        <v>Low confidence: verify before sending</v>
      </c>
      <c r="O363" s="50" t="str">
        <f>'WhatsApp Tracker'!AC360</f>
        <v>Imported from extract_garden. Confidence: Low. Parsed from Assam Tea Directory row, verify before sending</v>
      </c>
    </row>
    <row r="364" spans="1:15" x14ac:dyDescent="0.25">
      <c r="A364" s="50">
        <f>'WhatsApp Tracker'!AH361</f>
        <v>9596</v>
      </c>
      <c r="B364" s="50" t="str">
        <f>'WhatsApp Tracker'!AA361</f>
        <v>Do not send</v>
      </c>
      <c r="C364" s="50" t="str">
        <f>'WhatsApp Tracker'!M361</f>
        <v>Hold</v>
      </c>
      <c r="D364" s="50">
        <f>'WhatsApp Tracker'!AN361</f>
        <v>5</v>
      </c>
      <c r="E364" s="50" t="str">
        <f>'WhatsApp Tracker'!AL361</f>
        <v>Parsed directory row</v>
      </c>
      <c r="F364" s="50" t="str">
        <f>'WhatsApp Tracker'!B361</f>
        <v>Imported contact</v>
      </c>
      <c r="G364" s="50">
        <f>'WhatsApp Tracker'!C361</f>
        <v>0</v>
      </c>
      <c r="H364" s="50" t="str">
        <f>'WhatsApp Tracker'!D361</f>
        <v>9859937195</v>
      </c>
      <c r="I364" s="50" t="str">
        <f>'WhatsApp Tracker'!T361</f>
        <v>Not sent</v>
      </c>
      <c r="J364" s="50" t="str">
        <f>'WhatsApp Tracker'!U361</f>
        <v>Unknown</v>
      </c>
      <c r="K364" s="50" t="str">
        <f>'WhatsApp Tracker'!V361</f>
        <v>Unknown</v>
      </c>
      <c r="L364" s="50" t="str">
        <f>'WhatsApp Tracker'!W361</f>
        <v>Not offered</v>
      </c>
      <c r="M364" s="51" t="str">
        <f>'WhatsApp Tracker'!X361</f>
        <v/>
      </c>
      <c r="N364" s="50" t="str">
        <f>'WhatsApp Tracker'!AM361</f>
        <v>Low confidence: verify before sending</v>
      </c>
      <c r="O364" s="50" t="str">
        <f>'WhatsApp Tracker'!AC361</f>
        <v>Imported from extract_garden. Confidence: Low. Parsed from Assam Tea Directory row, verify before sending</v>
      </c>
    </row>
    <row r="365" spans="1:15" x14ac:dyDescent="0.25">
      <c r="A365" s="50">
        <f>'WhatsApp Tracker'!AH362</f>
        <v>9596</v>
      </c>
      <c r="B365" s="50" t="str">
        <f>'WhatsApp Tracker'!AA362</f>
        <v>Do not send</v>
      </c>
      <c r="C365" s="50" t="str">
        <f>'WhatsApp Tracker'!M362</f>
        <v>Hold</v>
      </c>
      <c r="D365" s="50">
        <f>'WhatsApp Tracker'!AN362</f>
        <v>5</v>
      </c>
      <c r="E365" s="50" t="str">
        <f>'WhatsApp Tracker'!AL362</f>
        <v>Parsed directory row</v>
      </c>
      <c r="F365" s="50" t="str">
        <f>'WhatsApp Tracker'!B362</f>
        <v>Imported contact</v>
      </c>
      <c r="G365" s="50">
        <f>'WhatsApp Tracker'!C362</f>
        <v>0</v>
      </c>
      <c r="H365" s="50" t="str">
        <f>'WhatsApp Tracker'!D362</f>
        <v>9859100949</v>
      </c>
      <c r="I365" s="50" t="str">
        <f>'WhatsApp Tracker'!T362</f>
        <v>Not sent</v>
      </c>
      <c r="J365" s="50" t="str">
        <f>'WhatsApp Tracker'!U362</f>
        <v>Unknown</v>
      </c>
      <c r="K365" s="50" t="str">
        <f>'WhatsApp Tracker'!V362</f>
        <v>Unknown</v>
      </c>
      <c r="L365" s="50" t="str">
        <f>'WhatsApp Tracker'!W362</f>
        <v>Not offered</v>
      </c>
      <c r="M365" s="51" t="str">
        <f>'WhatsApp Tracker'!X362</f>
        <v/>
      </c>
      <c r="N365" s="50" t="str">
        <f>'WhatsApp Tracker'!AM362</f>
        <v>Low confidence: verify before sending</v>
      </c>
      <c r="O365" s="50" t="str">
        <f>'WhatsApp Tracker'!AC362</f>
        <v>Imported from extract_garden. Confidence: Low. Parsed from Assam Tea Directory row, verify before sending</v>
      </c>
    </row>
    <row r="366" spans="1:15" x14ac:dyDescent="0.25">
      <c r="A366" s="50">
        <f>'WhatsApp Tracker'!AH363</f>
        <v>9596</v>
      </c>
      <c r="B366" s="50" t="str">
        <f>'WhatsApp Tracker'!AA363</f>
        <v>Do not send</v>
      </c>
      <c r="C366" s="50" t="str">
        <f>'WhatsApp Tracker'!M363</f>
        <v>Hold</v>
      </c>
      <c r="D366" s="50">
        <f>'WhatsApp Tracker'!AN363</f>
        <v>5</v>
      </c>
      <c r="E366" s="50" t="str">
        <f>'WhatsApp Tracker'!AL363</f>
        <v>Parsed directory row</v>
      </c>
      <c r="F366" s="50" t="str">
        <f>'WhatsApp Tracker'!B363</f>
        <v>Imported contact</v>
      </c>
      <c r="G366" s="50">
        <f>'WhatsApp Tracker'!C363</f>
        <v>0</v>
      </c>
      <c r="H366" s="50" t="str">
        <f>'WhatsApp Tracker'!D363</f>
        <v>9435727096</v>
      </c>
      <c r="I366" s="50" t="str">
        <f>'WhatsApp Tracker'!T363</f>
        <v>Not sent</v>
      </c>
      <c r="J366" s="50" t="str">
        <f>'WhatsApp Tracker'!U363</f>
        <v>Unknown</v>
      </c>
      <c r="K366" s="50" t="str">
        <f>'WhatsApp Tracker'!V363</f>
        <v>Unknown</v>
      </c>
      <c r="L366" s="50" t="str">
        <f>'WhatsApp Tracker'!W363</f>
        <v>Not offered</v>
      </c>
      <c r="M366" s="51" t="str">
        <f>'WhatsApp Tracker'!X363</f>
        <v/>
      </c>
      <c r="N366" s="50" t="str">
        <f>'WhatsApp Tracker'!AM363</f>
        <v>Low confidence: verify before sending</v>
      </c>
      <c r="O366" s="50" t="str">
        <f>'WhatsApp Tracker'!AC363</f>
        <v>Imported from extract_garden. Confidence: Low. Parsed from Assam Tea Directory row, verify before sending</v>
      </c>
    </row>
    <row r="367" spans="1:15" x14ac:dyDescent="0.25">
      <c r="A367" s="50">
        <f>'WhatsApp Tracker'!AH364</f>
        <v>9596</v>
      </c>
      <c r="B367" s="50" t="str">
        <f>'WhatsApp Tracker'!AA364</f>
        <v>Do not send</v>
      </c>
      <c r="C367" s="50" t="str">
        <f>'WhatsApp Tracker'!M364</f>
        <v>Hold</v>
      </c>
      <c r="D367" s="50">
        <f>'WhatsApp Tracker'!AN364</f>
        <v>5</v>
      </c>
      <c r="E367" s="50" t="str">
        <f>'WhatsApp Tracker'!AL364</f>
        <v>Parsed directory row</v>
      </c>
      <c r="F367" s="50" t="str">
        <f>'WhatsApp Tracker'!B364</f>
        <v>Imported contact</v>
      </c>
      <c r="G367" s="50">
        <f>'WhatsApp Tracker'!C364</f>
        <v>0</v>
      </c>
      <c r="H367" s="50" t="str">
        <f>'WhatsApp Tracker'!D364</f>
        <v>9435461117</v>
      </c>
      <c r="I367" s="50" t="str">
        <f>'WhatsApp Tracker'!T364</f>
        <v>Not sent</v>
      </c>
      <c r="J367" s="50" t="str">
        <f>'WhatsApp Tracker'!U364</f>
        <v>Unknown</v>
      </c>
      <c r="K367" s="50" t="str">
        <f>'WhatsApp Tracker'!V364</f>
        <v>Unknown</v>
      </c>
      <c r="L367" s="50" t="str">
        <f>'WhatsApp Tracker'!W364</f>
        <v>Not offered</v>
      </c>
      <c r="M367" s="51" t="str">
        <f>'WhatsApp Tracker'!X364</f>
        <v/>
      </c>
      <c r="N367" s="50" t="str">
        <f>'WhatsApp Tracker'!AM364</f>
        <v>Low confidence: verify before sending</v>
      </c>
      <c r="O367" s="50" t="str">
        <f>'WhatsApp Tracker'!AC364</f>
        <v>Imported from extract_garden. Confidence: Low. Parsed from Assam Tea Directory row, verify before sending</v>
      </c>
    </row>
    <row r="368" spans="1:15" x14ac:dyDescent="0.25">
      <c r="A368" s="50">
        <f>'WhatsApp Tracker'!AH365</f>
        <v>9596</v>
      </c>
      <c r="B368" s="50" t="str">
        <f>'WhatsApp Tracker'!AA365</f>
        <v>Do not send</v>
      </c>
      <c r="C368" s="50" t="str">
        <f>'WhatsApp Tracker'!M365</f>
        <v>Hold</v>
      </c>
      <c r="D368" s="50">
        <f>'WhatsApp Tracker'!AN365</f>
        <v>5</v>
      </c>
      <c r="E368" s="50" t="str">
        <f>'WhatsApp Tracker'!AL365</f>
        <v>Parsed directory row</v>
      </c>
      <c r="F368" s="50" t="str">
        <f>'WhatsApp Tracker'!B365</f>
        <v>Imported contact</v>
      </c>
      <c r="G368" s="50">
        <f>'WhatsApp Tracker'!C365</f>
        <v>0</v>
      </c>
      <c r="H368" s="50" t="str">
        <f>'WhatsApp Tracker'!D365</f>
        <v>9435079099</v>
      </c>
      <c r="I368" s="50" t="str">
        <f>'WhatsApp Tracker'!T365</f>
        <v>Not sent</v>
      </c>
      <c r="J368" s="50" t="str">
        <f>'WhatsApp Tracker'!U365</f>
        <v>Unknown</v>
      </c>
      <c r="K368" s="50" t="str">
        <f>'WhatsApp Tracker'!V365</f>
        <v>Unknown</v>
      </c>
      <c r="L368" s="50" t="str">
        <f>'WhatsApp Tracker'!W365</f>
        <v>Not offered</v>
      </c>
      <c r="M368" s="51" t="str">
        <f>'WhatsApp Tracker'!X365</f>
        <v/>
      </c>
      <c r="N368" s="50" t="str">
        <f>'WhatsApp Tracker'!AM365</f>
        <v>Low confidence: verify before sending</v>
      </c>
      <c r="O368" s="50" t="str">
        <f>'WhatsApp Tracker'!AC365</f>
        <v>Imported from extract_garden. Confidence: Low. Parsed from Assam Tea Directory row, verify before sending</v>
      </c>
    </row>
    <row r="369" spans="1:15" x14ac:dyDescent="0.25">
      <c r="A369" s="50">
        <f>'WhatsApp Tracker'!AH366</f>
        <v>9596</v>
      </c>
      <c r="B369" s="50" t="str">
        <f>'WhatsApp Tracker'!AA366</f>
        <v>Do not send</v>
      </c>
      <c r="C369" s="50" t="str">
        <f>'WhatsApp Tracker'!M366</f>
        <v>Hold</v>
      </c>
      <c r="D369" s="50">
        <f>'WhatsApp Tracker'!AN366</f>
        <v>5</v>
      </c>
      <c r="E369" s="50" t="str">
        <f>'WhatsApp Tracker'!AL366</f>
        <v>Parsed directory row</v>
      </c>
      <c r="F369" s="50" t="str">
        <f>'WhatsApp Tracker'!B366</f>
        <v>Imported contact</v>
      </c>
      <c r="G369" s="50">
        <f>'WhatsApp Tracker'!C366</f>
        <v>0</v>
      </c>
      <c r="H369" s="50" t="str">
        <f>'WhatsApp Tracker'!D366</f>
        <v>9836393772</v>
      </c>
      <c r="I369" s="50" t="str">
        <f>'WhatsApp Tracker'!T366</f>
        <v>Not sent</v>
      </c>
      <c r="J369" s="50" t="str">
        <f>'WhatsApp Tracker'!U366</f>
        <v>Unknown</v>
      </c>
      <c r="K369" s="50" t="str">
        <f>'WhatsApp Tracker'!V366</f>
        <v>Unknown</v>
      </c>
      <c r="L369" s="50" t="str">
        <f>'WhatsApp Tracker'!W366</f>
        <v>Not offered</v>
      </c>
      <c r="M369" s="51" t="str">
        <f>'WhatsApp Tracker'!X366</f>
        <v/>
      </c>
      <c r="N369" s="50" t="str">
        <f>'WhatsApp Tracker'!AM366</f>
        <v>Low confidence: verify before sending</v>
      </c>
      <c r="O369" s="50" t="str">
        <f>'WhatsApp Tracker'!AC366</f>
        <v>Imported from extract_garden. Confidence: Low. Parsed from Assam Tea Directory row, verify before sending</v>
      </c>
    </row>
    <row r="370" spans="1:15" x14ac:dyDescent="0.25">
      <c r="A370" s="50">
        <f>'WhatsApp Tracker'!AH367</f>
        <v>9596</v>
      </c>
      <c r="B370" s="50" t="str">
        <f>'WhatsApp Tracker'!AA367</f>
        <v>Do not send</v>
      </c>
      <c r="C370" s="50" t="str">
        <f>'WhatsApp Tracker'!M367</f>
        <v>Hold</v>
      </c>
      <c r="D370" s="50">
        <f>'WhatsApp Tracker'!AN367</f>
        <v>5</v>
      </c>
      <c r="E370" s="50" t="str">
        <f>'WhatsApp Tracker'!AL367</f>
        <v>Parsed directory row</v>
      </c>
      <c r="F370" s="50" t="str">
        <f>'WhatsApp Tracker'!B367</f>
        <v>Imported contact</v>
      </c>
      <c r="G370" s="50">
        <f>'WhatsApp Tracker'!C367</f>
        <v>0</v>
      </c>
      <c r="H370" s="50" t="str">
        <f>'WhatsApp Tracker'!D367</f>
        <v>9435130013</v>
      </c>
      <c r="I370" s="50" t="str">
        <f>'WhatsApp Tracker'!T367</f>
        <v>Not sent</v>
      </c>
      <c r="J370" s="50" t="str">
        <f>'WhatsApp Tracker'!U367</f>
        <v>Unknown</v>
      </c>
      <c r="K370" s="50" t="str">
        <f>'WhatsApp Tracker'!V367</f>
        <v>Unknown</v>
      </c>
      <c r="L370" s="50" t="str">
        <f>'WhatsApp Tracker'!W367</f>
        <v>Not offered</v>
      </c>
      <c r="M370" s="51" t="str">
        <f>'WhatsApp Tracker'!X367</f>
        <v/>
      </c>
      <c r="N370" s="50" t="str">
        <f>'WhatsApp Tracker'!AM367</f>
        <v>Low confidence: verify before sending</v>
      </c>
      <c r="O370" s="50" t="str">
        <f>'WhatsApp Tracker'!AC367</f>
        <v>Imported from extract_garden. Confidence: Low. Parsed from Assam Tea Directory row, verify before sending</v>
      </c>
    </row>
    <row r="371" spans="1:15" x14ac:dyDescent="0.25">
      <c r="A371" s="50">
        <f>'WhatsApp Tracker'!AH368</f>
        <v>9596</v>
      </c>
      <c r="B371" s="50" t="str">
        <f>'WhatsApp Tracker'!AA368</f>
        <v>Do not send</v>
      </c>
      <c r="C371" s="50" t="str">
        <f>'WhatsApp Tracker'!M368</f>
        <v>Hold</v>
      </c>
      <c r="D371" s="50">
        <f>'WhatsApp Tracker'!AN368</f>
        <v>5</v>
      </c>
      <c r="E371" s="50" t="str">
        <f>'WhatsApp Tracker'!AL368</f>
        <v>Parsed directory row</v>
      </c>
      <c r="F371" s="50" t="str">
        <f>'WhatsApp Tracker'!B368</f>
        <v>LETEKUJAN POST,GOLAGHAT C</v>
      </c>
      <c r="G371" s="50" t="str">
        <f>'WhatsApp Tracker'!C368</f>
        <v>LETEKUJAN POST,GOLAGHAT C</v>
      </c>
      <c r="H371" s="50" t="str">
        <f>'WhatsApp Tracker'!D368</f>
        <v>9207046222</v>
      </c>
      <c r="I371" s="50" t="str">
        <f>'WhatsApp Tracker'!T368</f>
        <v>Not sent</v>
      </c>
      <c r="J371" s="50" t="str">
        <f>'WhatsApp Tracker'!U368</f>
        <v>Unknown</v>
      </c>
      <c r="K371" s="50" t="str">
        <f>'WhatsApp Tracker'!V368</f>
        <v>Unknown</v>
      </c>
      <c r="L371" s="50" t="str">
        <f>'WhatsApp Tracker'!W368</f>
        <v>Not offered</v>
      </c>
      <c r="M371" s="51" t="str">
        <f>'WhatsApp Tracker'!X368</f>
        <v/>
      </c>
      <c r="N371" s="50" t="str">
        <f>'WhatsApp Tracker'!AM368</f>
        <v>Low confidence: verify before sending</v>
      </c>
      <c r="O371" s="50" t="str">
        <f>'WhatsApp Tracker'!AC368</f>
        <v>Imported from extract_garden. Confidence: Low. Parsed from Assam Tea Directory row, verify before sending</v>
      </c>
    </row>
    <row r="372" spans="1:15" x14ac:dyDescent="0.25">
      <c r="A372" s="50">
        <f>'WhatsApp Tracker'!AH369</f>
        <v>9596</v>
      </c>
      <c r="B372" s="50" t="str">
        <f>'WhatsApp Tracker'!AA369</f>
        <v>Do not send</v>
      </c>
      <c r="C372" s="50" t="str">
        <f>'WhatsApp Tracker'!M369</f>
        <v>Hold</v>
      </c>
      <c r="D372" s="50">
        <f>'WhatsApp Tracker'!AN369</f>
        <v>5</v>
      </c>
      <c r="E372" s="50" t="str">
        <f>'WhatsApp Tracker'!AL369</f>
        <v>Parsed directory row</v>
      </c>
      <c r="F372" s="50" t="str">
        <f>'WhatsApp Tracker'!B369</f>
        <v>Imported contact</v>
      </c>
      <c r="G372" s="50">
        <f>'WhatsApp Tracker'!C369</f>
        <v>0</v>
      </c>
      <c r="H372" s="50" t="str">
        <f>'WhatsApp Tracker'!D369</f>
        <v>9435182159</v>
      </c>
      <c r="I372" s="50" t="str">
        <f>'WhatsApp Tracker'!T369</f>
        <v>Not sent</v>
      </c>
      <c r="J372" s="50" t="str">
        <f>'WhatsApp Tracker'!U369</f>
        <v>Unknown</v>
      </c>
      <c r="K372" s="50" t="str">
        <f>'WhatsApp Tracker'!V369</f>
        <v>Unknown</v>
      </c>
      <c r="L372" s="50" t="str">
        <f>'WhatsApp Tracker'!W369</f>
        <v>Not offered</v>
      </c>
      <c r="M372" s="51" t="str">
        <f>'WhatsApp Tracker'!X369</f>
        <v/>
      </c>
      <c r="N372" s="50" t="str">
        <f>'WhatsApp Tracker'!AM369</f>
        <v>Low confidence: verify before sending</v>
      </c>
      <c r="O372" s="50" t="str">
        <f>'WhatsApp Tracker'!AC369</f>
        <v>Imported from extract_garden. Confidence: Low. Parsed from Assam Tea Directory row, verify before sending</v>
      </c>
    </row>
    <row r="373" spans="1:15" x14ac:dyDescent="0.25">
      <c r="A373" s="50">
        <f>'WhatsApp Tracker'!AH370</f>
        <v>9596</v>
      </c>
      <c r="B373" s="50" t="str">
        <f>'WhatsApp Tracker'!AA370</f>
        <v>Do not send</v>
      </c>
      <c r="C373" s="50" t="str">
        <f>'WhatsApp Tracker'!M370</f>
        <v>Hold</v>
      </c>
      <c r="D373" s="50">
        <f>'WhatsApp Tracker'!AN370</f>
        <v>5</v>
      </c>
      <c r="E373" s="50" t="str">
        <f>'WhatsApp Tracker'!AL370</f>
        <v>Parsed directory row</v>
      </c>
      <c r="F373" s="50" t="str">
        <f>'WhatsApp Tracker'!B370</f>
        <v>Imported contact</v>
      </c>
      <c r="G373" s="50">
        <f>'WhatsApp Tracker'!C370</f>
        <v>0</v>
      </c>
      <c r="H373" s="50" t="str">
        <f>'WhatsApp Tracker'!D370</f>
        <v>9435804926</v>
      </c>
      <c r="I373" s="50" t="str">
        <f>'WhatsApp Tracker'!T370</f>
        <v>Not sent</v>
      </c>
      <c r="J373" s="50" t="str">
        <f>'WhatsApp Tracker'!U370</f>
        <v>Unknown</v>
      </c>
      <c r="K373" s="50" t="str">
        <f>'WhatsApp Tracker'!V370</f>
        <v>Unknown</v>
      </c>
      <c r="L373" s="50" t="str">
        <f>'WhatsApp Tracker'!W370</f>
        <v>Not offered</v>
      </c>
      <c r="M373" s="51" t="str">
        <f>'WhatsApp Tracker'!X370</f>
        <v/>
      </c>
      <c r="N373" s="50" t="str">
        <f>'WhatsApp Tracker'!AM370</f>
        <v>Low confidence: verify before sending</v>
      </c>
      <c r="O373" s="50" t="str">
        <f>'WhatsApp Tracker'!AC370</f>
        <v>Imported from extract_garden. Confidence: Low. Parsed from Assam Tea Directory row, verify before sending</v>
      </c>
    </row>
    <row r="374" spans="1:15" x14ac:dyDescent="0.25">
      <c r="A374" s="50">
        <f>'WhatsApp Tracker'!AH371</f>
        <v>9596</v>
      </c>
      <c r="B374" s="50" t="str">
        <f>'WhatsApp Tracker'!AA371</f>
        <v>Do not send</v>
      </c>
      <c r="C374" s="50" t="str">
        <f>'WhatsApp Tracker'!M371</f>
        <v>Hold</v>
      </c>
      <c r="D374" s="50">
        <f>'WhatsApp Tracker'!AN371</f>
        <v>5</v>
      </c>
      <c r="E374" s="50" t="str">
        <f>'WhatsApp Tracker'!AL371</f>
        <v>Parsed directory row</v>
      </c>
      <c r="F374" s="50" t="str">
        <f>'WhatsApp Tracker'!B371</f>
        <v>Imported contact</v>
      </c>
      <c r="G374" s="50">
        <f>'WhatsApp Tracker'!C371</f>
        <v>0</v>
      </c>
      <c r="H374" s="50" t="str">
        <f>'WhatsApp Tracker'!D371</f>
        <v>7896284510</v>
      </c>
      <c r="I374" s="50" t="str">
        <f>'WhatsApp Tracker'!T371</f>
        <v>Not sent</v>
      </c>
      <c r="J374" s="50" t="str">
        <f>'WhatsApp Tracker'!U371</f>
        <v>Unknown</v>
      </c>
      <c r="K374" s="50" t="str">
        <f>'WhatsApp Tracker'!V371</f>
        <v>Unknown</v>
      </c>
      <c r="L374" s="50" t="str">
        <f>'WhatsApp Tracker'!W371</f>
        <v>Not offered</v>
      </c>
      <c r="M374" s="51" t="str">
        <f>'WhatsApp Tracker'!X371</f>
        <v/>
      </c>
      <c r="N374" s="50" t="str">
        <f>'WhatsApp Tracker'!AM371</f>
        <v>Low confidence: verify before sending</v>
      </c>
      <c r="O374" s="50" t="str">
        <f>'WhatsApp Tracker'!AC371</f>
        <v>Imported from extract_garden. Confidence: Low. Parsed from Assam Tea Directory row, verify before sending</v>
      </c>
    </row>
    <row r="375" spans="1:15" x14ac:dyDescent="0.25">
      <c r="A375" s="50">
        <f>'WhatsApp Tracker'!AH372</f>
        <v>9596</v>
      </c>
      <c r="B375" s="50" t="str">
        <f>'WhatsApp Tracker'!AA372</f>
        <v>Do not send</v>
      </c>
      <c r="C375" s="50" t="str">
        <f>'WhatsApp Tracker'!M372</f>
        <v>Hold</v>
      </c>
      <c r="D375" s="50">
        <f>'WhatsApp Tracker'!AN372</f>
        <v>5</v>
      </c>
      <c r="E375" s="50" t="str">
        <f>'WhatsApp Tracker'!AL372</f>
        <v>Parsed directory row</v>
      </c>
      <c r="F375" s="50" t="str">
        <f>'WhatsApp Tracker'!B372</f>
        <v>Imported contact</v>
      </c>
      <c r="G375" s="50">
        <f>'WhatsApp Tracker'!C372</f>
        <v>0</v>
      </c>
      <c r="H375" s="50" t="str">
        <f>'WhatsApp Tracker'!D372</f>
        <v>9435562634</v>
      </c>
      <c r="I375" s="50" t="str">
        <f>'WhatsApp Tracker'!T372</f>
        <v>Not sent</v>
      </c>
      <c r="J375" s="50" t="str">
        <f>'WhatsApp Tracker'!U372</f>
        <v>Unknown</v>
      </c>
      <c r="K375" s="50" t="str">
        <f>'WhatsApp Tracker'!V372</f>
        <v>Unknown</v>
      </c>
      <c r="L375" s="50" t="str">
        <f>'WhatsApp Tracker'!W372</f>
        <v>Not offered</v>
      </c>
      <c r="M375" s="51" t="str">
        <f>'WhatsApp Tracker'!X372</f>
        <v/>
      </c>
      <c r="N375" s="50" t="str">
        <f>'WhatsApp Tracker'!AM372</f>
        <v>Low confidence: verify before sending</v>
      </c>
      <c r="O375" s="50" t="str">
        <f>'WhatsApp Tracker'!AC372</f>
        <v>Imported from extract_garden. Confidence: Low. Parsed from Assam Tea Directory row, verify before sending</v>
      </c>
    </row>
    <row r="376" spans="1:15" x14ac:dyDescent="0.25">
      <c r="A376" s="50">
        <f>'WhatsApp Tracker'!AH373</f>
        <v>9596</v>
      </c>
      <c r="B376" s="50" t="str">
        <f>'WhatsApp Tracker'!AA373</f>
        <v>Do not send</v>
      </c>
      <c r="C376" s="50" t="str">
        <f>'WhatsApp Tracker'!M373</f>
        <v>Hold</v>
      </c>
      <c r="D376" s="50">
        <f>'WhatsApp Tracker'!AN373</f>
        <v>5</v>
      </c>
      <c r="E376" s="50" t="str">
        <f>'WhatsApp Tracker'!AL373</f>
        <v>Parsed directory row</v>
      </c>
      <c r="F376" s="50" t="str">
        <f>'WhatsApp Tracker'!B373</f>
        <v>Imported contact</v>
      </c>
      <c r="G376" s="50">
        <f>'WhatsApp Tracker'!C373</f>
        <v>0</v>
      </c>
      <c r="H376" s="50" t="str">
        <f>'WhatsApp Tracker'!D373</f>
        <v>9435177225</v>
      </c>
      <c r="I376" s="50" t="str">
        <f>'WhatsApp Tracker'!T373</f>
        <v>Not sent</v>
      </c>
      <c r="J376" s="50" t="str">
        <f>'WhatsApp Tracker'!U373</f>
        <v>Unknown</v>
      </c>
      <c r="K376" s="50" t="str">
        <f>'WhatsApp Tracker'!V373</f>
        <v>Unknown</v>
      </c>
      <c r="L376" s="50" t="str">
        <f>'WhatsApp Tracker'!W373</f>
        <v>Not offered</v>
      </c>
      <c r="M376" s="51" t="str">
        <f>'WhatsApp Tracker'!X373</f>
        <v/>
      </c>
      <c r="N376" s="50" t="str">
        <f>'WhatsApp Tracker'!AM373</f>
        <v>Low confidence: verify before sending</v>
      </c>
      <c r="O376" s="50" t="str">
        <f>'WhatsApp Tracker'!AC373</f>
        <v>Imported from extract_garden. Confidence: Low. Parsed from Assam Tea Directory row, verify before sending</v>
      </c>
    </row>
    <row r="377" spans="1:15" x14ac:dyDescent="0.25">
      <c r="A377" s="50">
        <f>'WhatsApp Tracker'!AH374</f>
        <v>9596</v>
      </c>
      <c r="B377" s="50" t="str">
        <f>'WhatsApp Tracker'!AA374</f>
        <v>Do not send</v>
      </c>
      <c r="C377" s="50" t="str">
        <f>'WhatsApp Tracker'!M374</f>
        <v>Hold</v>
      </c>
      <c r="D377" s="50">
        <f>'WhatsApp Tracker'!AN374</f>
        <v>5</v>
      </c>
      <c r="E377" s="50" t="str">
        <f>'WhatsApp Tracker'!AL374</f>
        <v>Parsed directory row</v>
      </c>
      <c r="F377" s="50" t="str">
        <f>'WhatsApp Tracker'!B374</f>
        <v>Imported contact</v>
      </c>
      <c r="G377" s="50">
        <f>'WhatsApp Tracker'!C374</f>
        <v>0</v>
      </c>
      <c r="H377" s="50" t="str">
        <f>'WhatsApp Tracker'!D374</f>
        <v>9435179062</v>
      </c>
      <c r="I377" s="50" t="str">
        <f>'WhatsApp Tracker'!T374</f>
        <v>Not sent</v>
      </c>
      <c r="J377" s="50" t="str">
        <f>'WhatsApp Tracker'!U374</f>
        <v>Unknown</v>
      </c>
      <c r="K377" s="50" t="str">
        <f>'WhatsApp Tracker'!V374</f>
        <v>Unknown</v>
      </c>
      <c r="L377" s="50" t="str">
        <f>'WhatsApp Tracker'!W374</f>
        <v>Not offered</v>
      </c>
      <c r="M377" s="51" t="str">
        <f>'WhatsApp Tracker'!X374</f>
        <v/>
      </c>
      <c r="N377" s="50" t="str">
        <f>'WhatsApp Tracker'!AM374</f>
        <v>Low confidence: verify before sending</v>
      </c>
      <c r="O377" s="50" t="str">
        <f>'WhatsApp Tracker'!AC374</f>
        <v>Imported from extract_garden. Confidence: Low. Parsed from Assam Tea Directory row, verify before sending</v>
      </c>
    </row>
    <row r="378" spans="1:15" x14ac:dyDescent="0.25">
      <c r="A378" s="50">
        <f>'WhatsApp Tracker'!AH375</f>
        <v>9596</v>
      </c>
      <c r="B378" s="50" t="str">
        <f>'WhatsApp Tracker'!AA375</f>
        <v>Do not send</v>
      </c>
      <c r="C378" s="50" t="str">
        <f>'WhatsApp Tracker'!M375</f>
        <v>Hold</v>
      </c>
      <c r="D378" s="50">
        <f>'WhatsApp Tracker'!AN375</f>
        <v>5</v>
      </c>
      <c r="E378" s="50" t="str">
        <f>'WhatsApp Tracker'!AL375</f>
        <v>Parsed directory row</v>
      </c>
      <c r="F378" s="50" t="str">
        <f>'WhatsApp Tracker'!B375</f>
        <v>Imported contact</v>
      </c>
      <c r="G378" s="50">
        <f>'WhatsApp Tracker'!C375</f>
        <v>0</v>
      </c>
      <c r="H378" s="50" t="str">
        <f>'WhatsApp Tracker'!D375</f>
        <v>9435031779</v>
      </c>
      <c r="I378" s="50" t="str">
        <f>'WhatsApp Tracker'!T375</f>
        <v>Not sent</v>
      </c>
      <c r="J378" s="50" t="str">
        <f>'WhatsApp Tracker'!U375</f>
        <v>Unknown</v>
      </c>
      <c r="K378" s="50" t="str">
        <f>'WhatsApp Tracker'!V375</f>
        <v>Unknown</v>
      </c>
      <c r="L378" s="50" t="str">
        <f>'WhatsApp Tracker'!W375</f>
        <v>Not offered</v>
      </c>
      <c r="M378" s="51" t="str">
        <f>'WhatsApp Tracker'!X375</f>
        <v/>
      </c>
      <c r="N378" s="50" t="str">
        <f>'WhatsApp Tracker'!AM375</f>
        <v>Low confidence: verify before sending</v>
      </c>
      <c r="O378" s="50" t="str">
        <f>'WhatsApp Tracker'!AC375</f>
        <v>Imported from extract_garden. Confidence: Low. Parsed from Assam Tea Directory row, verify before sending</v>
      </c>
    </row>
    <row r="379" spans="1:15" x14ac:dyDescent="0.25">
      <c r="A379" s="50">
        <f>'WhatsApp Tracker'!AH376</f>
        <v>9596</v>
      </c>
      <c r="B379" s="50" t="str">
        <f>'WhatsApp Tracker'!AA376</f>
        <v>Do not send</v>
      </c>
      <c r="C379" s="50" t="str">
        <f>'WhatsApp Tracker'!M376</f>
        <v>Hold</v>
      </c>
      <c r="D379" s="50">
        <f>'WhatsApp Tracker'!AN376</f>
        <v>5</v>
      </c>
      <c r="E379" s="50" t="str">
        <f>'WhatsApp Tracker'!AL376</f>
        <v>Parsed directory row</v>
      </c>
      <c r="F379" s="50" t="str">
        <f>'WhatsApp Tracker'!B376</f>
        <v>Imported contact</v>
      </c>
      <c r="G379" s="50">
        <f>'WhatsApp Tracker'!C376</f>
        <v>0</v>
      </c>
      <c r="H379" s="50" t="str">
        <f>'WhatsApp Tracker'!D376</f>
        <v>9854823940</v>
      </c>
      <c r="I379" s="50" t="str">
        <f>'WhatsApp Tracker'!T376</f>
        <v>Not sent</v>
      </c>
      <c r="J379" s="50" t="str">
        <f>'WhatsApp Tracker'!U376</f>
        <v>Unknown</v>
      </c>
      <c r="K379" s="50" t="str">
        <f>'WhatsApp Tracker'!V376</f>
        <v>Unknown</v>
      </c>
      <c r="L379" s="50" t="str">
        <f>'WhatsApp Tracker'!W376</f>
        <v>Not offered</v>
      </c>
      <c r="M379" s="51" t="str">
        <f>'WhatsApp Tracker'!X376</f>
        <v/>
      </c>
      <c r="N379" s="50" t="str">
        <f>'WhatsApp Tracker'!AM376</f>
        <v>Low confidence: verify before sending</v>
      </c>
      <c r="O379" s="50" t="str">
        <f>'WhatsApp Tracker'!AC376</f>
        <v>Imported from extract_garden. Confidence: Low. Parsed from Assam Tea Directory row, verify before sending</v>
      </c>
    </row>
    <row r="380" spans="1:15" x14ac:dyDescent="0.25">
      <c r="A380" s="50">
        <f>'WhatsApp Tracker'!AH377</f>
        <v>9596</v>
      </c>
      <c r="B380" s="50" t="str">
        <f>'WhatsApp Tracker'!AA377</f>
        <v>Do not send</v>
      </c>
      <c r="C380" s="50" t="str">
        <f>'WhatsApp Tracker'!M377</f>
        <v>Hold</v>
      </c>
      <c r="D380" s="50">
        <f>'WhatsApp Tracker'!AN377</f>
        <v>5</v>
      </c>
      <c r="E380" s="50" t="str">
        <f>'WhatsApp Tracker'!AL377</f>
        <v>Parsed directory row</v>
      </c>
      <c r="F380" s="50" t="str">
        <f>'WhatsApp Tracker'!B377</f>
        <v>Imported contact</v>
      </c>
      <c r="G380" s="50">
        <f>'WhatsApp Tracker'!C377</f>
        <v>0</v>
      </c>
      <c r="H380" s="50" t="str">
        <f>'WhatsApp Tracker'!D377</f>
        <v>9435058445</v>
      </c>
      <c r="I380" s="50" t="str">
        <f>'WhatsApp Tracker'!T377</f>
        <v>Not sent</v>
      </c>
      <c r="J380" s="50" t="str">
        <f>'WhatsApp Tracker'!U377</f>
        <v>Unknown</v>
      </c>
      <c r="K380" s="50" t="str">
        <f>'WhatsApp Tracker'!V377</f>
        <v>Unknown</v>
      </c>
      <c r="L380" s="50" t="str">
        <f>'WhatsApp Tracker'!W377</f>
        <v>Not offered</v>
      </c>
      <c r="M380" s="51" t="str">
        <f>'WhatsApp Tracker'!X377</f>
        <v/>
      </c>
      <c r="N380" s="50" t="str">
        <f>'WhatsApp Tracker'!AM377</f>
        <v>Low confidence: verify before sending</v>
      </c>
      <c r="O380" s="50" t="str">
        <f>'WhatsApp Tracker'!AC377</f>
        <v>Imported from extract_garden. Confidence: Low. Parsed from Assam Tea Directory row, verify before sending</v>
      </c>
    </row>
    <row r="381" spans="1:15" x14ac:dyDescent="0.25">
      <c r="A381" s="50">
        <f>'WhatsApp Tracker'!AH378</f>
        <v>9596</v>
      </c>
      <c r="B381" s="50" t="str">
        <f>'WhatsApp Tracker'!AA378</f>
        <v>Do not send</v>
      </c>
      <c r="C381" s="50" t="str">
        <f>'WhatsApp Tracker'!M378</f>
        <v>Hold</v>
      </c>
      <c r="D381" s="50">
        <f>'WhatsApp Tracker'!AN378</f>
        <v>5</v>
      </c>
      <c r="E381" s="50" t="str">
        <f>'WhatsApp Tracker'!AL378</f>
        <v>Parsed directory row</v>
      </c>
      <c r="F381" s="50" t="str">
        <f>'WhatsApp Tracker'!B378</f>
        <v>Imported contact</v>
      </c>
      <c r="G381" s="50">
        <f>'WhatsApp Tracker'!C378</f>
        <v>0</v>
      </c>
      <c r="H381" s="50" t="str">
        <f>'WhatsApp Tracker'!D378</f>
        <v>9435450907</v>
      </c>
      <c r="I381" s="50" t="str">
        <f>'WhatsApp Tracker'!T378</f>
        <v>Not sent</v>
      </c>
      <c r="J381" s="50" t="str">
        <f>'WhatsApp Tracker'!U378</f>
        <v>Unknown</v>
      </c>
      <c r="K381" s="50" t="str">
        <f>'WhatsApp Tracker'!V378</f>
        <v>Unknown</v>
      </c>
      <c r="L381" s="50" t="str">
        <f>'WhatsApp Tracker'!W378</f>
        <v>Not offered</v>
      </c>
      <c r="M381" s="51" t="str">
        <f>'WhatsApp Tracker'!X378</f>
        <v/>
      </c>
      <c r="N381" s="50" t="str">
        <f>'WhatsApp Tracker'!AM378</f>
        <v>Low confidence: verify before sending</v>
      </c>
      <c r="O381" s="50" t="str">
        <f>'WhatsApp Tracker'!AC378</f>
        <v>Imported from extract_garden. Confidence: Low. Parsed from Assam Tea Directory row, verify before sending</v>
      </c>
    </row>
    <row r="382" spans="1:15" x14ac:dyDescent="0.25">
      <c r="A382" s="50">
        <f>'WhatsApp Tracker'!AH379</f>
        <v>9596</v>
      </c>
      <c r="B382" s="50" t="str">
        <f>'WhatsApp Tracker'!AA379</f>
        <v>Do not send</v>
      </c>
      <c r="C382" s="50" t="str">
        <f>'WhatsApp Tracker'!M379</f>
        <v>Hold</v>
      </c>
      <c r="D382" s="50">
        <f>'WhatsApp Tracker'!AN379</f>
        <v>5</v>
      </c>
      <c r="E382" s="50" t="str">
        <f>'WhatsApp Tracker'!AL379</f>
        <v>Parsed directory row</v>
      </c>
      <c r="F382" s="50" t="str">
        <f>'WhatsApp Tracker'!B379</f>
        <v>Imported contact</v>
      </c>
      <c r="G382" s="50">
        <f>'WhatsApp Tracker'!C379</f>
        <v>0</v>
      </c>
      <c r="H382" s="50" t="str">
        <f>'WhatsApp Tracker'!D379</f>
        <v>9435050547</v>
      </c>
      <c r="I382" s="50" t="str">
        <f>'WhatsApp Tracker'!T379</f>
        <v>Not sent</v>
      </c>
      <c r="J382" s="50" t="str">
        <f>'WhatsApp Tracker'!U379</f>
        <v>Unknown</v>
      </c>
      <c r="K382" s="50" t="str">
        <f>'WhatsApp Tracker'!V379</f>
        <v>Unknown</v>
      </c>
      <c r="L382" s="50" t="str">
        <f>'WhatsApp Tracker'!W379</f>
        <v>Not offered</v>
      </c>
      <c r="M382" s="51" t="str">
        <f>'WhatsApp Tracker'!X379</f>
        <v/>
      </c>
      <c r="N382" s="50" t="str">
        <f>'WhatsApp Tracker'!AM379</f>
        <v>Low confidence: verify before sending</v>
      </c>
      <c r="O382" s="50" t="str">
        <f>'WhatsApp Tracker'!AC379</f>
        <v>Imported from extract_garden. Confidence: Low. Parsed from Assam Tea Directory row, verify before sending</v>
      </c>
    </row>
    <row r="383" spans="1:15" x14ac:dyDescent="0.25">
      <c r="A383" s="50">
        <f>'WhatsApp Tracker'!AH380</f>
        <v>9596</v>
      </c>
      <c r="B383" s="50" t="str">
        <f>'WhatsApp Tracker'!AA380</f>
        <v>Do not send</v>
      </c>
      <c r="C383" s="50" t="str">
        <f>'WhatsApp Tracker'!M380</f>
        <v>Hold</v>
      </c>
      <c r="D383" s="50">
        <f>'WhatsApp Tracker'!AN380</f>
        <v>5</v>
      </c>
      <c r="E383" s="50" t="str">
        <f>'WhatsApp Tracker'!AL380</f>
        <v>Parsed directory row</v>
      </c>
      <c r="F383" s="50" t="str">
        <f>'WhatsApp Tracker'!B380</f>
        <v>Imported contact</v>
      </c>
      <c r="G383" s="50">
        <f>'WhatsApp Tracker'!C380</f>
        <v>0</v>
      </c>
      <c r="H383" s="50" t="str">
        <f>'WhatsApp Tracker'!D380</f>
        <v>9401326308</v>
      </c>
      <c r="I383" s="50" t="str">
        <f>'WhatsApp Tracker'!T380</f>
        <v>Not sent</v>
      </c>
      <c r="J383" s="50" t="str">
        <f>'WhatsApp Tracker'!U380</f>
        <v>Unknown</v>
      </c>
      <c r="K383" s="50" t="str">
        <f>'WhatsApp Tracker'!V380</f>
        <v>Unknown</v>
      </c>
      <c r="L383" s="50" t="str">
        <f>'WhatsApp Tracker'!W380</f>
        <v>Not offered</v>
      </c>
      <c r="M383" s="51" t="str">
        <f>'WhatsApp Tracker'!X380</f>
        <v/>
      </c>
      <c r="N383" s="50" t="str">
        <f>'WhatsApp Tracker'!AM380</f>
        <v>Low confidence: verify before sending</v>
      </c>
      <c r="O383" s="50" t="str">
        <f>'WhatsApp Tracker'!AC380</f>
        <v>Imported from extract_garden. Confidence: Low. Parsed from Assam Tea Directory row, verify before sending</v>
      </c>
    </row>
    <row r="384" spans="1:15" x14ac:dyDescent="0.25">
      <c r="A384" s="50">
        <f>'WhatsApp Tracker'!AH381</f>
        <v>9596</v>
      </c>
      <c r="B384" s="50" t="str">
        <f>'WhatsApp Tracker'!AA381</f>
        <v>Do not send</v>
      </c>
      <c r="C384" s="50" t="str">
        <f>'WhatsApp Tracker'!M381</f>
        <v>Hold</v>
      </c>
      <c r="D384" s="50">
        <f>'WhatsApp Tracker'!AN381</f>
        <v>5</v>
      </c>
      <c r="E384" s="50" t="str">
        <f>'WhatsApp Tracker'!AL381</f>
        <v>Parsed directory row</v>
      </c>
      <c r="F384" s="50" t="str">
        <f>'WhatsApp Tracker'!B381</f>
        <v>Imported contact</v>
      </c>
      <c r="G384" s="50">
        <f>'WhatsApp Tracker'!C381</f>
        <v>0</v>
      </c>
      <c r="H384" s="50" t="str">
        <f>'WhatsApp Tracker'!D381</f>
        <v>9864015568</v>
      </c>
      <c r="I384" s="50" t="str">
        <f>'WhatsApp Tracker'!T381</f>
        <v>Not sent</v>
      </c>
      <c r="J384" s="50" t="str">
        <f>'WhatsApp Tracker'!U381</f>
        <v>Unknown</v>
      </c>
      <c r="K384" s="50" t="str">
        <f>'WhatsApp Tracker'!V381</f>
        <v>Unknown</v>
      </c>
      <c r="L384" s="50" t="str">
        <f>'WhatsApp Tracker'!W381</f>
        <v>Not offered</v>
      </c>
      <c r="M384" s="51" t="str">
        <f>'WhatsApp Tracker'!X381</f>
        <v/>
      </c>
      <c r="N384" s="50" t="str">
        <f>'WhatsApp Tracker'!AM381</f>
        <v>Low confidence: verify before sending</v>
      </c>
      <c r="O384" s="50" t="str">
        <f>'WhatsApp Tracker'!AC381</f>
        <v>Imported from extract_garden. Confidence: Low. Parsed from Assam Tea Directory row, verify before sending</v>
      </c>
    </row>
    <row r="385" spans="1:15" x14ac:dyDescent="0.25">
      <c r="A385" s="50">
        <f>'WhatsApp Tracker'!AH382</f>
        <v>9596</v>
      </c>
      <c r="B385" s="50" t="str">
        <f>'WhatsApp Tracker'!AA382</f>
        <v>Do not send</v>
      </c>
      <c r="C385" s="50" t="str">
        <f>'WhatsApp Tracker'!M382</f>
        <v>Hold</v>
      </c>
      <c r="D385" s="50">
        <f>'WhatsApp Tracker'!AN382</f>
        <v>5</v>
      </c>
      <c r="E385" s="50" t="str">
        <f>'WhatsApp Tracker'!AL382</f>
        <v>Parsed directory row</v>
      </c>
      <c r="F385" s="50" t="str">
        <f>'WhatsApp Tracker'!B382</f>
        <v>Imported contact</v>
      </c>
      <c r="G385" s="50">
        <f>'WhatsApp Tracker'!C382</f>
        <v>0</v>
      </c>
      <c r="H385" s="50" t="str">
        <f>'WhatsApp Tracker'!D382</f>
        <v>9435908715</v>
      </c>
      <c r="I385" s="50" t="str">
        <f>'WhatsApp Tracker'!T382</f>
        <v>Not sent</v>
      </c>
      <c r="J385" s="50" t="str">
        <f>'WhatsApp Tracker'!U382</f>
        <v>Unknown</v>
      </c>
      <c r="K385" s="50" t="str">
        <f>'WhatsApp Tracker'!V382</f>
        <v>Unknown</v>
      </c>
      <c r="L385" s="50" t="str">
        <f>'WhatsApp Tracker'!W382</f>
        <v>Not offered</v>
      </c>
      <c r="M385" s="51" t="str">
        <f>'WhatsApp Tracker'!X382</f>
        <v/>
      </c>
      <c r="N385" s="50" t="str">
        <f>'WhatsApp Tracker'!AM382</f>
        <v>Low confidence: verify before sending</v>
      </c>
      <c r="O385" s="50" t="str">
        <f>'WhatsApp Tracker'!AC382</f>
        <v>Imported from extract_garden. Confidence: Low. Parsed from Assam Tea Directory row, verify before sending</v>
      </c>
    </row>
    <row r="386" spans="1:15" x14ac:dyDescent="0.25">
      <c r="A386" s="50">
        <f>'WhatsApp Tracker'!AH383</f>
        <v>9596</v>
      </c>
      <c r="B386" s="50" t="str">
        <f>'WhatsApp Tracker'!AA383</f>
        <v>Do not send</v>
      </c>
      <c r="C386" s="50" t="str">
        <f>'WhatsApp Tracker'!M383</f>
        <v>Hold</v>
      </c>
      <c r="D386" s="50">
        <f>'WhatsApp Tracker'!AN383</f>
        <v>5</v>
      </c>
      <c r="E386" s="50" t="str">
        <f>'WhatsApp Tracker'!AL383</f>
        <v>Parsed directory row</v>
      </c>
      <c r="F386" s="50" t="str">
        <f>'WhatsApp Tracker'!B383</f>
        <v>Imported contact</v>
      </c>
      <c r="G386" s="50">
        <f>'WhatsApp Tracker'!C383</f>
        <v>0</v>
      </c>
      <c r="H386" s="50" t="str">
        <f>'WhatsApp Tracker'!D383</f>
        <v>9613850465</v>
      </c>
      <c r="I386" s="50" t="str">
        <f>'WhatsApp Tracker'!T383</f>
        <v>Not sent</v>
      </c>
      <c r="J386" s="50" t="str">
        <f>'WhatsApp Tracker'!U383</f>
        <v>Unknown</v>
      </c>
      <c r="K386" s="50" t="str">
        <f>'WhatsApp Tracker'!V383</f>
        <v>Unknown</v>
      </c>
      <c r="L386" s="50" t="str">
        <f>'WhatsApp Tracker'!W383</f>
        <v>Not offered</v>
      </c>
      <c r="M386" s="51" t="str">
        <f>'WhatsApp Tracker'!X383</f>
        <v/>
      </c>
      <c r="N386" s="50" t="str">
        <f>'WhatsApp Tracker'!AM383</f>
        <v>Low confidence: verify before sending</v>
      </c>
      <c r="O386" s="50" t="str">
        <f>'WhatsApp Tracker'!AC383</f>
        <v>Imported from extract_garden. Confidence: Low. Parsed from Assam Tea Directory row, verify before sending</v>
      </c>
    </row>
    <row r="387" spans="1:15" x14ac:dyDescent="0.25">
      <c r="A387" s="50">
        <f>'WhatsApp Tracker'!AH384</f>
        <v>9596</v>
      </c>
      <c r="B387" s="50" t="str">
        <f>'WhatsApp Tracker'!AA384</f>
        <v>Do not send</v>
      </c>
      <c r="C387" s="50" t="str">
        <f>'WhatsApp Tracker'!M384</f>
        <v>Hold</v>
      </c>
      <c r="D387" s="50">
        <f>'WhatsApp Tracker'!AN384</f>
        <v>5</v>
      </c>
      <c r="E387" s="50" t="str">
        <f>'WhatsApp Tracker'!AL384</f>
        <v>Parsed directory row</v>
      </c>
      <c r="F387" s="50" t="str">
        <f>'WhatsApp Tracker'!B384</f>
        <v>Imported contact</v>
      </c>
      <c r="G387" s="50">
        <f>'WhatsApp Tracker'!C384</f>
        <v>0</v>
      </c>
      <c r="H387" s="50" t="str">
        <f>'WhatsApp Tracker'!D384</f>
        <v>7399911440</v>
      </c>
      <c r="I387" s="50" t="str">
        <f>'WhatsApp Tracker'!T384</f>
        <v>Not sent</v>
      </c>
      <c r="J387" s="50" t="str">
        <f>'WhatsApp Tracker'!U384</f>
        <v>Unknown</v>
      </c>
      <c r="K387" s="50" t="str">
        <f>'WhatsApp Tracker'!V384</f>
        <v>Unknown</v>
      </c>
      <c r="L387" s="50" t="str">
        <f>'WhatsApp Tracker'!W384</f>
        <v>Not offered</v>
      </c>
      <c r="M387" s="51" t="str">
        <f>'WhatsApp Tracker'!X384</f>
        <v/>
      </c>
      <c r="N387" s="50" t="str">
        <f>'WhatsApp Tracker'!AM384</f>
        <v>Low confidence: verify before sending</v>
      </c>
      <c r="O387" s="50" t="str">
        <f>'WhatsApp Tracker'!AC384</f>
        <v>Imported from extract_garden. Confidence: Low. Parsed from Assam Tea Directory row, verify before sending</v>
      </c>
    </row>
    <row r="388" spans="1:15" x14ac:dyDescent="0.25">
      <c r="A388" s="50">
        <f>'WhatsApp Tracker'!AH385</f>
        <v>9596</v>
      </c>
      <c r="B388" s="50" t="str">
        <f>'WhatsApp Tracker'!AA385</f>
        <v>Do not send</v>
      </c>
      <c r="C388" s="50" t="str">
        <f>'WhatsApp Tracker'!M385</f>
        <v>Hold</v>
      </c>
      <c r="D388" s="50">
        <f>'WhatsApp Tracker'!AN385</f>
        <v>5</v>
      </c>
      <c r="E388" s="50" t="str">
        <f>'WhatsApp Tracker'!AL385</f>
        <v>Parsed directory row</v>
      </c>
      <c r="F388" s="50" t="str">
        <f>'WhatsApp Tracker'!B385</f>
        <v>Imported contact</v>
      </c>
      <c r="G388" s="50">
        <f>'WhatsApp Tracker'!C385</f>
        <v>0</v>
      </c>
      <c r="H388" s="50" t="str">
        <f>'WhatsApp Tracker'!D385</f>
        <v>9508209630</v>
      </c>
      <c r="I388" s="50" t="str">
        <f>'WhatsApp Tracker'!T385</f>
        <v>Not sent</v>
      </c>
      <c r="J388" s="50" t="str">
        <f>'WhatsApp Tracker'!U385</f>
        <v>Unknown</v>
      </c>
      <c r="K388" s="50" t="str">
        <f>'WhatsApp Tracker'!V385</f>
        <v>Unknown</v>
      </c>
      <c r="L388" s="50" t="str">
        <f>'WhatsApp Tracker'!W385</f>
        <v>Not offered</v>
      </c>
      <c r="M388" s="51" t="str">
        <f>'WhatsApp Tracker'!X385</f>
        <v/>
      </c>
      <c r="N388" s="50" t="str">
        <f>'WhatsApp Tracker'!AM385</f>
        <v>Low confidence: verify before sending</v>
      </c>
      <c r="O388" s="50" t="str">
        <f>'WhatsApp Tracker'!AC385</f>
        <v>Imported from extract_garden. Confidence: Low. Parsed from Assam Tea Directory row, verify before sending</v>
      </c>
    </row>
    <row r="389" spans="1:15" x14ac:dyDescent="0.25">
      <c r="A389" s="50">
        <f>'WhatsApp Tracker'!AH386</f>
        <v>9596</v>
      </c>
      <c r="B389" s="50" t="str">
        <f>'WhatsApp Tracker'!AA386</f>
        <v>Do not send</v>
      </c>
      <c r="C389" s="50" t="str">
        <f>'WhatsApp Tracker'!M386</f>
        <v>Hold</v>
      </c>
      <c r="D389" s="50">
        <f>'WhatsApp Tracker'!AN386</f>
        <v>5</v>
      </c>
      <c r="E389" s="50" t="str">
        <f>'WhatsApp Tracker'!AL386</f>
        <v>Parsed directory row</v>
      </c>
      <c r="F389" s="50" t="str">
        <f>'WhatsApp Tracker'!B386</f>
        <v>Imported contact</v>
      </c>
      <c r="G389" s="50">
        <f>'WhatsApp Tracker'!C386</f>
        <v>0</v>
      </c>
      <c r="H389" s="50" t="str">
        <f>'WhatsApp Tracker'!D386</f>
        <v>9435034681</v>
      </c>
      <c r="I389" s="50" t="str">
        <f>'WhatsApp Tracker'!T386</f>
        <v>Not sent</v>
      </c>
      <c r="J389" s="50" t="str">
        <f>'WhatsApp Tracker'!U386</f>
        <v>Unknown</v>
      </c>
      <c r="K389" s="50" t="str">
        <f>'WhatsApp Tracker'!V386</f>
        <v>Unknown</v>
      </c>
      <c r="L389" s="50" t="str">
        <f>'WhatsApp Tracker'!W386</f>
        <v>Not offered</v>
      </c>
      <c r="M389" s="51" t="str">
        <f>'WhatsApp Tracker'!X386</f>
        <v/>
      </c>
      <c r="N389" s="50" t="str">
        <f>'WhatsApp Tracker'!AM386</f>
        <v>Low confidence: verify before sending</v>
      </c>
      <c r="O389" s="50" t="str">
        <f>'WhatsApp Tracker'!AC386</f>
        <v>Imported from extract_garden. Confidence: Low. Parsed from Assam Tea Directory row, verify before sending</v>
      </c>
    </row>
    <row r="390" spans="1:15" x14ac:dyDescent="0.25">
      <c r="A390" s="50">
        <f>'WhatsApp Tracker'!AH387</f>
        <v>9596</v>
      </c>
      <c r="B390" s="50" t="str">
        <f>'WhatsApp Tracker'!AA387</f>
        <v>Do not send</v>
      </c>
      <c r="C390" s="50" t="str">
        <f>'WhatsApp Tracker'!M387</f>
        <v>Hold</v>
      </c>
      <c r="D390" s="50">
        <f>'WhatsApp Tracker'!AN387</f>
        <v>5</v>
      </c>
      <c r="E390" s="50" t="str">
        <f>'WhatsApp Tracker'!AL387</f>
        <v>Parsed directory row</v>
      </c>
      <c r="F390" s="50" t="str">
        <f>'WhatsApp Tracker'!B387</f>
        <v>Imported contact</v>
      </c>
      <c r="G390" s="50">
        <f>'WhatsApp Tracker'!C387</f>
        <v>0</v>
      </c>
      <c r="H390" s="50" t="str">
        <f>'WhatsApp Tracker'!D387</f>
        <v>9830392355</v>
      </c>
      <c r="I390" s="50" t="str">
        <f>'WhatsApp Tracker'!T387</f>
        <v>Not sent</v>
      </c>
      <c r="J390" s="50" t="str">
        <f>'WhatsApp Tracker'!U387</f>
        <v>Unknown</v>
      </c>
      <c r="K390" s="50" t="str">
        <f>'WhatsApp Tracker'!V387</f>
        <v>Unknown</v>
      </c>
      <c r="L390" s="50" t="str">
        <f>'WhatsApp Tracker'!W387</f>
        <v>Not offered</v>
      </c>
      <c r="M390" s="51" t="str">
        <f>'WhatsApp Tracker'!X387</f>
        <v/>
      </c>
      <c r="N390" s="50" t="str">
        <f>'WhatsApp Tracker'!AM387</f>
        <v>Low confidence: verify before sending</v>
      </c>
      <c r="O390" s="50" t="str">
        <f>'WhatsApp Tracker'!AC387</f>
        <v>Imported from extract_garden. Confidence: Low. Parsed from Assam Tea Directory row, verify before sending</v>
      </c>
    </row>
    <row r="391" spans="1:15" x14ac:dyDescent="0.25">
      <c r="A391" s="50">
        <f>'WhatsApp Tracker'!AH388</f>
        <v>9596</v>
      </c>
      <c r="B391" s="50" t="str">
        <f>'WhatsApp Tracker'!AA388</f>
        <v>Do not send</v>
      </c>
      <c r="C391" s="50" t="str">
        <f>'WhatsApp Tracker'!M388</f>
        <v>Hold</v>
      </c>
      <c r="D391" s="50">
        <f>'WhatsApp Tracker'!AN388</f>
        <v>5</v>
      </c>
      <c r="E391" s="50" t="str">
        <f>'WhatsApp Tracker'!AL388</f>
        <v>Parsed directory row</v>
      </c>
      <c r="F391" s="50" t="str">
        <f>'WhatsApp Tracker'!B388</f>
        <v>Imported contact</v>
      </c>
      <c r="G391" s="50">
        <f>'WhatsApp Tracker'!C388</f>
        <v>0</v>
      </c>
      <c r="H391" s="50" t="str">
        <f>'WhatsApp Tracker'!D388</f>
        <v>9613768651</v>
      </c>
      <c r="I391" s="50" t="str">
        <f>'WhatsApp Tracker'!T388</f>
        <v>Not sent</v>
      </c>
      <c r="J391" s="50" t="str">
        <f>'WhatsApp Tracker'!U388</f>
        <v>Unknown</v>
      </c>
      <c r="K391" s="50" t="str">
        <f>'WhatsApp Tracker'!V388</f>
        <v>Unknown</v>
      </c>
      <c r="L391" s="50" t="str">
        <f>'WhatsApp Tracker'!W388</f>
        <v>Not offered</v>
      </c>
      <c r="M391" s="51" t="str">
        <f>'WhatsApp Tracker'!X388</f>
        <v/>
      </c>
      <c r="N391" s="50" t="str">
        <f>'WhatsApp Tracker'!AM388</f>
        <v>Low confidence: verify before sending</v>
      </c>
      <c r="O391" s="50" t="str">
        <f>'WhatsApp Tracker'!AC388</f>
        <v>Imported from extract_garden. Confidence: Low. Parsed from Assam Tea Directory row, verify before sending</v>
      </c>
    </row>
    <row r="392" spans="1:15" x14ac:dyDescent="0.25">
      <c r="A392" s="50">
        <f>'WhatsApp Tracker'!AH389</f>
        <v>9596</v>
      </c>
      <c r="B392" s="50" t="str">
        <f>'WhatsApp Tracker'!AA389</f>
        <v>Do not send</v>
      </c>
      <c r="C392" s="50" t="str">
        <f>'WhatsApp Tracker'!M389</f>
        <v>Hold</v>
      </c>
      <c r="D392" s="50">
        <f>'WhatsApp Tracker'!AN389</f>
        <v>5</v>
      </c>
      <c r="E392" s="50" t="str">
        <f>'WhatsApp Tracker'!AL389</f>
        <v>Parsed directory row</v>
      </c>
      <c r="F392" s="50" t="str">
        <f>'WhatsApp Tracker'!B389</f>
        <v>Imported contact</v>
      </c>
      <c r="G392" s="50">
        <f>'WhatsApp Tracker'!C389</f>
        <v>0</v>
      </c>
      <c r="H392" s="50" t="str">
        <f>'WhatsApp Tracker'!D389</f>
        <v>9435031403</v>
      </c>
      <c r="I392" s="50" t="str">
        <f>'WhatsApp Tracker'!T389</f>
        <v>Not sent</v>
      </c>
      <c r="J392" s="50" t="str">
        <f>'WhatsApp Tracker'!U389</f>
        <v>Unknown</v>
      </c>
      <c r="K392" s="50" t="str">
        <f>'WhatsApp Tracker'!V389</f>
        <v>Unknown</v>
      </c>
      <c r="L392" s="50" t="str">
        <f>'WhatsApp Tracker'!W389</f>
        <v>Not offered</v>
      </c>
      <c r="M392" s="51" t="str">
        <f>'WhatsApp Tracker'!X389</f>
        <v/>
      </c>
      <c r="N392" s="50" t="str">
        <f>'WhatsApp Tracker'!AM389</f>
        <v>Low confidence: verify before sending</v>
      </c>
      <c r="O392" s="50" t="str">
        <f>'WhatsApp Tracker'!AC389</f>
        <v>Imported from extract_garden. Confidence: Low. Parsed from Assam Tea Directory row, verify before sending</v>
      </c>
    </row>
    <row r="393" spans="1:15" x14ac:dyDescent="0.25">
      <c r="A393" s="50">
        <f>'WhatsApp Tracker'!AH390</f>
        <v>9596</v>
      </c>
      <c r="B393" s="50" t="str">
        <f>'WhatsApp Tracker'!AA390</f>
        <v>Do not send</v>
      </c>
      <c r="C393" s="50" t="str">
        <f>'WhatsApp Tracker'!M390</f>
        <v>Hold</v>
      </c>
      <c r="D393" s="50">
        <f>'WhatsApp Tracker'!AN390</f>
        <v>5</v>
      </c>
      <c r="E393" s="50" t="str">
        <f>'WhatsApp Tracker'!AL390</f>
        <v>Parsed directory row</v>
      </c>
      <c r="F393" s="50" t="str">
        <f>'WhatsApp Tracker'!B390</f>
        <v>Imported contact</v>
      </c>
      <c r="G393" s="50">
        <f>'WhatsApp Tracker'!C390</f>
        <v>0</v>
      </c>
      <c r="H393" s="50" t="str">
        <f>'WhatsApp Tracker'!D390</f>
        <v>9859350550</v>
      </c>
      <c r="I393" s="50" t="str">
        <f>'WhatsApp Tracker'!T390</f>
        <v>Not sent</v>
      </c>
      <c r="J393" s="50" t="str">
        <f>'WhatsApp Tracker'!U390</f>
        <v>Unknown</v>
      </c>
      <c r="K393" s="50" t="str">
        <f>'WhatsApp Tracker'!V390</f>
        <v>Unknown</v>
      </c>
      <c r="L393" s="50" t="str">
        <f>'WhatsApp Tracker'!W390</f>
        <v>Not offered</v>
      </c>
      <c r="M393" s="51" t="str">
        <f>'WhatsApp Tracker'!X390</f>
        <v/>
      </c>
      <c r="N393" s="50" t="str">
        <f>'WhatsApp Tracker'!AM390</f>
        <v>Low confidence: verify before sending</v>
      </c>
      <c r="O393" s="50" t="str">
        <f>'WhatsApp Tracker'!AC390</f>
        <v>Imported from extract_garden. Confidence: Low. Parsed from Assam Tea Directory row, verify before sending</v>
      </c>
    </row>
    <row r="394" spans="1:15" x14ac:dyDescent="0.25">
      <c r="A394" s="50">
        <f>'WhatsApp Tracker'!AH391</f>
        <v>9596</v>
      </c>
      <c r="B394" s="50" t="str">
        <f>'WhatsApp Tracker'!AA391</f>
        <v>Do not send</v>
      </c>
      <c r="C394" s="50" t="str">
        <f>'WhatsApp Tracker'!M391</f>
        <v>Hold</v>
      </c>
      <c r="D394" s="50">
        <f>'WhatsApp Tracker'!AN391</f>
        <v>5</v>
      </c>
      <c r="E394" s="50" t="str">
        <f>'WhatsApp Tracker'!AL391</f>
        <v>Parsed directory row</v>
      </c>
      <c r="F394" s="50" t="str">
        <f>'WhatsApp Tracker'!B391</f>
        <v>ASSAM</v>
      </c>
      <c r="G394" s="50" t="str">
        <f>'WhatsApp Tracker'!C391</f>
        <v>ASSAM</v>
      </c>
      <c r="H394" s="50" t="str">
        <f>'WhatsApp Tracker'!D391</f>
        <v>9435091349</v>
      </c>
      <c r="I394" s="50" t="str">
        <f>'WhatsApp Tracker'!T391</f>
        <v>Not sent</v>
      </c>
      <c r="J394" s="50" t="str">
        <f>'WhatsApp Tracker'!U391</f>
        <v>Unknown</v>
      </c>
      <c r="K394" s="50" t="str">
        <f>'WhatsApp Tracker'!V391</f>
        <v>Unknown</v>
      </c>
      <c r="L394" s="50" t="str">
        <f>'WhatsApp Tracker'!W391</f>
        <v>Not offered</v>
      </c>
      <c r="M394" s="51" t="str">
        <f>'WhatsApp Tracker'!X391</f>
        <v/>
      </c>
      <c r="N394" s="50" t="str">
        <f>'WhatsApp Tracker'!AM391</f>
        <v>Low confidence: verify before sending</v>
      </c>
      <c r="O394" s="50" t="str">
        <f>'WhatsApp Tracker'!AC391</f>
        <v>Imported from extract_garden. Confidence: Low. Parsed from Assam Tea Directory row, verify before sending</v>
      </c>
    </row>
    <row r="395" spans="1:15" x14ac:dyDescent="0.25">
      <c r="A395" s="50">
        <f>'WhatsApp Tracker'!AH392</f>
        <v>9596</v>
      </c>
      <c r="B395" s="50" t="str">
        <f>'WhatsApp Tracker'!AA392</f>
        <v>Do not send</v>
      </c>
      <c r="C395" s="50" t="str">
        <f>'WhatsApp Tracker'!M392</f>
        <v>Hold</v>
      </c>
      <c r="D395" s="50">
        <f>'WhatsApp Tracker'!AN392</f>
        <v>5</v>
      </c>
      <c r="E395" s="50" t="str">
        <f>'WhatsApp Tracker'!AL392</f>
        <v>Parsed directory row</v>
      </c>
      <c r="F395" s="50" t="str">
        <f>'WhatsApp Tracker'!B392</f>
        <v>Imported contact</v>
      </c>
      <c r="G395" s="50">
        <f>'WhatsApp Tracker'!C392</f>
        <v>0</v>
      </c>
      <c r="H395" s="50" t="str">
        <f>'WhatsApp Tracker'!D392</f>
        <v>9854812876</v>
      </c>
      <c r="I395" s="50" t="str">
        <f>'WhatsApp Tracker'!T392</f>
        <v>Not sent</v>
      </c>
      <c r="J395" s="50" t="str">
        <f>'WhatsApp Tracker'!U392</f>
        <v>Unknown</v>
      </c>
      <c r="K395" s="50" t="str">
        <f>'WhatsApp Tracker'!V392</f>
        <v>Unknown</v>
      </c>
      <c r="L395" s="50" t="str">
        <f>'WhatsApp Tracker'!W392</f>
        <v>Not offered</v>
      </c>
      <c r="M395" s="51" t="str">
        <f>'WhatsApp Tracker'!X392</f>
        <v/>
      </c>
      <c r="N395" s="50" t="str">
        <f>'WhatsApp Tracker'!AM392</f>
        <v>Low confidence: verify before sending</v>
      </c>
      <c r="O395" s="50" t="str">
        <f>'WhatsApp Tracker'!AC392</f>
        <v>Imported from extract_garden. Confidence: Low. Parsed from Assam Tea Directory row, verify before sending</v>
      </c>
    </row>
    <row r="396" spans="1:15" x14ac:dyDescent="0.25">
      <c r="A396" s="50">
        <f>'WhatsApp Tracker'!AH393</f>
        <v>9596</v>
      </c>
      <c r="B396" s="50" t="str">
        <f>'WhatsApp Tracker'!AA393</f>
        <v>Do not send</v>
      </c>
      <c r="C396" s="50" t="str">
        <f>'WhatsApp Tracker'!M393</f>
        <v>Hold</v>
      </c>
      <c r="D396" s="50">
        <f>'WhatsApp Tracker'!AN393</f>
        <v>5</v>
      </c>
      <c r="E396" s="50" t="str">
        <f>'WhatsApp Tracker'!AL393</f>
        <v>Parsed directory row</v>
      </c>
      <c r="F396" s="50" t="str">
        <f>'WhatsApp Tracker'!B393</f>
        <v>Imported contact</v>
      </c>
      <c r="G396" s="50">
        <f>'WhatsApp Tracker'!C393</f>
        <v>0</v>
      </c>
      <c r="H396" s="50" t="str">
        <f>'WhatsApp Tracker'!D393</f>
        <v>9831008542</v>
      </c>
      <c r="I396" s="50" t="str">
        <f>'WhatsApp Tracker'!T393</f>
        <v>Not sent</v>
      </c>
      <c r="J396" s="50" t="str">
        <f>'WhatsApp Tracker'!U393</f>
        <v>Unknown</v>
      </c>
      <c r="K396" s="50" t="str">
        <f>'WhatsApp Tracker'!V393</f>
        <v>Unknown</v>
      </c>
      <c r="L396" s="50" t="str">
        <f>'WhatsApp Tracker'!W393</f>
        <v>Not offered</v>
      </c>
      <c r="M396" s="51" t="str">
        <f>'WhatsApp Tracker'!X393</f>
        <v/>
      </c>
      <c r="N396" s="50" t="str">
        <f>'WhatsApp Tracker'!AM393</f>
        <v>Low confidence: verify before sending</v>
      </c>
      <c r="O396" s="50" t="str">
        <f>'WhatsApp Tracker'!AC393</f>
        <v>Imported from extract_garden. Confidence: Low. Parsed from Assam Tea Directory row, verify before sending</v>
      </c>
    </row>
    <row r="397" spans="1:15" x14ac:dyDescent="0.25">
      <c r="A397" s="50">
        <f>'WhatsApp Tracker'!AH394</f>
        <v>9596</v>
      </c>
      <c r="B397" s="50" t="str">
        <f>'WhatsApp Tracker'!AA394</f>
        <v>Do not send</v>
      </c>
      <c r="C397" s="50" t="str">
        <f>'WhatsApp Tracker'!M394</f>
        <v>Hold</v>
      </c>
      <c r="D397" s="50">
        <f>'WhatsApp Tracker'!AN394</f>
        <v>5</v>
      </c>
      <c r="E397" s="50" t="str">
        <f>'WhatsApp Tracker'!AL394</f>
        <v>Parsed directory row</v>
      </c>
      <c r="F397" s="50" t="str">
        <f>'WhatsApp Tracker'!B394</f>
        <v>Imported contact</v>
      </c>
      <c r="G397" s="50">
        <f>'WhatsApp Tracker'!C394</f>
        <v>0</v>
      </c>
      <c r="H397" s="50" t="str">
        <f>'WhatsApp Tracker'!D394</f>
        <v>9435035577</v>
      </c>
      <c r="I397" s="50" t="str">
        <f>'WhatsApp Tracker'!T394</f>
        <v>Not sent</v>
      </c>
      <c r="J397" s="50" t="str">
        <f>'WhatsApp Tracker'!U394</f>
        <v>Unknown</v>
      </c>
      <c r="K397" s="50" t="str">
        <f>'WhatsApp Tracker'!V394</f>
        <v>Unknown</v>
      </c>
      <c r="L397" s="50" t="str">
        <f>'WhatsApp Tracker'!W394</f>
        <v>Not offered</v>
      </c>
      <c r="M397" s="51" t="str">
        <f>'WhatsApp Tracker'!X394</f>
        <v/>
      </c>
      <c r="N397" s="50" t="str">
        <f>'WhatsApp Tracker'!AM394</f>
        <v>Low confidence: verify before sending</v>
      </c>
      <c r="O397" s="50" t="str">
        <f>'WhatsApp Tracker'!AC394</f>
        <v>Imported from extract_garden. Confidence: Low. Parsed from Assam Tea Directory row, verify before sending</v>
      </c>
    </row>
    <row r="398" spans="1:15" x14ac:dyDescent="0.25">
      <c r="A398" s="50">
        <f>'WhatsApp Tracker'!AH395</f>
        <v>9596</v>
      </c>
      <c r="B398" s="50" t="str">
        <f>'WhatsApp Tracker'!AA395</f>
        <v>Do not send</v>
      </c>
      <c r="C398" s="50" t="str">
        <f>'WhatsApp Tracker'!M395</f>
        <v>Hold</v>
      </c>
      <c r="D398" s="50">
        <f>'WhatsApp Tracker'!AN395</f>
        <v>5</v>
      </c>
      <c r="E398" s="50" t="str">
        <f>'WhatsApp Tracker'!AL395</f>
        <v>Parsed directory row</v>
      </c>
      <c r="F398" s="50" t="str">
        <f>'WhatsApp Tracker'!B395</f>
        <v>Imported contact</v>
      </c>
      <c r="G398" s="50">
        <f>'WhatsApp Tracker'!C395</f>
        <v>0</v>
      </c>
      <c r="H398" s="50" t="str">
        <f>'WhatsApp Tracker'!D395</f>
        <v>7399259837</v>
      </c>
      <c r="I398" s="50" t="str">
        <f>'WhatsApp Tracker'!T395</f>
        <v>Not sent</v>
      </c>
      <c r="J398" s="50" t="str">
        <f>'WhatsApp Tracker'!U395</f>
        <v>Unknown</v>
      </c>
      <c r="K398" s="50" t="str">
        <f>'WhatsApp Tracker'!V395</f>
        <v>Unknown</v>
      </c>
      <c r="L398" s="50" t="str">
        <f>'WhatsApp Tracker'!W395</f>
        <v>Not offered</v>
      </c>
      <c r="M398" s="51" t="str">
        <f>'WhatsApp Tracker'!X395</f>
        <v/>
      </c>
      <c r="N398" s="50" t="str">
        <f>'WhatsApp Tracker'!AM395</f>
        <v>Low confidence: verify before sending</v>
      </c>
      <c r="O398" s="50" t="str">
        <f>'WhatsApp Tracker'!AC395</f>
        <v>Imported from extract_garden. Confidence: Low. Parsed from Assam Tea Directory row, verify before sending</v>
      </c>
    </row>
    <row r="399" spans="1:15" x14ac:dyDescent="0.25">
      <c r="A399" s="50">
        <f>'WhatsApp Tracker'!AH396</f>
        <v>9596</v>
      </c>
      <c r="B399" s="50" t="str">
        <f>'WhatsApp Tracker'!AA396</f>
        <v>Do not send</v>
      </c>
      <c r="C399" s="50" t="str">
        <f>'WhatsApp Tracker'!M396</f>
        <v>Hold</v>
      </c>
      <c r="D399" s="50">
        <f>'WhatsApp Tracker'!AN396</f>
        <v>5</v>
      </c>
      <c r="E399" s="50" t="str">
        <f>'WhatsApp Tracker'!AL396</f>
        <v>Parsed directory row</v>
      </c>
      <c r="F399" s="50" t="str">
        <f>'WhatsApp Tracker'!B396</f>
        <v>Imported contact</v>
      </c>
      <c r="G399" s="50">
        <f>'WhatsApp Tracker'!C396</f>
        <v>0</v>
      </c>
      <c r="H399" s="50" t="str">
        <f>'WhatsApp Tracker'!D396</f>
        <v>9435227329</v>
      </c>
      <c r="I399" s="50" t="str">
        <f>'WhatsApp Tracker'!T396</f>
        <v>Not sent</v>
      </c>
      <c r="J399" s="50" t="str">
        <f>'WhatsApp Tracker'!U396</f>
        <v>Unknown</v>
      </c>
      <c r="K399" s="50" t="str">
        <f>'WhatsApp Tracker'!V396</f>
        <v>Unknown</v>
      </c>
      <c r="L399" s="50" t="str">
        <f>'WhatsApp Tracker'!W396</f>
        <v>Not offered</v>
      </c>
      <c r="M399" s="51" t="str">
        <f>'WhatsApp Tracker'!X396</f>
        <v/>
      </c>
      <c r="N399" s="50" t="str">
        <f>'WhatsApp Tracker'!AM396</f>
        <v>Low confidence: verify before sending</v>
      </c>
      <c r="O399" s="50" t="str">
        <f>'WhatsApp Tracker'!AC396</f>
        <v>Imported from extract_garden. Confidence: Low. Parsed from Assam Tea Directory row, verify before sending</v>
      </c>
    </row>
    <row r="400" spans="1:15" x14ac:dyDescent="0.25">
      <c r="A400" s="50">
        <f>'WhatsApp Tracker'!AH397</f>
        <v>9596</v>
      </c>
      <c r="B400" s="50" t="str">
        <f>'WhatsApp Tracker'!AA397</f>
        <v>Do not send</v>
      </c>
      <c r="C400" s="50" t="str">
        <f>'WhatsApp Tracker'!M397</f>
        <v>Hold</v>
      </c>
      <c r="D400" s="50">
        <f>'WhatsApp Tracker'!AN397</f>
        <v>5</v>
      </c>
      <c r="E400" s="50" t="str">
        <f>'WhatsApp Tracker'!AL397</f>
        <v>Parsed directory row</v>
      </c>
      <c r="F400" s="50" t="str">
        <f>'WhatsApp Tracker'!B397</f>
        <v>Imported contact</v>
      </c>
      <c r="G400" s="50">
        <f>'WhatsApp Tracker'!C397</f>
        <v>0</v>
      </c>
      <c r="H400" s="50" t="str">
        <f>'WhatsApp Tracker'!D397</f>
        <v>9435727329</v>
      </c>
      <c r="I400" s="50" t="str">
        <f>'WhatsApp Tracker'!T397</f>
        <v>Not sent</v>
      </c>
      <c r="J400" s="50" t="str">
        <f>'WhatsApp Tracker'!U397</f>
        <v>Unknown</v>
      </c>
      <c r="K400" s="50" t="str">
        <f>'WhatsApp Tracker'!V397</f>
        <v>Unknown</v>
      </c>
      <c r="L400" s="50" t="str">
        <f>'WhatsApp Tracker'!W397</f>
        <v>Not offered</v>
      </c>
      <c r="M400" s="51" t="str">
        <f>'WhatsApp Tracker'!X397</f>
        <v/>
      </c>
      <c r="N400" s="50" t="str">
        <f>'WhatsApp Tracker'!AM397</f>
        <v>Low confidence: verify before sending</v>
      </c>
      <c r="O400" s="50" t="str">
        <f>'WhatsApp Tracker'!AC397</f>
        <v>Imported from extract_garden. Confidence: Low. Parsed from Assam Tea Directory row, verify before sending</v>
      </c>
    </row>
    <row r="401" spans="1:15" x14ac:dyDescent="0.25">
      <c r="A401" s="50">
        <f>'WhatsApp Tracker'!AH398</f>
        <v>9596</v>
      </c>
      <c r="B401" s="50" t="str">
        <f>'WhatsApp Tracker'!AA398</f>
        <v>Do not send</v>
      </c>
      <c r="C401" s="50" t="str">
        <f>'WhatsApp Tracker'!M398</f>
        <v>Hold</v>
      </c>
      <c r="D401" s="50">
        <f>'WhatsApp Tracker'!AN398</f>
        <v>5</v>
      </c>
      <c r="E401" s="50" t="str">
        <f>'WhatsApp Tracker'!AL398</f>
        <v>Parsed directory row</v>
      </c>
      <c r="F401" s="50" t="str">
        <f>'WhatsApp Tracker'!B398</f>
        <v>Imported contact</v>
      </c>
      <c r="G401" s="50">
        <f>'WhatsApp Tracker'!C398</f>
        <v>0</v>
      </c>
      <c r="H401" s="50" t="str">
        <f>'WhatsApp Tracker'!D398</f>
        <v>9435053992</v>
      </c>
      <c r="I401" s="50" t="str">
        <f>'WhatsApp Tracker'!T398</f>
        <v>Not sent</v>
      </c>
      <c r="J401" s="50" t="str">
        <f>'WhatsApp Tracker'!U398</f>
        <v>Unknown</v>
      </c>
      <c r="K401" s="50" t="str">
        <f>'WhatsApp Tracker'!V398</f>
        <v>Unknown</v>
      </c>
      <c r="L401" s="50" t="str">
        <f>'WhatsApp Tracker'!W398</f>
        <v>Not offered</v>
      </c>
      <c r="M401" s="51" t="str">
        <f>'WhatsApp Tracker'!X398</f>
        <v/>
      </c>
      <c r="N401" s="50" t="str">
        <f>'WhatsApp Tracker'!AM398</f>
        <v>Low confidence: verify before sending</v>
      </c>
      <c r="O401" s="50" t="str">
        <f>'WhatsApp Tracker'!AC398</f>
        <v>Imported from extract_garden. Confidence: Low. Parsed from Assam Tea Directory row, verify before sending</v>
      </c>
    </row>
    <row r="402" spans="1:15" x14ac:dyDescent="0.25">
      <c r="A402" s="50">
        <f>'WhatsApp Tracker'!AH399</f>
        <v>9596</v>
      </c>
      <c r="B402" s="50" t="str">
        <f>'WhatsApp Tracker'!AA399</f>
        <v>Do not send</v>
      </c>
      <c r="C402" s="50" t="str">
        <f>'WhatsApp Tracker'!M399</f>
        <v>Hold</v>
      </c>
      <c r="D402" s="50">
        <f>'WhatsApp Tracker'!AN399</f>
        <v>5</v>
      </c>
      <c r="E402" s="50" t="str">
        <f>'WhatsApp Tracker'!AL399</f>
        <v>Parsed directory row</v>
      </c>
      <c r="F402" s="50" t="str">
        <f>'WhatsApp Tracker'!B399</f>
        <v>Imported contact</v>
      </c>
      <c r="G402" s="50">
        <f>'WhatsApp Tracker'!C399</f>
        <v>0</v>
      </c>
      <c r="H402" s="50" t="str">
        <f>'WhatsApp Tracker'!D399</f>
        <v>9831171719</v>
      </c>
      <c r="I402" s="50" t="str">
        <f>'WhatsApp Tracker'!T399</f>
        <v>Not sent</v>
      </c>
      <c r="J402" s="50" t="str">
        <f>'WhatsApp Tracker'!U399</f>
        <v>Unknown</v>
      </c>
      <c r="K402" s="50" t="str">
        <f>'WhatsApp Tracker'!V399</f>
        <v>Unknown</v>
      </c>
      <c r="L402" s="50" t="str">
        <f>'WhatsApp Tracker'!W399</f>
        <v>Not offered</v>
      </c>
      <c r="M402" s="51" t="str">
        <f>'WhatsApp Tracker'!X399</f>
        <v/>
      </c>
      <c r="N402" s="50" t="str">
        <f>'WhatsApp Tracker'!AM399</f>
        <v>Low confidence: verify before sending</v>
      </c>
      <c r="O402" s="50" t="str">
        <f>'WhatsApp Tracker'!AC399</f>
        <v>Imported from extract_garden. Confidence: Low. Parsed from Assam Tea Directory row, verify before sending</v>
      </c>
    </row>
    <row r="403" spans="1:15" x14ac:dyDescent="0.25">
      <c r="A403" s="50">
        <f>'WhatsApp Tracker'!AH400</f>
        <v>9596</v>
      </c>
      <c r="B403" s="50" t="str">
        <f>'WhatsApp Tracker'!AA400</f>
        <v>Do not send</v>
      </c>
      <c r="C403" s="50" t="str">
        <f>'WhatsApp Tracker'!M400</f>
        <v>Hold</v>
      </c>
      <c r="D403" s="50">
        <f>'WhatsApp Tracker'!AN400</f>
        <v>5</v>
      </c>
      <c r="E403" s="50" t="str">
        <f>'WhatsApp Tracker'!AL400</f>
        <v>Parsed directory row</v>
      </c>
      <c r="F403" s="50" t="str">
        <f>'WhatsApp Tracker'!B400</f>
        <v>Imported contact</v>
      </c>
      <c r="G403" s="50">
        <f>'WhatsApp Tracker'!C400</f>
        <v>0</v>
      </c>
      <c r="H403" s="50" t="str">
        <f>'WhatsApp Tracker'!D400</f>
        <v>9854384724</v>
      </c>
      <c r="I403" s="50" t="str">
        <f>'WhatsApp Tracker'!T400</f>
        <v>Not sent</v>
      </c>
      <c r="J403" s="50" t="str">
        <f>'WhatsApp Tracker'!U400</f>
        <v>Unknown</v>
      </c>
      <c r="K403" s="50" t="str">
        <f>'WhatsApp Tracker'!V400</f>
        <v>Unknown</v>
      </c>
      <c r="L403" s="50" t="str">
        <f>'WhatsApp Tracker'!W400</f>
        <v>Not offered</v>
      </c>
      <c r="M403" s="51" t="str">
        <f>'WhatsApp Tracker'!X400</f>
        <v/>
      </c>
      <c r="N403" s="50" t="str">
        <f>'WhatsApp Tracker'!AM400</f>
        <v>Low confidence: verify before sending</v>
      </c>
      <c r="O403" s="50" t="str">
        <f>'WhatsApp Tracker'!AC400</f>
        <v>Imported from extract_garden. Confidence: Low. Parsed from Assam Tea Directory row, verify before sending</v>
      </c>
    </row>
    <row r="404" spans="1:15" x14ac:dyDescent="0.25">
      <c r="A404" s="50">
        <f>'WhatsApp Tracker'!AH401</f>
        <v>9596</v>
      </c>
      <c r="B404" s="50" t="str">
        <f>'WhatsApp Tracker'!AA401</f>
        <v>Do not send</v>
      </c>
      <c r="C404" s="50" t="str">
        <f>'WhatsApp Tracker'!M401</f>
        <v>Hold</v>
      </c>
      <c r="D404" s="50">
        <f>'WhatsApp Tracker'!AN401</f>
        <v>5</v>
      </c>
      <c r="E404" s="50" t="str">
        <f>'WhatsApp Tracker'!AL401</f>
        <v>Parsed directory row</v>
      </c>
      <c r="F404" s="50" t="str">
        <f>'WhatsApp Tracker'!B401</f>
        <v>Imported contact</v>
      </c>
      <c r="G404" s="50">
        <f>'WhatsApp Tracker'!C401</f>
        <v>0</v>
      </c>
      <c r="H404" s="50" t="str">
        <f>'WhatsApp Tracker'!D401</f>
        <v>9435031450</v>
      </c>
      <c r="I404" s="50" t="str">
        <f>'WhatsApp Tracker'!T401</f>
        <v>Not sent</v>
      </c>
      <c r="J404" s="50" t="str">
        <f>'WhatsApp Tracker'!U401</f>
        <v>Unknown</v>
      </c>
      <c r="K404" s="50" t="str">
        <f>'WhatsApp Tracker'!V401</f>
        <v>Unknown</v>
      </c>
      <c r="L404" s="50" t="str">
        <f>'WhatsApp Tracker'!W401</f>
        <v>Not offered</v>
      </c>
      <c r="M404" s="51" t="str">
        <f>'WhatsApp Tracker'!X401</f>
        <v/>
      </c>
      <c r="N404" s="50" t="str">
        <f>'WhatsApp Tracker'!AM401</f>
        <v>Low confidence: verify before sending</v>
      </c>
      <c r="O404" s="50" t="str">
        <f>'WhatsApp Tracker'!AC401</f>
        <v>Imported from extract_garden. Confidence: Low. Parsed from Assam Tea Directory row, verify before sending</v>
      </c>
    </row>
    <row r="405" spans="1:15" x14ac:dyDescent="0.25">
      <c r="A405" s="50">
        <f>'WhatsApp Tracker'!AH402</f>
        <v>9596</v>
      </c>
      <c r="B405" s="50" t="str">
        <f>'WhatsApp Tracker'!AA402</f>
        <v>Do not send</v>
      </c>
      <c r="C405" s="50" t="str">
        <f>'WhatsApp Tracker'!M402</f>
        <v>Hold</v>
      </c>
      <c r="D405" s="50">
        <f>'WhatsApp Tracker'!AN402</f>
        <v>5</v>
      </c>
      <c r="E405" s="50" t="str">
        <f>'WhatsApp Tracker'!AL402</f>
        <v>Parsed directory row</v>
      </c>
      <c r="F405" s="50" t="str">
        <f>'WhatsApp Tracker'!B402</f>
        <v>Imported contact</v>
      </c>
      <c r="G405" s="50">
        <f>'WhatsApp Tracker'!C402</f>
        <v>0</v>
      </c>
      <c r="H405" s="50" t="str">
        <f>'WhatsApp Tracker'!D402</f>
        <v>9435749958</v>
      </c>
      <c r="I405" s="50" t="str">
        <f>'WhatsApp Tracker'!T402</f>
        <v>Not sent</v>
      </c>
      <c r="J405" s="50" t="str">
        <f>'WhatsApp Tracker'!U402</f>
        <v>Unknown</v>
      </c>
      <c r="K405" s="50" t="str">
        <f>'WhatsApp Tracker'!V402</f>
        <v>Unknown</v>
      </c>
      <c r="L405" s="50" t="str">
        <f>'WhatsApp Tracker'!W402</f>
        <v>Not offered</v>
      </c>
      <c r="M405" s="51" t="str">
        <f>'WhatsApp Tracker'!X402</f>
        <v/>
      </c>
      <c r="N405" s="50" t="str">
        <f>'WhatsApp Tracker'!AM402</f>
        <v>Low confidence: verify before sending</v>
      </c>
      <c r="O405" s="50" t="str">
        <f>'WhatsApp Tracker'!AC402</f>
        <v>Imported from extract_garden. Confidence: Low. Parsed from Assam Tea Directory row, verify before sending</v>
      </c>
    </row>
    <row r="406" spans="1:15" x14ac:dyDescent="0.25">
      <c r="A406" s="50">
        <f>'WhatsApp Tracker'!AH403</f>
        <v>9596</v>
      </c>
      <c r="B406" s="50" t="str">
        <f>'WhatsApp Tracker'!AA403</f>
        <v>Do not send</v>
      </c>
      <c r="C406" s="50" t="str">
        <f>'WhatsApp Tracker'!M403</f>
        <v>Hold</v>
      </c>
      <c r="D406" s="50">
        <f>'WhatsApp Tracker'!AN403</f>
        <v>5</v>
      </c>
      <c r="E406" s="50" t="str">
        <f>'WhatsApp Tracker'!AL403</f>
        <v>Parsed directory row</v>
      </c>
      <c r="F406" s="50" t="str">
        <f>'WhatsApp Tracker'!B403</f>
        <v>Imported contact</v>
      </c>
      <c r="G406" s="50">
        <f>'WhatsApp Tracker'!C403</f>
        <v>0</v>
      </c>
      <c r="H406" s="50" t="str">
        <f>'WhatsApp Tracker'!D403</f>
        <v>9954910339</v>
      </c>
      <c r="I406" s="50" t="str">
        <f>'WhatsApp Tracker'!T403</f>
        <v>Not sent</v>
      </c>
      <c r="J406" s="50" t="str">
        <f>'WhatsApp Tracker'!U403</f>
        <v>Unknown</v>
      </c>
      <c r="K406" s="50" t="str">
        <f>'WhatsApp Tracker'!V403</f>
        <v>Unknown</v>
      </c>
      <c r="L406" s="50" t="str">
        <f>'WhatsApp Tracker'!W403</f>
        <v>Not offered</v>
      </c>
      <c r="M406" s="51" t="str">
        <f>'WhatsApp Tracker'!X403</f>
        <v/>
      </c>
      <c r="N406" s="50" t="str">
        <f>'WhatsApp Tracker'!AM403</f>
        <v>Low confidence: verify before sending</v>
      </c>
      <c r="O406" s="50" t="str">
        <f>'WhatsApp Tracker'!AC403</f>
        <v>Imported from extract_garden. Confidence: Low. Parsed from Assam Tea Directory row, verify before sending</v>
      </c>
    </row>
    <row r="407" spans="1:15" x14ac:dyDescent="0.25">
      <c r="A407" s="50">
        <f>'WhatsApp Tracker'!AH404</f>
        <v>9596</v>
      </c>
      <c r="B407" s="50" t="str">
        <f>'WhatsApp Tracker'!AA404</f>
        <v>Do not send</v>
      </c>
      <c r="C407" s="50" t="str">
        <f>'WhatsApp Tracker'!M404</f>
        <v>Hold</v>
      </c>
      <c r="D407" s="50">
        <f>'WhatsApp Tracker'!AN404</f>
        <v>5</v>
      </c>
      <c r="E407" s="50" t="str">
        <f>'WhatsApp Tracker'!AL404</f>
        <v>Parsed directory row</v>
      </c>
      <c r="F407" s="50" t="str">
        <f>'WhatsApp Tracker'!B404</f>
        <v>Imported contact</v>
      </c>
      <c r="G407" s="50">
        <f>'WhatsApp Tracker'!C404</f>
        <v>0</v>
      </c>
      <c r="H407" s="50" t="str">
        <f>'WhatsApp Tracker'!D404</f>
        <v>9854852587</v>
      </c>
      <c r="I407" s="50" t="str">
        <f>'WhatsApp Tracker'!T404</f>
        <v>Not sent</v>
      </c>
      <c r="J407" s="50" t="str">
        <f>'WhatsApp Tracker'!U404</f>
        <v>Unknown</v>
      </c>
      <c r="K407" s="50" t="str">
        <f>'WhatsApp Tracker'!V404</f>
        <v>Unknown</v>
      </c>
      <c r="L407" s="50" t="str">
        <f>'WhatsApp Tracker'!W404</f>
        <v>Not offered</v>
      </c>
      <c r="M407" s="51" t="str">
        <f>'WhatsApp Tracker'!X404</f>
        <v/>
      </c>
      <c r="N407" s="50" t="str">
        <f>'WhatsApp Tracker'!AM404</f>
        <v>Low confidence: verify before sending</v>
      </c>
      <c r="O407" s="50" t="str">
        <f>'WhatsApp Tracker'!AC404</f>
        <v>Imported from extract_garden. Confidence: Low. Parsed from Assam Tea Directory row, verify before sending</v>
      </c>
    </row>
    <row r="408" spans="1:15" x14ac:dyDescent="0.25">
      <c r="A408" s="50">
        <f>'WhatsApp Tracker'!AH405</f>
        <v>9596</v>
      </c>
      <c r="B408" s="50" t="str">
        <f>'WhatsApp Tracker'!AA405</f>
        <v>Do not send</v>
      </c>
      <c r="C408" s="50" t="str">
        <f>'WhatsApp Tracker'!M405</f>
        <v>Hold</v>
      </c>
      <c r="D408" s="50">
        <f>'WhatsApp Tracker'!AN405</f>
        <v>5</v>
      </c>
      <c r="E408" s="50" t="str">
        <f>'WhatsApp Tracker'!AL405</f>
        <v>Parsed directory row</v>
      </c>
      <c r="F408" s="50" t="str">
        <f>'WhatsApp Tracker'!B405</f>
        <v>Imported contact</v>
      </c>
      <c r="G408" s="50">
        <f>'WhatsApp Tracker'!C405</f>
        <v>0</v>
      </c>
      <c r="H408" s="50" t="str">
        <f>'WhatsApp Tracker'!D405</f>
        <v>9435839176</v>
      </c>
      <c r="I408" s="50" t="str">
        <f>'WhatsApp Tracker'!T405</f>
        <v>Not sent</v>
      </c>
      <c r="J408" s="50" t="str">
        <f>'WhatsApp Tracker'!U405</f>
        <v>Unknown</v>
      </c>
      <c r="K408" s="50" t="str">
        <f>'WhatsApp Tracker'!V405</f>
        <v>Unknown</v>
      </c>
      <c r="L408" s="50" t="str">
        <f>'WhatsApp Tracker'!W405</f>
        <v>Not offered</v>
      </c>
      <c r="M408" s="51" t="str">
        <f>'WhatsApp Tracker'!X405</f>
        <v/>
      </c>
      <c r="N408" s="50" t="str">
        <f>'WhatsApp Tracker'!AM405</f>
        <v>Low confidence: verify before sending</v>
      </c>
      <c r="O408" s="50" t="str">
        <f>'WhatsApp Tracker'!AC405</f>
        <v>Imported from extract_garden. Confidence: Low. Parsed from Assam Tea Directory row, verify before sending</v>
      </c>
    </row>
    <row r="409" spans="1:15" x14ac:dyDescent="0.25">
      <c r="A409" s="50">
        <f>'WhatsApp Tracker'!AH406</f>
        <v>9596</v>
      </c>
      <c r="B409" s="50" t="str">
        <f>'WhatsApp Tracker'!AA406</f>
        <v>Do not send</v>
      </c>
      <c r="C409" s="50" t="str">
        <f>'WhatsApp Tracker'!M406</f>
        <v>Hold</v>
      </c>
      <c r="D409" s="50">
        <f>'WhatsApp Tracker'!AN406</f>
        <v>5</v>
      </c>
      <c r="E409" s="50" t="str">
        <f>'WhatsApp Tracker'!AL406</f>
        <v>Parsed directory row</v>
      </c>
      <c r="F409" s="50" t="str">
        <f>'WhatsApp Tracker'!B406</f>
        <v>Imported contact</v>
      </c>
      <c r="G409" s="50">
        <f>'WhatsApp Tracker'!C406</f>
        <v>0</v>
      </c>
      <c r="H409" s="50" t="str">
        <f>'WhatsApp Tracker'!D406</f>
        <v>9435030011</v>
      </c>
      <c r="I409" s="50" t="str">
        <f>'WhatsApp Tracker'!T406</f>
        <v>Not sent</v>
      </c>
      <c r="J409" s="50" t="str">
        <f>'WhatsApp Tracker'!U406</f>
        <v>Unknown</v>
      </c>
      <c r="K409" s="50" t="str">
        <f>'WhatsApp Tracker'!V406</f>
        <v>Unknown</v>
      </c>
      <c r="L409" s="50" t="str">
        <f>'WhatsApp Tracker'!W406</f>
        <v>Not offered</v>
      </c>
      <c r="M409" s="51" t="str">
        <f>'WhatsApp Tracker'!X406</f>
        <v/>
      </c>
      <c r="N409" s="50" t="str">
        <f>'WhatsApp Tracker'!AM406</f>
        <v>Low confidence: verify before sending</v>
      </c>
      <c r="O409" s="50" t="str">
        <f>'WhatsApp Tracker'!AC406</f>
        <v>Imported from extract_garden. Confidence: Low. Parsed from Assam Tea Directory row, verify before sending</v>
      </c>
    </row>
    <row r="410" spans="1:15" x14ac:dyDescent="0.25">
      <c r="A410" s="50">
        <f>'WhatsApp Tracker'!AH407</f>
        <v>9596</v>
      </c>
      <c r="B410" s="50" t="str">
        <f>'WhatsApp Tracker'!AA407</f>
        <v>Do not send</v>
      </c>
      <c r="C410" s="50" t="str">
        <f>'WhatsApp Tracker'!M407</f>
        <v>Hold</v>
      </c>
      <c r="D410" s="50">
        <f>'WhatsApp Tracker'!AN407</f>
        <v>5</v>
      </c>
      <c r="E410" s="50" t="str">
        <f>'WhatsApp Tracker'!AL407</f>
        <v>Parsed directory row</v>
      </c>
      <c r="F410" s="50" t="str">
        <f>'WhatsApp Tracker'!B407</f>
        <v>Imported contact</v>
      </c>
      <c r="G410" s="50">
        <f>'WhatsApp Tracker'!C407</f>
        <v>0</v>
      </c>
      <c r="H410" s="50" t="str">
        <f>'WhatsApp Tracker'!D407</f>
        <v>9435085469</v>
      </c>
      <c r="I410" s="50" t="str">
        <f>'WhatsApp Tracker'!T407</f>
        <v>Not sent</v>
      </c>
      <c r="J410" s="50" t="str">
        <f>'WhatsApp Tracker'!U407</f>
        <v>Unknown</v>
      </c>
      <c r="K410" s="50" t="str">
        <f>'WhatsApp Tracker'!V407</f>
        <v>Unknown</v>
      </c>
      <c r="L410" s="50" t="str">
        <f>'WhatsApp Tracker'!W407</f>
        <v>Not offered</v>
      </c>
      <c r="M410" s="51" t="str">
        <f>'WhatsApp Tracker'!X407</f>
        <v/>
      </c>
      <c r="N410" s="50" t="str">
        <f>'WhatsApp Tracker'!AM407</f>
        <v>Low confidence: verify before sending</v>
      </c>
      <c r="O410" s="50" t="str">
        <f>'WhatsApp Tracker'!AC407</f>
        <v>Imported from extract_garden. Confidence: Low. Parsed from Assam Tea Directory row, verify before sending</v>
      </c>
    </row>
    <row r="411" spans="1:15" x14ac:dyDescent="0.25">
      <c r="A411" s="50">
        <f>'WhatsApp Tracker'!AH408</f>
        <v>9596</v>
      </c>
      <c r="B411" s="50" t="str">
        <f>'WhatsApp Tracker'!AA408</f>
        <v>Do not send</v>
      </c>
      <c r="C411" s="50" t="str">
        <f>'WhatsApp Tracker'!M408</f>
        <v>Hold</v>
      </c>
      <c r="D411" s="50">
        <f>'WhatsApp Tracker'!AN408</f>
        <v>5</v>
      </c>
      <c r="E411" s="50" t="str">
        <f>'WhatsApp Tracker'!AL408</f>
        <v>Parsed directory row</v>
      </c>
      <c r="F411" s="50" t="str">
        <f>'WhatsApp Tracker'!B408</f>
        <v>Imported contact</v>
      </c>
      <c r="G411" s="50">
        <f>'WhatsApp Tracker'!C408</f>
        <v>0</v>
      </c>
      <c r="H411" s="50" t="str">
        <f>'WhatsApp Tracker'!D408</f>
        <v>8822565079</v>
      </c>
      <c r="I411" s="50" t="str">
        <f>'WhatsApp Tracker'!T408</f>
        <v>Not sent</v>
      </c>
      <c r="J411" s="50" t="str">
        <f>'WhatsApp Tracker'!U408</f>
        <v>Unknown</v>
      </c>
      <c r="K411" s="50" t="str">
        <f>'WhatsApp Tracker'!V408</f>
        <v>Unknown</v>
      </c>
      <c r="L411" s="50" t="str">
        <f>'WhatsApp Tracker'!W408</f>
        <v>Not offered</v>
      </c>
      <c r="M411" s="51" t="str">
        <f>'WhatsApp Tracker'!X408</f>
        <v/>
      </c>
      <c r="N411" s="50" t="str">
        <f>'WhatsApp Tracker'!AM408</f>
        <v>Low confidence: verify before sending</v>
      </c>
      <c r="O411" s="50" t="str">
        <f>'WhatsApp Tracker'!AC408</f>
        <v>Imported from extract_garden. Confidence: Low. Parsed from Assam Tea Directory row, verify before sending</v>
      </c>
    </row>
    <row r="412" spans="1:15" x14ac:dyDescent="0.25">
      <c r="A412" s="50">
        <f>'WhatsApp Tracker'!AH409</f>
        <v>9596</v>
      </c>
      <c r="B412" s="50" t="str">
        <f>'WhatsApp Tracker'!AA409</f>
        <v>Do not send</v>
      </c>
      <c r="C412" s="50" t="str">
        <f>'WhatsApp Tracker'!M409</f>
        <v>Hold</v>
      </c>
      <c r="D412" s="50">
        <f>'WhatsApp Tracker'!AN409</f>
        <v>5</v>
      </c>
      <c r="E412" s="50" t="str">
        <f>'WhatsApp Tracker'!AL409</f>
        <v>Parsed directory row</v>
      </c>
      <c r="F412" s="50" t="str">
        <f>'WhatsApp Tracker'!B409</f>
        <v>Imported contact</v>
      </c>
      <c r="G412" s="50">
        <f>'WhatsApp Tracker'!C409</f>
        <v>0</v>
      </c>
      <c r="H412" s="50" t="str">
        <f>'WhatsApp Tracker'!D409</f>
        <v>9435135832</v>
      </c>
      <c r="I412" s="50" t="str">
        <f>'WhatsApp Tracker'!T409</f>
        <v>Not sent</v>
      </c>
      <c r="J412" s="50" t="str">
        <f>'WhatsApp Tracker'!U409</f>
        <v>Unknown</v>
      </c>
      <c r="K412" s="50" t="str">
        <f>'WhatsApp Tracker'!V409</f>
        <v>Unknown</v>
      </c>
      <c r="L412" s="50" t="str">
        <f>'WhatsApp Tracker'!W409</f>
        <v>Not offered</v>
      </c>
      <c r="M412" s="51" t="str">
        <f>'WhatsApp Tracker'!X409</f>
        <v/>
      </c>
      <c r="N412" s="50" t="str">
        <f>'WhatsApp Tracker'!AM409</f>
        <v>Low confidence: verify before sending</v>
      </c>
      <c r="O412" s="50" t="str">
        <f>'WhatsApp Tracker'!AC409</f>
        <v>Imported from extract_garden. Confidence: Low. Parsed from Assam Tea Directory row, verify before sending</v>
      </c>
    </row>
    <row r="413" spans="1:15" x14ac:dyDescent="0.25">
      <c r="A413" s="50">
        <f>'WhatsApp Tracker'!AH410</f>
        <v>9596</v>
      </c>
      <c r="B413" s="50" t="str">
        <f>'WhatsApp Tracker'!AA410</f>
        <v>Do not send</v>
      </c>
      <c r="C413" s="50" t="str">
        <f>'WhatsApp Tracker'!M410</f>
        <v>Hold</v>
      </c>
      <c r="D413" s="50">
        <f>'WhatsApp Tracker'!AN410</f>
        <v>5</v>
      </c>
      <c r="E413" s="50" t="str">
        <f>'WhatsApp Tracker'!AL410</f>
        <v>Parsed directory row</v>
      </c>
      <c r="F413" s="50" t="str">
        <f>'WhatsApp Tracker'!B410</f>
        <v>Imported contact</v>
      </c>
      <c r="G413" s="50">
        <f>'WhatsApp Tracker'!C410</f>
        <v>0</v>
      </c>
      <c r="H413" s="50" t="str">
        <f>'WhatsApp Tracker'!D410</f>
        <v>7896698216</v>
      </c>
      <c r="I413" s="50" t="str">
        <f>'WhatsApp Tracker'!T410</f>
        <v>Not sent</v>
      </c>
      <c r="J413" s="50" t="str">
        <f>'WhatsApp Tracker'!U410</f>
        <v>Unknown</v>
      </c>
      <c r="K413" s="50" t="str">
        <f>'WhatsApp Tracker'!V410</f>
        <v>Unknown</v>
      </c>
      <c r="L413" s="50" t="str">
        <f>'WhatsApp Tracker'!W410</f>
        <v>Not offered</v>
      </c>
      <c r="M413" s="51" t="str">
        <f>'WhatsApp Tracker'!X410</f>
        <v/>
      </c>
      <c r="N413" s="50" t="str">
        <f>'WhatsApp Tracker'!AM410</f>
        <v>Low confidence: verify before sending</v>
      </c>
      <c r="O413" s="50" t="str">
        <f>'WhatsApp Tracker'!AC410</f>
        <v>Imported from extract_garden. Confidence: Low. Parsed from Assam Tea Directory row, verify before sending</v>
      </c>
    </row>
    <row r="414" spans="1:15" x14ac:dyDescent="0.25">
      <c r="A414" s="50">
        <f>'WhatsApp Tracker'!AH411</f>
        <v>9596</v>
      </c>
      <c r="B414" s="50" t="str">
        <f>'WhatsApp Tracker'!AA411</f>
        <v>Do not send</v>
      </c>
      <c r="C414" s="50" t="str">
        <f>'WhatsApp Tracker'!M411</f>
        <v>Hold</v>
      </c>
      <c r="D414" s="50">
        <f>'WhatsApp Tracker'!AN411</f>
        <v>5</v>
      </c>
      <c r="E414" s="50" t="str">
        <f>'WhatsApp Tracker'!AL411</f>
        <v>Parsed directory row</v>
      </c>
      <c r="F414" s="50" t="str">
        <f>'WhatsApp Tracker'!B411</f>
        <v>Imported contact</v>
      </c>
      <c r="G414" s="50">
        <f>'WhatsApp Tracker'!C411</f>
        <v>0</v>
      </c>
      <c r="H414" s="50" t="str">
        <f>'WhatsApp Tracker'!D411</f>
        <v>9435132916</v>
      </c>
      <c r="I414" s="50" t="str">
        <f>'WhatsApp Tracker'!T411</f>
        <v>Not sent</v>
      </c>
      <c r="J414" s="50" t="str">
        <f>'WhatsApp Tracker'!U411</f>
        <v>Unknown</v>
      </c>
      <c r="K414" s="50" t="str">
        <f>'WhatsApp Tracker'!V411</f>
        <v>Unknown</v>
      </c>
      <c r="L414" s="50" t="str">
        <f>'WhatsApp Tracker'!W411</f>
        <v>Not offered</v>
      </c>
      <c r="M414" s="51" t="str">
        <f>'WhatsApp Tracker'!X411</f>
        <v/>
      </c>
      <c r="N414" s="50" t="str">
        <f>'WhatsApp Tracker'!AM411</f>
        <v>Low confidence: verify before sending</v>
      </c>
      <c r="O414" s="50" t="str">
        <f>'WhatsApp Tracker'!AC411</f>
        <v>Imported from extract_garden. Confidence: Low. Parsed from Assam Tea Directory row, verify before sending</v>
      </c>
    </row>
    <row r="415" spans="1:15" x14ac:dyDescent="0.25">
      <c r="A415" s="50">
        <f>'WhatsApp Tracker'!AH412</f>
        <v>9596</v>
      </c>
      <c r="B415" s="50" t="str">
        <f>'WhatsApp Tracker'!AA412</f>
        <v>Do not send</v>
      </c>
      <c r="C415" s="50" t="str">
        <f>'WhatsApp Tracker'!M412</f>
        <v>Hold</v>
      </c>
      <c r="D415" s="50">
        <f>'WhatsApp Tracker'!AN412</f>
        <v>5</v>
      </c>
      <c r="E415" s="50" t="str">
        <f>'WhatsApp Tracker'!AL412</f>
        <v>Parsed directory row</v>
      </c>
      <c r="F415" s="50" t="str">
        <f>'WhatsApp Tracker'!B412</f>
        <v>Imported contact</v>
      </c>
      <c r="G415" s="50">
        <f>'WhatsApp Tracker'!C412</f>
        <v>0</v>
      </c>
      <c r="H415" s="50" t="str">
        <f>'WhatsApp Tracker'!D412</f>
        <v>9830086837</v>
      </c>
      <c r="I415" s="50" t="str">
        <f>'WhatsApp Tracker'!T412</f>
        <v>Not sent</v>
      </c>
      <c r="J415" s="50" t="str">
        <f>'WhatsApp Tracker'!U412</f>
        <v>Unknown</v>
      </c>
      <c r="K415" s="50" t="str">
        <f>'WhatsApp Tracker'!V412</f>
        <v>Unknown</v>
      </c>
      <c r="L415" s="50" t="str">
        <f>'WhatsApp Tracker'!W412</f>
        <v>Not offered</v>
      </c>
      <c r="M415" s="51" t="str">
        <f>'WhatsApp Tracker'!X412</f>
        <v/>
      </c>
      <c r="N415" s="50" t="str">
        <f>'WhatsApp Tracker'!AM412</f>
        <v>Low confidence: verify before sending</v>
      </c>
      <c r="O415" s="50" t="str">
        <f>'WhatsApp Tracker'!AC412</f>
        <v>Imported from extract_garden. Confidence: Low. Parsed from Assam Tea Directory row, verify before sending</v>
      </c>
    </row>
    <row r="416" spans="1:15" x14ac:dyDescent="0.25">
      <c r="A416" s="50">
        <f>'WhatsApp Tracker'!AH413</f>
        <v>9596</v>
      </c>
      <c r="B416" s="50" t="str">
        <f>'WhatsApp Tracker'!AA413</f>
        <v>Do not send</v>
      </c>
      <c r="C416" s="50" t="str">
        <f>'WhatsApp Tracker'!M413</f>
        <v>Hold</v>
      </c>
      <c r="D416" s="50">
        <f>'WhatsApp Tracker'!AN413</f>
        <v>5</v>
      </c>
      <c r="E416" s="50" t="str">
        <f>'WhatsApp Tracker'!AL413</f>
        <v>Parsed directory row</v>
      </c>
      <c r="F416" s="50" t="str">
        <f>'WhatsApp Tracker'!B413</f>
        <v>Imported contact</v>
      </c>
      <c r="G416" s="50">
        <f>'WhatsApp Tracker'!C413</f>
        <v>0</v>
      </c>
      <c r="H416" s="50" t="str">
        <f>'WhatsApp Tracker'!D413</f>
        <v>9831462106</v>
      </c>
      <c r="I416" s="50" t="str">
        <f>'WhatsApp Tracker'!T413</f>
        <v>Not sent</v>
      </c>
      <c r="J416" s="50" t="str">
        <f>'WhatsApp Tracker'!U413</f>
        <v>Unknown</v>
      </c>
      <c r="K416" s="50" t="str">
        <f>'WhatsApp Tracker'!V413</f>
        <v>Unknown</v>
      </c>
      <c r="L416" s="50" t="str">
        <f>'WhatsApp Tracker'!W413</f>
        <v>Not offered</v>
      </c>
      <c r="M416" s="51" t="str">
        <f>'WhatsApp Tracker'!X413</f>
        <v/>
      </c>
      <c r="N416" s="50" t="str">
        <f>'WhatsApp Tracker'!AM413</f>
        <v>Low confidence: verify before sending</v>
      </c>
      <c r="O416" s="50" t="str">
        <f>'WhatsApp Tracker'!AC413</f>
        <v>Imported from extract_garden. Confidence: Low. Parsed from Assam Tea Directory row, verify before sending</v>
      </c>
    </row>
    <row r="417" spans="1:15" x14ac:dyDescent="0.25">
      <c r="A417" s="50">
        <f>'WhatsApp Tracker'!AH414</f>
        <v>9596</v>
      </c>
      <c r="B417" s="50" t="str">
        <f>'WhatsApp Tracker'!AA414</f>
        <v>Do not send</v>
      </c>
      <c r="C417" s="50" t="str">
        <f>'WhatsApp Tracker'!M414</f>
        <v>Hold</v>
      </c>
      <c r="D417" s="50">
        <f>'WhatsApp Tracker'!AN414</f>
        <v>5</v>
      </c>
      <c r="E417" s="50" t="str">
        <f>'WhatsApp Tracker'!AL414</f>
        <v>Parsed directory row</v>
      </c>
      <c r="F417" s="50" t="str">
        <f>'WhatsApp Tracker'!B414</f>
        <v>Imported contact</v>
      </c>
      <c r="G417" s="50">
        <f>'WhatsApp Tracker'!C414</f>
        <v>0</v>
      </c>
      <c r="H417" s="50" t="str">
        <f>'WhatsApp Tracker'!D414</f>
        <v>9435031800</v>
      </c>
      <c r="I417" s="50" t="str">
        <f>'WhatsApp Tracker'!T414</f>
        <v>Not sent</v>
      </c>
      <c r="J417" s="50" t="str">
        <f>'WhatsApp Tracker'!U414</f>
        <v>Unknown</v>
      </c>
      <c r="K417" s="50" t="str">
        <f>'WhatsApp Tracker'!V414</f>
        <v>Unknown</v>
      </c>
      <c r="L417" s="50" t="str">
        <f>'WhatsApp Tracker'!W414</f>
        <v>Not offered</v>
      </c>
      <c r="M417" s="51" t="str">
        <f>'WhatsApp Tracker'!X414</f>
        <v/>
      </c>
      <c r="N417" s="50" t="str">
        <f>'WhatsApp Tracker'!AM414</f>
        <v>Low confidence: verify before sending</v>
      </c>
      <c r="O417" s="50" t="str">
        <f>'WhatsApp Tracker'!AC414</f>
        <v>Imported from extract_garden. Confidence: Low. Parsed from Assam Tea Directory row, verify before sending</v>
      </c>
    </row>
    <row r="418" spans="1:15" x14ac:dyDescent="0.25">
      <c r="A418" s="50">
        <f>'WhatsApp Tracker'!AH415</f>
        <v>9596</v>
      </c>
      <c r="B418" s="50" t="str">
        <f>'WhatsApp Tracker'!AA415</f>
        <v>Do not send</v>
      </c>
      <c r="C418" s="50" t="str">
        <f>'WhatsApp Tracker'!M415</f>
        <v>Hold</v>
      </c>
      <c r="D418" s="50">
        <f>'WhatsApp Tracker'!AN415</f>
        <v>5</v>
      </c>
      <c r="E418" s="50" t="str">
        <f>'WhatsApp Tracker'!AL415</f>
        <v>Parsed directory row</v>
      </c>
      <c r="F418" s="50" t="str">
        <f>'WhatsApp Tracker'!B415</f>
        <v>Imported contact</v>
      </c>
      <c r="G418" s="50">
        <f>'WhatsApp Tracker'!C415</f>
        <v>0</v>
      </c>
      <c r="H418" s="50" t="str">
        <f>'WhatsApp Tracker'!D415</f>
        <v>9830380476</v>
      </c>
      <c r="I418" s="50" t="str">
        <f>'WhatsApp Tracker'!T415</f>
        <v>Not sent</v>
      </c>
      <c r="J418" s="50" t="str">
        <f>'WhatsApp Tracker'!U415</f>
        <v>Unknown</v>
      </c>
      <c r="K418" s="50" t="str">
        <f>'WhatsApp Tracker'!V415</f>
        <v>Unknown</v>
      </c>
      <c r="L418" s="50" t="str">
        <f>'WhatsApp Tracker'!W415</f>
        <v>Not offered</v>
      </c>
      <c r="M418" s="51" t="str">
        <f>'WhatsApp Tracker'!X415</f>
        <v/>
      </c>
      <c r="N418" s="50" t="str">
        <f>'WhatsApp Tracker'!AM415</f>
        <v>Low confidence: verify before sending</v>
      </c>
      <c r="O418" s="50" t="str">
        <f>'WhatsApp Tracker'!AC415</f>
        <v>Imported from extract_garden. Confidence: Low. Parsed from Assam Tea Directory row, verify before sending</v>
      </c>
    </row>
    <row r="419" spans="1:15" x14ac:dyDescent="0.25">
      <c r="A419" s="50">
        <f>'WhatsApp Tracker'!AH416</f>
        <v>9596</v>
      </c>
      <c r="B419" s="50" t="str">
        <f>'WhatsApp Tracker'!AA416</f>
        <v>Do not send</v>
      </c>
      <c r="C419" s="50" t="str">
        <f>'WhatsApp Tracker'!M416</f>
        <v>Hold</v>
      </c>
      <c r="D419" s="50">
        <f>'WhatsApp Tracker'!AN416</f>
        <v>5</v>
      </c>
      <c r="E419" s="50" t="str">
        <f>'WhatsApp Tracker'!AL416</f>
        <v>Parsed directory row</v>
      </c>
      <c r="F419" s="50" t="str">
        <f>'WhatsApp Tracker'!B416</f>
        <v>Imported contact</v>
      </c>
      <c r="G419" s="50">
        <f>'WhatsApp Tracker'!C416</f>
        <v>0</v>
      </c>
      <c r="H419" s="50" t="str">
        <f>'WhatsApp Tracker'!D416</f>
        <v>9707031264</v>
      </c>
      <c r="I419" s="50" t="str">
        <f>'WhatsApp Tracker'!T416</f>
        <v>Not sent</v>
      </c>
      <c r="J419" s="50" t="str">
        <f>'WhatsApp Tracker'!U416</f>
        <v>Unknown</v>
      </c>
      <c r="K419" s="50" t="str">
        <f>'WhatsApp Tracker'!V416</f>
        <v>Unknown</v>
      </c>
      <c r="L419" s="50" t="str">
        <f>'WhatsApp Tracker'!W416</f>
        <v>Not offered</v>
      </c>
      <c r="M419" s="51" t="str">
        <f>'WhatsApp Tracker'!X416</f>
        <v/>
      </c>
      <c r="N419" s="50" t="str">
        <f>'WhatsApp Tracker'!AM416</f>
        <v>Low confidence: verify before sending</v>
      </c>
      <c r="O419" s="50" t="str">
        <f>'WhatsApp Tracker'!AC416</f>
        <v>Imported from extract_garden. Confidence: Low. Parsed from Assam Tea Directory row, verify before sending</v>
      </c>
    </row>
    <row r="420" spans="1:15" x14ac:dyDescent="0.25">
      <c r="A420" s="50">
        <f>'WhatsApp Tracker'!AH417</f>
        <v>9596</v>
      </c>
      <c r="B420" s="50" t="str">
        <f>'WhatsApp Tracker'!AA417</f>
        <v>Do not send</v>
      </c>
      <c r="C420" s="50" t="str">
        <f>'WhatsApp Tracker'!M417</f>
        <v>Hold</v>
      </c>
      <c r="D420" s="50">
        <f>'WhatsApp Tracker'!AN417</f>
        <v>5</v>
      </c>
      <c r="E420" s="50" t="str">
        <f>'WhatsApp Tracker'!AL417</f>
        <v>Parsed directory row</v>
      </c>
      <c r="F420" s="50" t="str">
        <f>'WhatsApp Tracker'!B417</f>
        <v>Imported contact</v>
      </c>
      <c r="G420" s="50">
        <f>'WhatsApp Tracker'!C417</f>
        <v>0</v>
      </c>
      <c r="H420" s="50" t="str">
        <f>'WhatsApp Tracker'!D417</f>
        <v>9864041555</v>
      </c>
      <c r="I420" s="50" t="str">
        <f>'WhatsApp Tracker'!T417</f>
        <v>Not sent</v>
      </c>
      <c r="J420" s="50" t="str">
        <f>'WhatsApp Tracker'!U417</f>
        <v>Unknown</v>
      </c>
      <c r="K420" s="50" t="str">
        <f>'WhatsApp Tracker'!V417</f>
        <v>Unknown</v>
      </c>
      <c r="L420" s="50" t="str">
        <f>'WhatsApp Tracker'!W417</f>
        <v>Not offered</v>
      </c>
      <c r="M420" s="51" t="str">
        <f>'WhatsApp Tracker'!X417</f>
        <v/>
      </c>
      <c r="N420" s="50" t="str">
        <f>'WhatsApp Tracker'!AM417</f>
        <v>Low confidence: verify before sending</v>
      </c>
      <c r="O420" s="50" t="str">
        <f>'WhatsApp Tracker'!AC417</f>
        <v>Imported from extract_garden. Confidence: Low. Parsed from Assam Tea Directory row, verify before sending</v>
      </c>
    </row>
    <row r="421" spans="1:15" x14ac:dyDescent="0.25">
      <c r="A421" s="50">
        <f>'WhatsApp Tracker'!AH418</f>
        <v>9596</v>
      </c>
      <c r="B421" s="50" t="str">
        <f>'WhatsApp Tracker'!AA418</f>
        <v>Do not send</v>
      </c>
      <c r="C421" s="50" t="str">
        <f>'WhatsApp Tracker'!M418</f>
        <v>Hold</v>
      </c>
      <c r="D421" s="50">
        <f>'WhatsApp Tracker'!AN418</f>
        <v>5</v>
      </c>
      <c r="E421" s="50" t="str">
        <f>'WhatsApp Tracker'!AL418</f>
        <v>Parsed directory row</v>
      </c>
      <c r="F421" s="50" t="str">
        <f>'WhatsApp Tracker'!B418</f>
        <v>Imported contact</v>
      </c>
      <c r="G421" s="50">
        <f>'WhatsApp Tracker'!C418</f>
        <v>0</v>
      </c>
      <c r="H421" s="50" t="str">
        <f>'WhatsApp Tracker'!D418</f>
        <v>9435032677</v>
      </c>
      <c r="I421" s="50" t="str">
        <f>'WhatsApp Tracker'!T418</f>
        <v>Not sent</v>
      </c>
      <c r="J421" s="50" t="str">
        <f>'WhatsApp Tracker'!U418</f>
        <v>Unknown</v>
      </c>
      <c r="K421" s="50" t="str">
        <f>'WhatsApp Tracker'!V418</f>
        <v>Unknown</v>
      </c>
      <c r="L421" s="50" t="str">
        <f>'WhatsApp Tracker'!W418</f>
        <v>Not offered</v>
      </c>
      <c r="M421" s="51" t="str">
        <f>'WhatsApp Tracker'!X418</f>
        <v/>
      </c>
      <c r="N421" s="50" t="str">
        <f>'WhatsApp Tracker'!AM418</f>
        <v>Low confidence: verify before sending</v>
      </c>
      <c r="O421" s="50" t="str">
        <f>'WhatsApp Tracker'!AC418</f>
        <v>Imported from extract_garden. Confidence: Low. Parsed from Assam Tea Directory row, verify before sending</v>
      </c>
    </row>
    <row r="422" spans="1:15" x14ac:dyDescent="0.25">
      <c r="A422" s="50">
        <f>'WhatsApp Tracker'!AH419</f>
        <v>9596</v>
      </c>
      <c r="B422" s="50" t="str">
        <f>'WhatsApp Tracker'!AA419</f>
        <v>Do not send</v>
      </c>
      <c r="C422" s="50" t="str">
        <f>'WhatsApp Tracker'!M419</f>
        <v>Hold</v>
      </c>
      <c r="D422" s="50">
        <f>'WhatsApp Tracker'!AN419</f>
        <v>5</v>
      </c>
      <c r="E422" s="50" t="str">
        <f>'WhatsApp Tracker'!AL419</f>
        <v>Parsed directory row</v>
      </c>
      <c r="F422" s="50" t="str">
        <f>'WhatsApp Tracker'!B419</f>
        <v>Imported contact</v>
      </c>
      <c r="G422" s="50">
        <f>'WhatsApp Tracker'!C419</f>
        <v>0</v>
      </c>
      <c r="H422" s="50" t="str">
        <f>'WhatsApp Tracker'!D419</f>
        <v>9435700231</v>
      </c>
      <c r="I422" s="50" t="str">
        <f>'WhatsApp Tracker'!T419</f>
        <v>Not sent</v>
      </c>
      <c r="J422" s="50" t="str">
        <f>'WhatsApp Tracker'!U419</f>
        <v>Unknown</v>
      </c>
      <c r="K422" s="50" t="str">
        <f>'WhatsApp Tracker'!V419</f>
        <v>Unknown</v>
      </c>
      <c r="L422" s="50" t="str">
        <f>'WhatsApp Tracker'!W419</f>
        <v>Not offered</v>
      </c>
      <c r="M422" s="51" t="str">
        <f>'WhatsApp Tracker'!X419</f>
        <v/>
      </c>
      <c r="N422" s="50" t="str">
        <f>'WhatsApp Tracker'!AM419</f>
        <v>Low confidence: verify before sending</v>
      </c>
      <c r="O422" s="50" t="str">
        <f>'WhatsApp Tracker'!AC419</f>
        <v>Imported from extract_garden. Confidence: Low. Parsed from Assam Tea Directory row, verify before sending</v>
      </c>
    </row>
    <row r="423" spans="1:15" x14ac:dyDescent="0.25">
      <c r="A423" s="50">
        <f>'WhatsApp Tracker'!AH420</f>
        <v>9596</v>
      </c>
      <c r="B423" s="50" t="str">
        <f>'WhatsApp Tracker'!AA420</f>
        <v>Do not send</v>
      </c>
      <c r="C423" s="50" t="str">
        <f>'WhatsApp Tracker'!M420</f>
        <v>Hold</v>
      </c>
      <c r="D423" s="50">
        <f>'WhatsApp Tracker'!AN420</f>
        <v>5</v>
      </c>
      <c r="E423" s="50" t="str">
        <f>'WhatsApp Tracker'!AL420</f>
        <v>Parsed directory row</v>
      </c>
      <c r="F423" s="50" t="str">
        <f>'WhatsApp Tracker'!B420</f>
        <v>Imported contact</v>
      </c>
      <c r="G423" s="50">
        <f>'WhatsApp Tracker'!C420</f>
        <v>0</v>
      </c>
      <c r="H423" s="50" t="str">
        <f>'WhatsApp Tracker'!D420</f>
        <v>9330160950</v>
      </c>
      <c r="I423" s="50" t="str">
        <f>'WhatsApp Tracker'!T420</f>
        <v>Not sent</v>
      </c>
      <c r="J423" s="50" t="str">
        <f>'WhatsApp Tracker'!U420</f>
        <v>Unknown</v>
      </c>
      <c r="K423" s="50" t="str">
        <f>'WhatsApp Tracker'!V420</f>
        <v>Unknown</v>
      </c>
      <c r="L423" s="50" t="str">
        <f>'WhatsApp Tracker'!W420</f>
        <v>Not offered</v>
      </c>
      <c r="M423" s="51" t="str">
        <f>'WhatsApp Tracker'!X420</f>
        <v/>
      </c>
      <c r="N423" s="50" t="str">
        <f>'WhatsApp Tracker'!AM420</f>
        <v>Low confidence: verify before sending</v>
      </c>
      <c r="O423" s="50" t="str">
        <f>'WhatsApp Tracker'!AC420</f>
        <v>Imported from extract_garden. Confidence: Low. Parsed from Assam Tea Directory row, verify before sending</v>
      </c>
    </row>
    <row r="424" spans="1:15" x14ac:dyDescent="0.25">
      <c r="A424" s="50">
        <f>'WhatsApp Tracker'!AH421</f>
        <v>9596</v>
      </c>
      <c r="B424" s="50" t="str">
        <f>'WhatsApp Tracker'!AA421</f>
        <v>Do not send</v>
      </c>
      <c r="C424" s="50" t="str">
        <f>'WhatsApp Tracker'!M421</f>
        <v>Hold</v>
      </c>
      <c r="D424" s="50">
        <f>'WhatsApp Tracker'!AN421</f>
        <v>5</v>
      </c>
      <c r="E424" s="50" t="str">
        <f>'WhatsApp Tracker'!AL421</f>
        <v>Parsed directory row</v>
      </c>
      <c r="F424" s="50" t="str">
        <f>'WhatsApp Tracker'!B421</f>
        <v>Imported contact</v>
      </c>
      <c r="G424" s="50">
        <f>'WhatsApp Tracker'!C421</f>
        <v>0</v>
      </c>
      <c r="H424" s="50" t="str">
        <f>'WhatsApp Tracker'!D421</f>
        <v>9831387320</v>
      </c>
      <c r="I424" s="50" t="str">
        <f>'WhatsApp Tracker'!T421</f>
        <v>Not sent</v>
      </c>
      <c r="J424" s="50" t="str">
        <f>'WhatsApp Tracker'!U421</f>
        <v>Unknown</v>
      </c>
      <c r="K424" s="50" t="str">
        <f>'WhatsApp Tracker'!V421</f>
        <v>Unknown</v>
      </c>
      <c r="L424" s="50" t="str">
        <f>'WhatsApp Tracker'!W421</f>
        <v>Not offered</v>
      </c>
      <c r="M424" s="51" t="str">
        <f>'WhatsApp Tracker'!X421</f>
        <v/>
      </c>
      <c r="N424" s="50" t="str">
        <f>'WhatsApp Tracker'!AM421</f>
        <v>Low confidence: verify before sending</v>
      </c>
      <c r="O424" s="50" t="str">
        <f>'WhatsApp Tracker'!AC421</f>
        <v>Imported from extract_garden. Confidence: Low. Parsed from Assam Tea Directory row, verify before sending</v>
      </c>
    </row>
    <row r="425" spans="1:15" x14ac:dyDescent="0.25">
      <c r="A425" s="50">
        <f>'WhatsApp Tracker'!AH422</f>
        <v>9596</v>
      </c>
      <c r="B425" s="50" t="str">
        <f>'WhatsApp Tracker'!AA422</f>
        <v>Do not send</v>
      </c>
      <c r="C425" s="50" t="str">
        <f>'WhatsApp Tracker'!M422</f>
        <v>Hold</v>
      </c>
      <c r="D425" s="50">
        <f>'WhatsApp Tracker'!AN422</f>
        <v>5</v>
      </c>
      <c r="E425" s="50" t="str">
        <f>'WhatsApp Tracker'!AL422</f>
        <v>Parsed directory row</v>
      </c>
      <c r="F425" s="50" t="str">
        <f>'WhatsApp Tracker'!B422</f>
        <v>Imported contact</v>
      </c>
      <c r="G425" s="50">
        <f>'WhatsApp Tracker'!C422</f>
        <v>0</v>
      </c>
      <c r="H425" s="50" t="str">
        <f>'WhatsApp Tracker'!D422</f>
        <v>9401455862</v>
      </c>
      <c r="I425" s="50" t="str">
        <f>'WhatsApp Tracker'!T422</f>
        <v>Not sent</v>
      </c>
      <c r="J425" s="50" t="str">
        <f>'WhatsApp Tracker'!U422</f>
        <v>Unknown</v>
      </c>
      <c r="K425" s="50" t="str">
        <f>'WhatsApp Tracker'!V422</f>
        <v>Unknown</v>
      </c>
      <c r="L425" s="50" t="str">
        <f>'WhatsApp Tracker'!W422</f>
        <v>Not offered</v>
      </c>
      <c r="M425" s="51" t="str">
        <f>'WhatsApp Tracker'!X422</f>
        <v/>
      </c>
      <c r="N425" s="50" t="str">
        <f>'WhatsApp Tracker'!AM422</f>
        <v>Low confidence: verify before sending</v>
      </c>
      <c r="O425" s="50" t="str">
        <f>'WhatsApp Tracker'!AC422</f>
        <v>Imported from extract_garden. Confidence: Low. Parsed from Assam Tea Directory row, verify before sending</v>
      </c>
    </row>
    <row r="426" spans="1:15" x14ac:dyDescent="0.25">
      <c r="A426" s="50">
        <f>'WhatsApp Tracker'!AH423</f>
        <v>9596</v>
      </c>
      <c r="B426" s="50" t="str">
        <f>'WhatsApp Tracker'!AA423</f>
        <v>Do not send</v>
      </c>
      <c r="C426" s="50" t="str">
        <f>'WhatsApp Tracker'!M423</f>
        <v>Hold</v>
      </c>
      <c r="D426" s="50">
        <f>'WhatsApp Tracker'!AN423</f>
        <v>5</v>
      </c>
      <c r="E426" s="50" t="str">
        <f>'WhatsApp Tracker'!AL423</f>
        <v>Parsed directory row</v>
      </c>
      <c r="F426" s="50" t="str">
        <f>'WhatsApp Tracker'!B423</f>
        <v>Imported contact</v>
      </c>
      <c r="G426" s="50">
        <f>'WhatsApp Tracker'!C423</f>
        <v>0</v>
      </c>
      <c r="H426" s="50" t="str">
        <f>'WhatsApp Tracker'!D423</f>
        <v>9435108517</v>
      </c>
      <c r="I426" s="50" t="str">
        <f>'WhatsApp Tracker'!T423</f>
        <v>Not sent</v>
      </c>
      <c r="J426" s="50" t="str">
        <f>'WhatsApp Tracker'!U423</f>
        <v>Unknown</v>
      </c>
      <c r="K426" s="50" t="str">
        <f>'WhatsApp Tracker'!V423</f>
        <v>Unknown</v>
      </c>
      <c r="L426" s="50" t="str">
        <f>'WhatsApp Tracker'!W423</f>
        <v>Not offered</v>
      </c>
      <c r="M426" s="51" t="str">
        <f>'WhatsApp Tracker'!X423</f>
        <v/>
      </c>
      <c r="N426" s="50" t="str">
        <f>'WhatsApp Tracker'!AM423</f>
        <v>Low confidence: verify before sending</v>
      </c>
      <c r="O426" s="50" t="str">
        <f>'WhatsApp Tracker'!AC423</f>
        <v>Imported from extract_garden. Confidence: Low. Parsed from Assam Tea Directory row, verify before sending</v>
      </c>
    </row>
    <row r="427" spans="1:15" x14ac:dyDescent="0.25">
      <c r="A427" s="50">
        <f>'WhatsApp Tracker'!AH424</f>
        <v>9596</v>
      </c>
      <c r="B427" s="50" t="str">
        <f>'WhatsApp Tracker'!AA424</f>
        <v>Do not send</v>
      </c>
      <c r="C427" s="50" t="str">
        <f>'WhatsApp Tracker'!M424</f>
        <v>Hold</v>
      </c>
      <c r="D427" s="50">
        <f>'WhatsApp Tracker'!AN424</f>
        <v>5</v>
      </c>
      <c r="E427" s="50" t="str">
        <f>'WhatsApp Tracker'!AL424</f>
        <v>Parsed directory row</v>
      </c>
      <c r="F427" s="50" t="str">
        <f>'WhatsApp Tracker'!B424</f>
        <v>Imported contact</v>
      </c>
      <c r="G427" s="50">
        <f>'WhatsApp Tracker'!C424</f>
        <v>0</v>
      </c>
      <c r="H427" s="50" t="str">
        <f>'WhatsApp Tracker'!D424</f>
        <v>9954214299</v>
      </c>
      <c r="I427" s="50" t="str">
        <f>'WhatsApp Tracker'!T424</f>
        <v>Not sent</v>
      </c>
      <c r="J427" s="50" t="str">
        <f>'WhatsApp Tracker'!U424</f>
        <v>Unknown</v>
      </c>
      <c r="K427" s="50" t="str">
        <f>'WhatsApp Tracker'!V424</f>
        <v>Unknown</v>
      </c>
      <c r="L427" s="50" t="str">
        <f>'WhatsApp Tracker'!W424</f>
        <v>Not offered</v>
      </c>
      <c r="M427" s="51" t="str">
        <f>'WhatsApp Tracker'!X424</f>
        <v/>
      </c>
      <c r="N427" s="50" t="str">
        <f>'WhatsApp Tracker'!AM424</f>
        <v>Low confidence: verify before sending</v>
      </c>
      <c r="O427" s="50" t="str">
        <f>'WhatsApp Tracker'!AC424</f>
        <v>Imported from extract_garden. Confidence: Low. Parsed from Assam Tea Directory row, verify before sending</v>
      </c>
    </row>
    <row r="428" spans="1:15" x14ac:dyDescent="0.25">
      <c r="A428" s="50">
        <f>'WhatsApp Tracker'!AH425</f>
        <v>9596</v>
      </c>
      <c r="B428" s="50" t="str">
        <f>'WhatsApp Tracker'!AA425</f>
        <v>Do not send</v>
      </c>
      <c r="C428" s="50" t="str">
        <f>'WhatsApp Tracker'!M425</f>
        <v>Hold</v>
      </c>
      <c r="D428" s="50">
        <f>'WhatsApp Tracker'!AN425</f>
        <v>5</v>
      </c>
      <c r="E428" s="50" t="str">
        <f>'WhatsApp Tracker'!AL425</f>
        <v>Parsed directory row</v>
      </c>
      <c r="F428" s="50" t="str">
        <f>'WhatsApp Tracker'!B425</f>
        <v>Imported contact</v>
      </c>
      <c r="G428" s="50">
        <f>'WhatsApp Tracker'!C425</f>
        <v>0</v>
      </c>
      <c r="H428" s="50" t="str">
        <f>'WhatsApp Tracker'!D425</f>
        <v>9435106515</v>
      </c>
      <c r="I428" s="50" t="str">
        <f>'WhatsApp Tracker'!T425</f>
        <v>Not sent</v>
      </c>
      <c r="J428" s="50" t="str">
        <f>'WhatsApp Tracker'!U425</f>
        <v>Unknown</v>
      </c>
      <c r="K428" s="50" t="str">
        <f>'WhatsApp Tracker'!V425</f>
        <v>Unknown</v>
      </c>
      <c r="L428" s="50" t="str">
        <f>'WhatsApp Tracker'!W425</f>
        <v>Not offered</v>
      </c>
      <c r="M428" s="51" t="str">
        <f>'WhatsApp Tracker'!X425</f>
        <v/>
      </c>
      <c r="N428" s="50" t="str">
        <f>'WhatsApp Tracker'!AM425</f>
        <v>Low confidence: verify before sending</v>
      </c>
      <c r="O428" s="50" t="str">
        <f>'WhatsApp Tracker'!AC425</f>
        <v>Imported from extract_garden. Confidence: Low. Parsed from Assam Tea Directory row, verify before sending</v>
      </c>
    </row>
    <row r="429" spans="1:15" x14ac:dyDescent="0.25">
      <c r="A429" s="50">
        <f>'WhatsApp Tracker'!AH426</f>
        <v>9596</v>
      </c>
      <c r="B429" s="50" t="str">
        <f>'WhatsApp Tracker'!AA426</f>
        <v>Do not send</v>
      </c>
      <c r="C429" s="50" t="str">
        <f>'WhatsApp Tracker'!M426</f>
        <v>Hold</v>
      </c>
      <c r="D429" s="50">
        <f>'WhatsApp Tracker'!AN426</f>
        <v>5</v>
      </c>
      <c r="E429" s="50" t="str">
        <f>'WhatsApp Tracker'!AL426</f>
        <v>Parsed directory row</v>
      </c>
      <c r="F429" s="50" t="str">
        <f>'WhatsApp Tracker'!B426</f>
        <v>785</v>
      </c>
      <c r="G429" s="50" t="str">
        <f>'WhatsApp Tracker'!C426</f>
        <v>785</v>
      </c>
      <c r="H429" s="50" t="str">
        <f>'WhatsApp Tracker'!D426</f>
        <v>9854820705</v>
      </c>
      <c r="I429" s="50" t="str">
        <f>'WhatsApp Tracker'!T426</f>
        <v>Not sent</v>
      </c>
      <c r="J429" s="50" t="str">
        <f>'WhatsApp Tracker'!U426</f>
        <v>Unknown</v>
      </c>
      <c r="K429" s="50" t="str">
        <f>'WhatsApp Tracker'!V426</f>
        <v>Unknown</v>
      </c>
      <c r="L429" s="50" t="str">
        <f>'WhatsApp Tracker'!W426</f>
        <v>Not offered</v>
      </c>
      <c r="M429" s="51" t="str">
        <f>'WhatsApp Tracker'!X426</f>
        <v/>
      </c>
      <c r="N429" s="50" t="str">
        <f>'WhatsApp Tracker'!AM426</f>
        <v>Low confidence: verify before sending</v>
      </c>
      <c r="O429" s="50" t="str">
        <f>'WhatsApp Tracker'!AC426</f>
        <v>Imported from extract_garden. Confidence: Low. Parsed from Assam Tea Directory row, verify before sending</v>
      </c>
    </row>
    <row r="430" spans="1:15" x14ac:dyDescent="0.25">
      <c r="A430" s="50">
        <f>'WhatsApp Tracker'!AH427</f>
        <v>9596</v>
      </c>
      <c r="B430" s="50" t="str">
        <f>'WhatsApp Tracker'!AA427</f>
        <v>Do not send</v>
      </c>
      <c r="C430" s="50" t="str">
        <f>'WhatsApp Tracker'!M427</f>
        <v>Hold</v>
      </c>
      <c r="D430" s="50">
        <f>'WhatsApp Tracker'!AN427</f>
        <v>5</v>
      </c>
      <c r="E430" s="50" t="str">
        <f>'WhatsApp Tracker'!AL427</f>
        <v>Parsed directory row</v>
      </c>
      <c r="F430" s="50" t="str">
        <f>'WhatsApp Tracker'!B427</f>
        <v>Imported contact</v>
      </c>
      <c r="G430" s="50">
        <f>'WhatsApp Tracker'!C427</f>
        <v>0</v>
      </c>
      <c r="H430" s="50" t="str">
        <f>'WhatsApp Tracker'!D427</f>
        <v>9854193022</v>
      </c>
      <c r="I430" s="50" t="str">
        <f>'WhatsApp Tracker'!T427</f>
        <v>Not sent</v>
      </c>
      <c r="J430" s="50" t="str">
        <f>'WhatsApp Tracker'!U427</f>
        <v>Unknown</v>
      </c>
      <c r="K430" s="50" t="str">
        <f>'WhatsApp Tracker'!V427</f>
        <v>Unknown</v>
      </c>
      <c r="L430" s="50" t="str">
        <f>'WhatsApp Tracker'!W427</f>
        <v>Not offered</v>
      </c>
      <c r="M430" s="51" t="str">
        <f>'WhatsApp Tracker'!X427</f>
        <v/>
      </c>
      <c r="N430" s="50" t="str">
        <f>'WhatsApp Tracker'!AM427</f>
        <v>Low confidence: verify before sending</v>
      </c>
      <c r="O430" s="50" t="str">
        <f>'WhatsApp Tracker'!AC427</f>
        <v>Imported from extract_garden. Confidence: Low. Parsed from Assam Tea Directory row, verify before sending</v>
      </c>
    </row>
    <row r="431" spans="1:15" x14ac:dyDescent="0.25">
      <c r="A431" s="50">
        <f>'WhatsApp Tracker'!AH428</f>
        <v>9596</v>
      </c>
      <c r="B431" s="50" t="str">
        <f>'WhatsApp Tracker'!AA428</f>
        <v>Do not send</v>
      </c>
      <c r="C431" s="50" t="str">
        <f>'WhatsApp Tracker'!M428</f>
        <v>Hold</v>
      </c>
      <c r="D431" s="50">
        <f>'WhatsApp Tracker'!AN428</f>
        <v>5</v>
      </c>
      <c r="E431" s="50" t="str">
        <f>'WhatsApp Tracker'!AL428</f>
        <v>Parsed directory row</v>
      </c>
      <c r="F431" s="50" t="str">
        <f>'WhatsApp Tracker'!B428</f>
        <v>Imported contact</v>
      </c>
      <c r="G431" s="50">
        <f>'WhatsApp Tracker'!C428</f>
        <v>0</v>
      </c>
      <c r="H431" s="50" t="str">
        <f>'WhatsApp Tracker'!D428</f>
        <v>9435092302</v>
      </c>
      <c r="I431" s="50" t="str">
        <f>'WhatsApp Tracker'!T428</f>
        <v>Not sent</v>
      </c>
      <c r="J431" s="50" t="str">
        <f>'WhatsApp Tracker'!U428</f>
        <v>Unknown</v>
      </c>
      <c r="K431" s="50" t="str">
        <f>'WhatsApp Tracker'!V428</f>
        <v>Unknown</v>
      </c>
      <c r="L431" s="50" t="str">
        <f>'WhatsApp Tracker'!W428</f>
        <v>Not offered</v>
      </c>
      <c r="M431" s="51" t="str">
        <f>'WhatsApp Tracker'!X428</f>
        <v/>
      </c>
      <c r="N431" s="50" t="str">
        <f>'WhatsApp Tracker'!AM428</f>
        <v>Low confidence: verify before sending</v>
      </c>
      <c r="O431" s="50" t="str">
        <f>'WhatsApp Tracker'!AC428</f>
        <v>Imported from extract_garden. Confidence: Low. Parsed from Assam Tea Directory row, verify before sending</v>
      </c>
    </row>
    <row r="432" spans="1:15" x14ac:dyDescent="0.25">
      <c r="A432" s="50">
        <f>'WhatsApp Tracker'!AH429</f>
        <v>9596</v>
      </c>
      <c r="B432" s="50" t="str">
        <f>'WhatsApp Tracker'!AA429</f>
        <v>Do not send</v>
      </c>
      <c r="C432" s="50" t="str">
        <f>'WhatsApp Tracker'!M429</f>
        <v>Hold</v>
      </c>
      <c r="D432" s="50">
        <f>'WhatsApp Tracker'!AN429</f>
        <v>5</v>
      </c>
      <c r="E432" s="50" t="str">
        <f>'WhatsApp Tracker'!AL429</f>
        <v>Parsed directory row</v>
      </c>
      <c r="F432" s="50" t="str">
        <f>'WhatsApp Tracker'!B429</f>
        <v>Imported contact</v>
      </c>
      <c r="G432" s="50">
        <f>'WhatsApp Tracker'!C429</f>
        <v>0</v>
      </c>
      <c r="H432" s="50" t="str">
        <f>'WhatsApp Tracker'!D429</f>
        <v>9577075792</v>
      </c>
      <c r="I432" s="50" t="str">
        <f>'WhatsApp Tracker'!T429</f>
        <v>Not sent</v>
      </c>
      <c r="J432" s="50" t="str">
        <f>'WhatsApp Tracker'!U429</f>
        <v>Unknown</v>
      </c>
      <c r="K432" s="50" t="str">
        <f>'WhatsApp Tracker'!V429</f>
        <v>Unknown</v>
      </c>
      <c r="L432" s="50" t="str">
        <f>'WhatsApp Tracker'!W429</f>
        <v>Not offered</v>
      </c>
      <c r="M432" s="51" t="str">
        <f>'WhatsApp Tracker'!X429</f>
        <v/>
      </c>
      <c r="N432" s="50" t="str">
        <f>'WhatsApp Tracker'!AM429</f>
        <v>Low confidence: verify before sending</v>
      </c>
      <c r="O432" s="50" t="str">
        <f>'WhatsApp Tracker'!AC429</f>
        <v>Imported from extract_garden. Confidence: Low. Parsed from Assam Tea Directory row, verify before sending</v>
      </c>
    </row>
    <row r="433" spans="1:15" x14ac:dyDescent="0.25">
      <c r="A433" s="50">
        <f>'WhatsApp Tracker'!AH430</f>
        <v>9596</v>
      </c>
      <c r="B433" s="50" t="str">
        <f>'WhatsApp Tracker'!AA430</f>
        <v>Do not send</v>
      </c>
      <c r="C433" s="50" t="str">
        <f>'WhatsApp Tracker'!M430</f>
        <v>Hold</v>
      </c>
      <c r="D433" s="50">
        <f>'WhatsApp Tracker'!AN430</f>
        <v>5</v>
      </c>
      <c r="E433" s="50" t="str">
        <f>'WhatsApp Tracker'!AL430</f>
        <v>Parsed directory row</v>
      </c>
      <c r="F433" s="50" t="str">
        <f>'WhatsApp Tracker'!B430</f>
        <v>Imported contact</v>
      </c>
      <c r="G433" s="50">
        <f>'WhatsApp Tracker'!C430</f>
        <v>0</v>
      </c>
      <c r="H433" s="50" t="str">
        <f>'WhatsApp Tracker'!D430</f>
        <v>9401037473</v>
      </c>
      <c r="I433" s="50" t="str">
        <f>'WhatsApp Tracker'!T430</f>
        <v>Not sent</v>
      </c>
      <c r="J433" s="50" t="str">
        <f>'WhatsApp Tracker'!U430</f>
        <v>Unknown</v>
      </c>
      <c r="K433" s="50" t="str">
        <f>'WhatsApp Tracker'!V430</f>
        <v>Unknown</v>
      </c>
      <c r="L433" s="50" t="str">
        <f>'WhatsApp Tracker'!W430</f>
        <v>Not offered</v>
      </c>
      <c r="M433" s="51" t="str">
        <f>'WhatsApp Tracker'!X430</f>
        <v/>
      </c>
      <c r="N433" s="50" t="str">
        <f>'WhatsApp Tracker'!AM430</f>
        <v>Low confidence: verify before sending</v>
      </c>
      <c r="O433" s="50" t="str">
        <f>'WhatsApp Tracker'!AC430</f>
        <v>Imported from extract_garden. Confidence: Low. Parsed from Assam Tea Directory row, verify before sending</v>
      </c>
    </row>
    <row r="434" spans="1:15" x14ac:dyDescent="0.25">
      <c r="A434" s="50">
        <f>'WhatsApp Tracker'!AH431</f>
        <v>9596</v>
      </c>
      <c r="B434" s="50" t="str">
        <f>'WhatsApp Tracker'!AA431</f>
        <v>Do not send</v>
      </c>
      <c r="C434" s="50" t="str">
        <f>'WhatsApp Tracker'!M431</f>
        <v>Hold</v>
      </c>
      <c r="D434" s="50">
        <f>'WhatsApp Tracker'!AN431</f>
        <v>5</v>
      </c>
      <c r="E434" s="50" t="str">
        <f>'WhatsApp Tracker'!AL431</f>
        <v>Parsed directory row</v>
      </c>
      <c r="F434" s="50" t="str">
        <f>'WhatsApp Tracker'!B431</f>
        <v>Imported contact</v>
      </c>
      <c r="G434" s="50">
        <f>'WhatsApp Tracker'!C431</f>
        <v>0</v>
      </c>
      <c r="H434" s="50" t="str">
        <f>'WhatsApp Tracker'!D431</f>
        <v>9864397908</v>
      </c>
      <c r="I434" s="50" t="str">
        <f>'WhatsApp Tracker'!T431</f>
        <v>Not sent</v>
      </c>
      <c r="J434" s="50" t="str">
        <f>'WhatsApp Tracker'!U431</f>
        <v>Unknown</v>
      </c>
      <c r="K434" s="50" t="str">
        <f>'WhatsApp Tracker'!V431</f>
        <v>Unknown</v>
      </c>
      <c r="L434" s="50" t="str">
        <f>'WhatsApp Tracker'!W431</f>
        <v>Not offered</v>
      </c>
      <c r="M434" s="51" t="str">
        <f>'WhatsApp Tracker'!X431</f>
        <v/>
      </c>
      <c r="N434" s="50" t="str">
        <f>'WhatsApp Tracker'!AM431</f>
        <v>Low confidence: verify before sending</v>
      </c>
      <c r="O434" s="50" t="str">
        <f>'WhatsApp Tracker'!AC431</f>
        <v>Imported from extract_garden. Confidence: Low. Parsed from Assam Tea Directory row, verify before sending</v>
      </c>
    </row>
    <row r="435" spans="1:15" x14ac:dyDescent="0.25">
      <c r="A435" s="50">
        <f>'WhatsApp Tracker'!AH432</f>
        <v>9596</v>
      </c>
      <c r="B435" s="50" t="str">
        <f>'WhatsApp Tracker'!AA432</f>
        <v>Do not send</v>
      </c>
      <c r="C435" s="50" t="str">
        <f>'WhatsApp Tracker'!M432</f>
        <v>Hold</v>
      </c>
      <c r="D435" s="50">
        <f>'WhatsApp Tracker'!AN432</f>
        <v>5</v>
      </c>
      <c r="E435" s="50" t="str">
        <f>'WhatsApp Tracker'!AL432</f>
        <v>Parsed directory row</v>
      </c>
      <c r="F435" s="50" t="str">
        <f>'WhatsApp Tracker'!B432</f>
        <v>Imported contact</v>
      </c>
      <c r="G435" s="50">
        <f>'WhatsApp Tracker'!C432</f>
        <v>0</v>
      </c>
      <c r="H435" s="50" t="str">
        <f>'WhatsApp Tracker'!D432</f>
        <v>9435055792</v>
      </c>
      <c r="I435" s="50" t="str">
        <f>'WhatsApp Tracker'!T432</f>
        <v>Not sent</v>
      </c>
      <c r="J435" s="50" t="str">
        <f>'WhatsApp Tracker'!U432</f>
        <v>Unknown</v>
      </c>
      <c r="K435" s="50" t="str">
        <f>'WhatsApp Tracker'!V432</f>
        <v>Unknown</v>
      </c>
      <c r="L435" s="50" t="str">
        <f>'WhatsApp Tracker'!W432</f>
        <v>Not offered</v>
      </c>
      <c r="M435" s="51" t="str">
        <f>'WhatsApp Tracker'!X432</f>
        <v/>
      </c>
      <c r="N435" s="50" t="str">
        <f>'WhatsApp Tracker'!AM432</f>
        <v>Low confidence: verify before sending</v>
      </c>
      <c r="O435" s="50" t="str">
        <f>'WhatsApp Tracker'!AC432</f>
        <v>Imported from extract_garden. Confidence: Low. Parsed from Assam Tea Directory row, verify before sending</v>
      </c>
    </row>
    <row r="436" spans="1:15" x14ac:dyDescent="0.25">
      <c r="A436" s="50">
        <f>'WhatsApp Tracker'!AH433</f>
        <v>9596</v>
      </c>
      <c r="B436" s="50" t="str">
        <f>'WhatsApp Tracker'!AA433</f>
        <v>Do not send</v>
      </c>
      <c r="C436" s="50" t="str">
        <f>'WhatsApp Tracker'!M433</f>
        <v>Hold</v>
      </c>
      <c r="D436" s="50">
        <f>'WhatsApp Tracker'!AN433</f>
        <v>5</v>
      </c>
      <c r="E436" s="50" t="str">
        <f>'WhatsApp Tracker'!AL433</f>
        <v>Parsed directory row</v>
      </c>
      <c r="F436" s="50" t="str">
        <f>'WhatsApp Tracker'!B433</f>
        <v>Imported contact</v>
      </c>
      <c r="G436" s="50">
        <f>'WhatsApp Tracker'!C433</f>
        <v>0</v>
      </c>
      <c r="H436" s="50" t="str">
        <f>'WhatsApp Tracker'!D433</f>
        <v>9435339955</v>
      </c>
      <c r="I436" s="50" t="str">
        <f>'WhatsApp Tracker'!T433</f>
        <v>Not sent</v>
      </c>
      <c r="J436" s="50" t="str">
        <f>'WhatsApp Tracker'!U433</f>
        <v>Unknown</v>
      </c>
      <c r="K436" s="50" t="str">
        <f>'WhatsApp Tracker'!V433</f>
        <v>Unknown</v>
      </c>
      <c r="L436" s="50" t="str">
        <f>'WhatsApp Tracker'!W433</f>
        <v>Not offered</v>
      </c>
      <c r="M436" s="51" t="str">
        <f>'WhatsApp Tracker'!X433</f>
        <v/>
      </c>
      <c r="N436" s="50" t="str">
        <f>'WhatsApp Tracker'!AM433</f>
        <v>Low confidence: verify before sending</v>
      </c>
      <c r="O436" s="50" t="str">
        <f>'WhatsApp Tracker'!AC433</f>
        <v>Imported from extract_garden. Confidence: Low. Parsed from Assam Tea Directory row, verify before sending</v>
      </c>
    </row>
    <row r="437" spans="1:15" x14ac:dyDescent="0.25">
      <c r="A437" s="50">
        <f>'WhatsApp Tracker'!AH434</f>
        <v>9596</v>
      </c>
      <c r="B437" s="50" t="str">
        <f>'WhatsApp Tracker'!AA434</f>
        <v>Do not send</v>
      </c>
      <c r="C437" s="50" t="str">
        <f>'WhatsApp Tracker'!M434</f>
        <v>Hold</v>
      </c>
      <c r="D437" s="50">
        <f>'WhatsApp Tracker'!AN434</f>
        <v>5</v>
      </c>
      <c r="E437" s="50" t="str">
        <f>'WhatsApp Tracker'!AL434</f>
        <v>Parsed directory row</v>
      </c>
      <c r="F437" s="50" t="str">
        <f>'WhatsApp Tracker'!B434</f>
        <v>Imported contact</v>
      </c>
      <c r="G437" s="50">
        <f>'WhatsApp Tracker'!C434</f>
        <v>0</v>
      </c>
      <c r="H437" s="50" t="str">
        <f>'WhatsApp Tracker'!D434</f>
        <v>9854082536</v>
      </c>
      <c r="I437" s="50" t="str">
        <f>'WhatsApp Tracker'!T434</f>
        <v>Not sent</v>
      </c>
      <c r="J437" s="50" t="str">
        <f>'WhatsApp Tracker'!U434</f>
        <v>Unknown</v>
      </c>
      <c r="K437" s="50" t="str">
        <f>'WhatsApp Tracker'!V434</f>
        <v>Unknown</v>
      </c>
      <c r="L437" s="50" t="str">
        <f>'WhatsApp Tracker'!W434</f>
        <v>Not offered</v>
      </c>
      <c r="M437" s="51" t="str">
        <f>'WhatsApp Tracker'!X434</f>
        <v/>
      </c>
      <c r="N437" s="50" t="str">
        <f>'WhatsApp Tracker'!AM434</f>
        <v>Low confidence: verify before sending</v>
      </c>
      <c r="O437" s="50" t="str">
        <f>'WhatsApp Tracker'!AC434</f>
        <v>Imported from extract_garden. Confidence: Low. Parsed from Assam Tea Directory row, verify before sending</v>
      </c>
    </row>
    <row r="438" spans="1:15" x14ac:dyDescent="0.25">
      <c r="A438" s="50">
        <f>'WhatsApp Tracker'!AH435</f>
        <v>9596</v>
      </c>
      <c r="B438" s="50" t="str">
        <f>'WhatsApp Tracker'!AA435</f>
        <v>Do not send</v>
      </c>
      <c r="C438" s="50" t="str">
        <f>'WhatsApp Tracker'!M435</f>
        <v>Hold</v>
      </c>
      <c r="D438" s="50">
        <f>'WhatsApp Tracker'!AN435</f>
        <v>5</v>
      </c>
      <c r="E438" s="50" t="str">
        <f>'WhatsApp Tracker'!AL435</f>
        <v>Parsed directory row</v>
      </c>
      <c r="F438" s="50" t="str">
        <f>'WhatsApp Tracker'!B435</f>
        <v>Imported contact</v>
      </c>
      <c r="G438" s="50">
        <f>'WhatsApp Tracker'!C435</f>
        <v>0</v>
      </c>
      <c r="H438" s="50" t="str">
        <f>'WhatsApp Tracker'!D435</f>
        <v>9854082539</v>
      </c>
      <c r="I438" s="50" t="str">
        <f>'WhatsApp Tracker'!T435</f>
        <v>Not sent</v>
      </c>
      <c r="J438" s="50" t="str">
        <f>'WhatsApp Tracker'!U435</f>
        <v>Unknown</v>
      </c>
      <c r="K438" s="50" t="str">
        <f>'WhatsApp Tracker'!V435</f>
        <v>Unknown</v>
      </c>
      <c r="L438" s="50" t="str">
        <f>'WhatsApp Tracker'!W435</f>
        <v>Not offered</v>
      </c>
      <c r="M438" s="51" t="str">
        <f>'WhatsApp Tracker'!X435</f>
        <v/>
      </c>
      <c r="N438" s="50" t="str">
        <f>'WhatsApp Tracker'!AM435</f>
        <v>Low confidence: verify before sending</v>
      </c>
      <c r="O438" s="50" t="str">
        <f>'WhatsApp Tracker'!AC435</f>
        <v>Imported from extract_garden. Confidence: Low. Parsed from Assam Tea Directory row, verify before sending</v>
      </c>
    </row>
    <row r="439" spans="1:15" x14ac:dyDescent="0.25">
      <c r="A439" s="50">
        <f>'WhatsApp Tracker'!AH436</f>
        <v>9596</v>
      </c>
      <c r="B439" s="50" t="str">
        <f>'WhatsApp Tracker'!AA436</f>
        <v>Do not send</v>
      </c>
      <c r="C439" s="50" t="str">
        <f>'WhatsApp Tracker'!M436</f>
        <v>Hold</v>
      </c>
      <c r="D439" s="50">
        <f>'WhatsApp Tracker'!AN436</f>
        <v>5</v>
      </c>
      <c r="E439" s="50" t="str">
        <f>'WhatsApp Tracker'!AL436</f>
        <v>Parsed directory row</v>
      </c>
      <c r="F439" s="50" t="str">
        <f>'WhatsApp Tracker'!B436</f>
        <v>Imported contact</v>
      </c>
      <c r="G439" s="50">
        <f>'WhatsApp Tracker'!C436</f>
        <v>0</v>
      </c>
      <c r="H439" s="50" t="str">
        <f>'WhatsApp Tracker'!D436</f>
        <v>9954225152</v>
      </c>
      <c r="I439" s="50" t="str">
        <f>'WhatsApp Tracker'!T436</f>
        <v>Not sent</v>
      </c>
      <c r="J439" s="50" t="str">
        <f>'WhatsApp Tracker'!U436</f>
        <v>Unknown</v>
      </c>
      <c r="K439" s="50" t="str">
        <f>'WhatsApp Tracker'!V436</f>
        <v>Unknown</v>
      </c>
      <c r="L439" s="50" t="str">
        <f>'WhatsApp Tracker'!W436</f>
        <v>Not offered</v>
      </c>
      <c r="M439" s="51" t="str">
        <f>'WhatsApp Tracker'!X436</f>
        <v/>
      </c>
      <c r="N439" s="50" t="str">
        <f>'WhatsApp Tracker'!AM436</f>
        <v>Low confidence: verify before sending</v>
      </c>
      <c r="O439" s="50" t="str">
        <f>'WhatsApp Tracker'!AC436</f>
        <v>Imported from extract_garden. Confidence: Low. Parsed from Assam Tea Directory row, verify before sending</v>
      </c>
    </row>
    <row r="440" spans="1:15" x14ac:dyDescent="0.25">
      <c r="A440" s="50">
        <f>'WhatsApp Tracker'!AH437</f>
        <v>9596</v>
      </c>
      <c r="B440" s="50" t="str">
        <f>'WhatsApp Tracker'!AA437</f>
        <v>Do not send</v>
      </c>
      <c r="C440" s="50" t="str">
        <f>'WhatsApp Tracker'!M437</f>
        <v>Hold</v>
      </c>
      <c r="D440" s="50">
        <f>'WhatsApp Tracker'!AN437</f>
        <v>5</v>
      </c>
      <c r="E440" s="50" t="str">
        <f>'WhatsApp Tracker'!AL437</f>
        <v>Parsed directory row</v>
      </c>
      <c r="F440" s="50" t="str">
        <f>'WhatsApp Tracker'!B437</f>
        <v>Imported contact</v>
      </c>
      <c r="G440" s="50">
        <f>'WhatsApp Tracker'!C437</f>
        <v>0</v>
      </c>
      <c r="H440" s="50" t="str">
        <f>'WhatsApp Tracker'!D437</f>
        <v>9831007736</v>
      </c>
      <c r="I440" s="50" t="str">
        <f>'WhatsApp Tracker'!T437</f>
        <v>Not sent</v>
      </c>
      <c r="J440" s="50" t="str">
        <f>'WhatsApp Tracker'!U437</f>
        <v>Unknown</v>
      </c>
      <c r="K440" s="50" t="str">
        <f>'WhatsApp Tracker'!V437</f>
        <v>Unknown</v>
      </c>
      <c r="L440" s="50" t="str">
        <f>'WhatsApp Tracker'!W437</f>
        <v>Not offered</v>
      </c>
      <c r="M440" s="51" t="str">
        <f>'WhatsApp Tracker'!X437</f>
        <v/>
      </c>
      <c r="N440" s="50" t="str">
        <f>'WhatsApp Tracker'!AM437</f>
        <v>Low confidence: verify before sending</v>
      </c>
      <c r="O440" s="50" t="str">
        <f>'WhatsApp Tracker'!AC437</f>
        <v>Imported from extract_garden. Confidence: Low. Parsed from Assam Tea Directory row, verify before sending</v>
      </c>
    </row>
    <row r="441" spans="1:15" x14ac:dyDescent="0.25">
      <c r="A441" s="50">
        <f>'WhatsApp Tracker'!AH438</f>
        <v>9596</v>
      </c>
      <c r="B441" s="50" t="str">
        <f>'WhatsApp Tracker'!AA438</f>
        <v>Do not send</v>
      </c>
      <c r="C441" s="50" t="str">
        <f>'WhatsApp Tracker'!M438</f>
        <v>Hold</v>
      </c>
      <c r="D441" s="50">
        <f>'WhatsApp Tracker'!AN438</f>
        <v>5</v>
      </c>
      <c r="E441" s="50" t="str">
        <f>'WhatsApp Tracker'!AL438</f>
        <v>Parsed directory row</v>
      </c>
      <c r="F441" s="50" t="str">
        <f>'WhatsApp Tracker'!B438</f>
        <v>Imported contact</v>
      </c>
      <c r="G441" s="50">
        <f>'WhatsApp Tracker'!C438</f>
        <v>0</v>
      </c>
      <c r="H441" s="50" t="str">
        <f>'WhatsApp Tracker'!D438</f>
        <v>9435085156</v>
      </c>
      <c r="I441" s="50" t="str">
        <f>'WhatsApp Tracker'!T438</f>
        <v>Not sent</v>
      </c>
      <c r="J441" s="50" t="str">
        <f>'WhatsApp Tracker'!U438</f>
        <v>Unknown</v>
      </c>
      <c r="K441" s="50" t="str">
        <f>'WhatsApp Tracker'!V438</f>
        <v>Unknown</v>
      </c>
      <c r="L441" s="50" t="str">
        <f>'WhatsApp Tracker'!W438</f>
        <v>Not offered</v>
      </c>
      <c r="M441" s="51" t="str">
        <f>'WhatsApp Tracker'!X438</f>
        <v/>
      </c>
      <c r="N441" s="50" t="str">
        <f>'WhatsApp Tracker'!AM438</f>
        <v>Low confidence: verify before sending</v>
      </c>
      <c r="O441" s="50" t="str">
        <f>'WhatsApp Tracker'!AC438</f>
        <v>Imported from extract_garden. Confidence: Low. Parsed from Assam Tea Directory row, verify before sending</v>
      </c>
    </row>
    <row r="442" spans="1:15" x14ac:dyDescent="0.25">
      <c r="A442" s="50">
        <f>'WhatsApp Tracker'!AH439</f>
        <v>9596</v>
      </c>
      <c r="B442" s="50" t="str">
        <f>'WhatsApp Tracker'!AA439</f>
        <v>Do not send</v>
      </c>
      <c r="C442" s="50" t="str">
        <f>'WhatsApp Tracker'!M439</f>
        <v>Hold</v>
      </c>
      <c r="D442" s="50">
        <f>'WhatsApp Tracker'!AN439</f>
        <v>5</v>
      </c>
      <c r="E442" s="50" t="str">
        <f>'WhatsApp Tracker'!AL439</f>
        <v>Parsed directory row</v>
      </c>
      <c r="F442" s="50" t="str">
        <f>'WhatsApp Tracker'!B439</f>
        <v>Imported contact</v>
      </c>
      <c r="G442" s="50">
        <f>'WhatsApp Tracker'!C439</f>
        <v>0</v>
      </c>
      <c r="H442" s="50" t="str">
        <f>'WhatsApp Tracker'!D439</f>
        <v>9435245225</v>
      </c>
      <c r="I442" s="50" t="str">
        <f>'WhatsApp Tracker'!T439</f>
        <v>Not sent</v>
      </c>
      <c r="J442" s="50" t="str">
        <f>'WhatsApp Tracker'!U439</f>
        <v>Unknown</v>
      </c>
      <c r="K442" s="50" t="str">
        <f>'WhatsApp Tracker'!V439</f>
        <v>Unknown</v>
      </c>
      <c r="L442" s="50" t="str">
        <f>'WhatsApp Tracker'!W439</f>
        <v>Not offered</v>
      </c>
      <c r="M442" s="51" t="str">
        <f>'WhatsApp Tracker'!X439</f>
        <v/>
      </c>
      <c r="N442" s="50" t="str">
        <f>'WhatsApp Tracker'!AM439</f>
        <v>Low confidence: verify before sending</v>
      </c>
      <c r="O442" s="50" t="str">
        <f>'WhatsApp Tracker'!AC439</f>
        <v>Imported from extract_garden. Confidence: Low. Parsed from Assam Tea Directory row, verify before sending</v>
      </c>
    </row>
    <row r="443" spans="1:15" x14ac:dyDescent="0.25">
      <c r="A443" s="50">
        <f>'WhatsApp Tracker'!AH440</f>
        <v>9596</v>
      </c>
      <c r="B443" s="50" t="str">
        <f>'WhatsApp Tracker'!AA440</f>
        <v>Do not send</v>
      </c>
      <c r="C443" s="50" t="str">
        <f>'WhatsApp Tracker'!M440</f>
        <v>Hold</v>
      </c>
      <c r="D443" s="50">
        <f>'WhatsApp Tracker'!AN440</f>
        <v>5</v>
      </c>
      <c r="E443" s="50" t="str">
        <f>'WhatsApp Tracker'!AL440</f>
        <v>Parsed directory row</v>
      </c>
      <c r="F443" s="50" t="str">
        <f>'WhatsApp Tracker'!B440</f>
        <v>Imported contact</v>
      </c>
      <c r="G443" s="50">
        <f>'WhatsApp Tracker'!C440</f>
        <v>0</v>
      </c>
      <c r="H443" s="50" t="str">
        <f>'WhatsApp Tracker'!D440</f>
        <v>9435514630</v>
      </c>
      <c r="I443" s="50" t="str">
        <f>'WhatsApp Tracker'!T440</f>
        <v>Not sent</v>
      </c>
      <c r="J443" s="50" t="str">
        <f>'WhatsApp Tracker'!U440</f>
        <v>Unknown</v>
      </c>
      <c r="K443" s="50" t="str">
        <f>'WhatsApp Tracker'!V440</f>
        <v>Unknown</v>
      </c>
      <c r="L443" s="50" t="str">
        <f>'WhatsApp Tracker'!W440</f>
        <v>Not offered</v>
      </c>
      <c r="M443" s="51" t="str">
        <f>'WhatsApp Tracker'!X440</f>
        <v/>
      </c>
      <c r="N443" s="50" t="str">
        <f>'WhatsApp Tracker'!AM440</f>
        <v>Low confidence: verify before sending</v>
      </c>
      <c r="O443" s="50" t="str">
        <f>'WhatsApp Tracker'!AC440</f>
        <v>Imported from extract_garden. Confidence: Low. Parsed from Assam Tea Directory row, verify before sending</v>
      </c>
    </row>
    <row r="444" spans="1:15" x14ac:dyDescent="0.25">
      <c r="A444" s="50">
        <f>'WhatsApp Tracker'!AH441</f>
        <v>9596</v>
      </c>
      <c r="B444" s="50" t="str">
        <f>'WhatsApp Tracker'!AA441</f>
        <v>Do not send</v>
      </c>
      <c r="C444" s="50" t="str">
        <f>'WhatsApp Tracker'!M441</f>
        <v>Hold</v>
      </c>
      <c r="D444" s="50">
        <f>'WhatsApp Tracker'!AN441</f>
        <v>5</v>
      </c>
      <c r="E444" s="50" t="str">
        <f>'WhatsApp Tracker'!AL441</f>
        <v>Parsed directory row</v>
      </c>
      <c r="F444" s="50" t="str">
        <f>'WhatsApp Tracker'!B441</f>
        <v>ASSAM.</v>
      </c>
      <c r="G444" s="50" t="str">
        <f>'WhatsApp Tracker'!C441</f>
        <v>ASSAM.</v>
      </c>
      <c r="H444" s="50" t="str">
        <f>'WhatsApp Tracker'!D441</f>
        <v>9435537174</v>
      </c>
      <c r="I444" s="50" t="str">
        <f>'WhatsApp Tracker'!T441</f>
        <v>Not sent</v>
      </c>
      <c r="J444" s="50" t="str">
        <f>'WhatsApp Tracker'!U441</f>
        <v>Unknown</v>
      </c>
      <c r="K444" s="50" t="str">
        <f>'WhatsApp Tracker'!V441</f>
        <v>Unknown</v>
      </c>
      <c r="L444" s="50" t="str">
        <f>'WhatsApp Tracker'!W441</f>
        <v>Not offered</v>
      </c>
      <c r="M444" s="51" t="str">
        <f>'WhatsApp Tracker'!X441</f>
        <v/>
      </c>
      <c r="N444" s="50" t="str">
        <f>'WhatsApp Tracker'!AM441</f>
        <v>Low confidence: verify before sending</v>
      </c>
      <c r="O444" s="50" t="str">
        <f>'WhatsApp Tracker'!AC441</f>
        <v>Imported from extract_garden. Confidence: Low. Parsed from Assam Tea Directory row, verify before sending</v>
      </c>
    </row>
    <row r="445" spans="1:15" x14ac:dyDescent="0.25">
      <c r="A445" s="50">
        <f>'WhatsApp Tracker'!AH442</f>
        <v>9596</v>
      </c>
      <c r="B445" s="50" t="str">
        <f>'WhatsApp Tracker'!AA442</f>
        <v>Do not send</v>
      </c>
      <c r="C445" s="50" t="str">
        <f>'WhatsApp Tracker'!M442</f>
        <v>Hold</v>
      </c>
      <c r="D445" s="50">
        <f>'WhatsApp Tracker'!AN442</f>
        <v>5</v>
      </c>
      <c r="E445" s="50" t="str">
        <f>'WhatsApp Tracker'!AL442</f>
        <v>Parsed directory row</v>
      </c>
      <c r="F445" s="50" t="str">
        <f>'WhatsApp Tracker'!B442</f>
        <v>Imported contact</v>
      </c>
      <c r="G445" s="50">
        <f>'WhatsApp Tracker'!C442</f>
        <v>0</v>
      </c>
      <c r="H445" s="50" t="str">
        <f>'WhatsApp Tracker'!D442</f>
        <v>9401283344</v>
      </c>
      <c r="I445" s="50" t="str">
        <f>'WhatsApp Tracker'!T442</f>
        <v>Not sent</v>
      </c>
      <c r="J445" s="50" t="str">
        <f>'WhatsApp Tracker'!U442</f>
        <v>Unknown</v>
      </c>
      <c r="K445" s="50" t="str">
        <f>'WhatsApp Tracker'!V442</f>
        <v>Unknown</v>
      </c>
      <c r="L445" s="50" t="str">
        <f>'WhatsApp Tracker'!W442</f>
        <v>Not offered</v>
      </c>
      <c r="M445" s="51" t="str">
        <f>'WhatsApp Tracker'!X442</f>
        <v/>
      </c>
      <c r="N445" s="50" t="str">
        <f>'WhatsApp Tracker'!AM442</f>
        <v>Low confidence: verify before sending</v>
      </c>
      <c r="O445" s="50" t="str">
        <f>'WhatsApp Tracker'!AC442</f>
        <v>Imported from extract_garden. Confidence: Low. Parsed from Assam Tea Directory row, verify before sending</v>
      </c>
    </row>
    <row r="446" spans="1:15" x14ac:dyDescent="0.25">
      <c r="A446" s="50">
        <f>'WhatsApp Tracker'!AH443</f>
        <v>9596</v>
      </c>
      <c r="B446" s="50" t="str">
        <f>'WhatsApp Tracker'!AA443</f>
        <v>Do not send</v>
      </c>
      <c r="C446" s="50" t="str">
        <f>'WhatsApp Tracker'!M443</f>
        <v>Hold</v>
      </c>
      <c r="D446" s="50">
        <f>'WhatsApp Tracker'!AN443</f>
        <v>5</v>
      </c>
      <c r="E446" s="50" t="str">
        <f>'WhatsApp Tracker'!AL443</f>
        <v>Parsed directory row</v>
      </c>
      <c r="F446" s="50" t="str">
        <f>'WhatsApp Tracker'!B443</f>
        <v>Imported contact</v>
      </c>
      <c r="G446" s="50">
        <f>'WhatsApp Tracker'!C443</f>
        <v>0</v>
      </c>
      <c r="H446" s="50" t="str">
        <f>'WhatsApp Tracker'!D443</f>
        <v>9435873538</v>
      </c>
      <c r="I446" s="50" t="str">
        <f>'WhatsApp Tracker'!T443</f>
        <v>Not sent</v>
      </c>
      <c r="J446" s="50" t="str">
        <f>'WhatsApp Tracker'!U443</f>
        <v>Unknown</v>
      </c>
      <c r="K446" s="50" t="str">
        <f>'WhatsApp Tracker'!V443</f>
        <v>Unknown</v>
      </c>
      <c r="L446" s="50" t="str">
        <f>'WhatsApp Tracker'!W443</f>
        <v>Not offered</v>
      </c>
      <c r="M446" s="51" t="str">
        <f>'WhatsApp Tracker'!X443</f>
        <v/>
      </c>
      <c r="N446" s="50" t="str">
        <f>'WhatsApp Tracker'!AM443</f>
        <v>Low confidence: verify before sending</v>
      </c>
      <c r="O446" s="50" t="str">
        <f>'WhatsApp Tracker'!AC443</f>
        <v>Imported from extract_garden. Confidence: Low. Parsed from Assam Tea Directory row, verify before sending</v>
      </c>
    </row>
    <row r="447" spans="1:15" x14ac:dyDescent="0.25">
      <c r="A447" s="50">
        <f>'WhatsApp Tracker'!AH444</f>
        <v>9596</v>
      </c>
      <c r="B447" s="50" t="str">
        <f>'WhatsApp Tracker'!AA444</f>
        <v>Do not send</v>
      </c>
      <c r="C447" s="50" t="str">
        <f>'WhatsApp Tracker'!M444</f>
        <v>Hold</v>
      </c>
      <c r="D447" s="50">
        <f>'WhatsApp Tracker'!AN444</f>
        <v>5</v>
      </c>
      <c r="E447" s="50" t="str">
        <f>'WhatsApp Tracker'!AL444</f>
        <v>Parsed directory row</v>
      </c>
      <c r="F447" s="50" t="str">
        <f>'WhatsApp Tracker'!B444</f>
        <v>Imported contact</v>
      </c>
      <c r="G447" s="50">
        <f>'WhatsApp Tracker'!C444</f>
        <v>0</v>
      </c>
      <c r="H447" s="50" t="str">
        <f>'WhatsApp Tracker'!D444</f>
        <v>9435139071</v>
      </c>
      <c r="I447" s="50" t="str">
        <f>'WhatsApp Tracker'!T444</f>
        <v>Not sent</v>
      </c>
      <c r="J447" s="50" t="str">
        <f>'WhatsApp Tracker'!U444</f>
        <v>Unknown</v>
      </c>
      <c r="K447" s="50" t="str">
        <f>'WhatsApp Tracker'!V444</f>
        <v>Unknown</v>
      </c>
      <c r="L447" s="50" t="str">
        <f>'WhatsApp Tracker'!W444</f>
        <v>Not offered</v>
      </c>
      <c r="M447" s="51" t="str">
        <f>'WhatsApp Tracker'!X444</f>
        <v/>
      </c>
      <c r="N447" s="50" t="str">
        <f>'WhatsApp Tracker'!AM444</f>
        <v>Low confidence: verify before sending</v>
      </c>
      <c r="O447" s="50" t="str">
        <f>'WhatsApp Tracker'!AC444</f>
        <v>Imported from extract_garden. Confidence: Low. Parsed from Assam Tea Directory row, verify before sending</v>
      </c>
    </row>
    <row r="448" spans="1:15" x14ac:dyDescent="0.25">
      <c r="A448" s="50">
        <f>'WhatsApp Tracker'!AH445</f>
        <v>9596</v>
      </c>
      <c r="B448" s="50" t="str">
        <f>'WhatsApp Tracker'!AA445</f>
        <v>Do not send</v>
      </c>
      <c r="C448" s="50" t="str">
        <f>'WhatsApp Tracker'!M445</f>
        <v>Hold</v>
      </c>
      <c r="D448" s="50">
        <f>'WhatsApp Tracker'!AN445</f>
        <v>5</v>
      </c>
      <c r="E448" s="50" t="str">
        <f>'WhatsApp Tracker'!AL445</f>
        <v>Parsed directory row</v>
      </c>
      <c r="F448" s="50" t="str">
        <f>'WhatsApp Tracker'!B445</f>
        <v>Imported contact</v>
      </c>
      <c r="G448" s="50">
        <f>'WhatsApp Tracker'!C445</f>
        <v>0</v>
      </c>
      <c r="H448" s="50" t="str">
        <f>'WhatsApp Tracker'!D445</f>
        <v>9435158429</v>
      </c>
      <c r="I448" s="50" t="str">
        <f>'WhatsApp Tracker'!T445</f>
        <v>Not sent</v>
      </c>
      <c r="J448" s="50" t="str">
        <f>'WhatsApp Tracker'!U445</f>
        <v>Unknown</v>
      </c>
      <c r="K448" s="50" t="str">
        <f>'WhatsApp Tracker'!V445</f>
        <v>Unknown</v>
      </c>
      <c r="L448" s="50" t="str">
        <f>'WhatsApp Tracker'!W445</f>
        <v>Not offered</v>
      </c>
      <c r="M448" s="51" t="str">
        <f>'WhatsApp Tracker'!X445</f>
        <v/>
      </c>
      <c r="N448" s="50" t="str">
        <f>'WhatsApp Tracker'!AM445</f>
        <v>Low confidence: verify before sending</v>
      </c>
      <c r="O448" s="50" t="str">
        <f>'WhatsApp Tracker'!AC445</f>
        <v>Imported from extract_garden. Confidence: Low. Parsed from Assam Tea Directory row, verify before sending</v>
      </c>
    </row>
    <row r="449" spans="1:15" x14ac:dyDescent="0.25">
      <c r="A449" s="50">
        <f>'WhatsApp Tracker'!AH446</f>
        <v>9596</v>
      </c>
      <c r="B449" s="50" t="str">
        <f>'WhatsApp Tracker'!AA446</f>
        <v>Do not send</v>
      </c>
      <c r="C449" s="50" t="str">
        <f>'WhatsApp Tracker'!M446</f>
        <v>Hold</v>
      </c>
      <c r="D449" s="50">
        <f>'WhatsApp Tracker'!AN446</f>
        <v>5</v>
      </c>
      <c r="E449" s="50" t="str">
        <f>'WhatsApp Tracker'!AL446</f>
        <v>Parsed directory row</v>
      </c>
      <c r="F449" s="50" t="str">
        <f>'WhatsApp Tracker'!B446</f>
        <v>Imported contact</v>
      </c>
      <c r="G449" s="50">
        <f>'WhatsApp Tracker'!C446</f>
        <v>0</v>
      </c>
      <c r="H449" s="50" t="str">
        <f>'WhatsApp Tracker'!D446</f>
        <v>9508180691</v>
      </c>
      <c r="I449" s="50" t="str">
        <f>'WhatsApp Tracker'!T446</f>
        <v>Not sent</v>
      </c>
      <c r="J449" s="50" t="str">
        <f>'WhatsApp Tracker'!U446</f>
        <v>Unknown</v>
      </c>
      <c r="K449" s="50" t="str">
        <f>'WhatsApp Tracker'!V446</f>
        <v>Unknown</v>
      </c>
      <c r="L449" s="50" t="str">
        <f>'WhatsApp Tracker'!W446</f>
        <v>Not offered</v>
      </c>
      <c r="M449" s="51" t="str">
        <f>'WhatsApp Tracker'!X446</f>
        <v/>
      </c>
      <c r="N449" s="50" t="str">
        <f>'WhatsApp Tracker'!AM446</f>
        <v>Low confidence: verify before sending</v>
      </c>
      <c r="O449" s="50" t="str">
        <f>'WhatsApp Tracker'!AC446</f>
        <v>Imported from extract_garden. Confidence: Low. Parsed from Assam Tea Directory row, verify before sending</v>
      </c>
    </row>
    <row r="450" spans="1:15" x14ac:dyDescent="0.25">
      <c r="A450" s="50">
        <f>'WhatsApp Tracker'!AH447</f>
        <v>9596</v>
      </c>
      <c r="B450" s="50" t="str">
        <f>'WhatsApp Tracker'!AA447</f>
        <v>Do not send</v>
      </c>
      <c r="C450" s="50" t="str">
        <f>'WhatsApp Tracker'!M447</f>
        <v>Hold</v>
      </c>
      <c r="D450" s="50">
        <f>'WhatsApp Tracker'!AN447</f>
        <v>5</v>
      </c>
      <c r="E450" s="50" t="str">
        <f>'WhatsApp Tracker'!AL447</f>
        <v>Parsed directory row</v>
      </c>
      <c r="F450" s="50" t="str">
        <f>'WhatsApp Tracker'!B447</f>
        <v>Imported contact</v>
      </c>
      <c r="G450" s="50">
        <f>'WhatsApp Tracker'!C447</f>
        <v>0</v>
      </c>
      <c r="H450" s="50" t="str">
        <f>'WhatsApp Tracker'!D447</f>
        <v>9401093553</v>
      </c>
      <c r="I450" s="50" t="str">
        <f>'WhatsApp Tracker'!T447</f>
        <v>Not sent</v>
      </c>
      <c r="J450" s="50" t="str">
        <f>'WhatsApp Tracker'!U447</f>
        <v>Unknown</v>
      </c>
      <c r="K450" s="50" t="str">
        <f>'WhatsApp Tracker'!V447</f>
        <v>Unknown</v>
      </c>
      <c r="L450" s="50" t="str">
        <f>'WhatsApp Tracker'!W447</f>
        <v>Not offered</v>
      </c>
      <c r="M450" s="51" t="str">
        <f>'WhatsApp Tracker'!X447</f>
        <v/>
      </c>
      <c r="N450" s="50" t="str">
        <f>'WhatsApp Tracker'!AM447</f>
        <v>Low confidence: verify before sending</v>
      </c>
      <c r="O450" s="50" t="str">
        <f>'WhatsApp Tracker'!AC447</f>
        <v>Imported from extract_garden. Confidence: Low. Parsed from Assam Tea Directory row, verify before sending</v>
      </c>
    </row>
    <row r="451" spans="1:15" x14ac:dyDescent="0.25">
      <c r="A451" s="50">
        <f>'WhatsApp Tracker'!AH448</f>
        <v>9596</v>
      </c>
      <c r="B451" s="50" t="str">
        <f>'WhatsApp Tracker'!AA448</f>
        <v>Do not send</v>
      </c>
      <c r="C451" s="50" t="str">
        <f>'WhatsApp Tracker'!M448</f>
        <v>Hold</v>
      </c>
      <c r="D451" s="50">
        <f>'WhatsApp Tracker'!AN448</f>
        <v>5</v>
      </c>
      <c r="E451" s="50" t="str">
        <f>'WhatsApp Tracker'!AL448</f>
        <v>Parsed directory row</v>
      </c>
      <c r="F451" s="50" t="str">
        <f>'WhatsApp Tracker'!B448</f>
        <v>Imported contact</v>
      </c>
      <c r="G451" s="50">
        <f>'WhatsApp Tracker'!C448</f>
        <v>0</v>
      </c>
      <c r="H451" s="50" t="str">
        <f>'WhatsApp Tracker'!D448</f>
        <v>9435357401</v>
      </c>
      <c r="I451" s="50" t="str">
        <f>'WhatsApp Tracker'!T448</f>
        <v>Not sent</v>
      </c>
      <c r="J451" s="50" t="str">
        <f>'WhatsApp Tracker'!U448</f>
        <v>Unknown</v>
      </c>
      <c r="K451" s="50" t="str">
        <f>'WhatsApp Tracker'!V448</f>
        <v>Unknown</v>
      </c>
      <c r="L451" s="50" t="str">
        <f>'WhatsApp Tracker'!W448</f>
        <v>Not offered</v>
      </c>
      <c r="M451" s="51" t="str">
        <f>'WhatsApp Tracker'!X448</f>
        <v/>
      </c>
      <c r="N451" s="50" t="str">
        <f>'WhatsApp Tracker'!AM448</f>
        <v>Low confidence: verify before sending</v>
      </c>
      <c r="O451" s="50" t="str">
        <f>'WhatsApp Tracker'!AC448</f>
        <v>Imported from extract_garden. Confidence: Low. Parsed from Assam Tea Directory row, verify before sending</v>
      </c>
    </row>
    <row r="452" spans="1:15" x14ac:dyDescent="0.25">
      <c r="A452" s="50">
        <f>'WhatsApp Tracker'!AH449</f>
        <v>9596</v>
      </c>
      <c r="B452" s="50" t="str">
        <f>'WhatsApp Tracker'!AA449</f>
        <v>Do not send</v>
      </c>
      <c r="C452" s="50" t="str">
        <f>'WhatsApp Tracker'!M449</f>
        <v>Hold</v>
      </c>
      <c r="D452" s="50">
        <f>'WhatsApp Tracker'!AN449</f>
        <v>5</v>
      </c>
      <c r="E452" s="50" t="str">
        <f>'WhatsApp Tracker'!AL449</f>
        <v>Parsed directory row</v>
      </c>
      <c r="F452" s="50" t="str">
        <f>'WhatsApp Tracker'!B449</f>
        <v>Imported contact</v>
      </c>
      <c r="G452" s="50">
        <f>'WhatsApp Tracker'!C449</f>
        <v>0</v>
      </c>
      <c r="H452" s="50" t="str">
        <f>'WhatsApp Tracker'!D449</f>
        <v>9435334849</v>
      </c>
      <c r="I452" s="50" t="str">
        <f>'WhatsApp Tracker'!T449</f>
        <v>Not sent</v>
      </c>
      <c r="J452" s="50" t="str">
        <f>'WhatsApp Tracker'!U449</f>
        <v>Unknown</v>
      </c>
      <c r="K452" s="50" t="str">
        <f>'WhatsApp Tracker'!V449</f>
        <v>Unknown</v>
      </c>
      <c r="L452" s="50" t="str">
        <f>'WhatsApp Tracker'!W449</f>
        <v>Not offered</v>
      </c>
      <c r="M452" s="51" t="str">
        <f>'WhatsApp Tracker'!X449</f>
        <v/>
      </c>
      <c r="N452" s="50" t="str">
        <f>'WhatsApp Tracker'!AM449</f>
        <v>Low confidence: verify before sending</v>
      </c>
      <c r="O452" s="50" t="str">
        <f>'WhatsApp Tracker'!AC449</f>
        <v>Imported from extract_garden. Confidence: Low. Parsed from Assam Tea Directory row, verify before sending</v>
      </c>
    </row>
    <row r="453" spans="1:15" x14ac:dyDescent="0.25">
      <c r="A453" s="50">
        <f>'WhatsApp Tracker'!AH450</f>
        <v>9596</v>
      </c>
      <c r="B453" s="50" t="str">
        <f>'WhatsApp Tracker'!AA450</f>
        <v>Do not send</v>
      </c>
      <c r="C453" s="50" t="str">
        <f>'WhatsApp Tracker'!M450</f>
        <v>Hold</v>
      </c>
      <c r="D453" s="50">
        <f>'WhatsApp Tracker'!AN450</f>
        <v>5</v>
      </c>
      <c r="E453" s="50" t="str">
        <f>'WhatsApp Tracker'!AL450</f>
        <v>Parsed directory row</v>
      </c>
      <c r="F453" s="50" t="str">
        <f>'WhatsApp Tracker'!B450</f>
        <v>Imported contact</v>
      </c>
      <c r="G453" s="50">
        <f>'WhatsApp Tracker'!C450</f>
        <v>0</v>
      </c>
      <c r="H453" s="50" t="str">
        <f>'WhatsApp Tracker'!D450</f>
        <v>9435090986</v>
      </c>
      <c r="I453" s="50" t="str">
        <f>'WhatsApp Tracker'!T450</f>
        <v>Not sent</v>
      </c>
      <c r="J453" s="50" t="str">
        <f>'WhatsApp Tracker'!U450</f>
        <v>Unknown</v>
      </c>
      <c r="K453" s="50" t="str">
        <f>'WhatsApp Tracker'!V450</f>
        <v>Unknown</v>
      </c>
      <c r="L453" s="50" t="str">
        <f>'WhatsApp Tracker'!W450</f>
        <v>Not offered</v>
      </c>
      <c r="M453" s="51" t="str">
        <f>'WhatsApp Tracker'!X450</f>
        <v/>
      </c>
      <c r="N453" s="50" t="str">
        <f>'WhatsApp Tracker'!AM450</f>
        <v>Low confidence: verify before sending</v>
      </c>
      <c r="O453" s="50" t="str">
        <f>'WhatsApp Tracker'!AC450</f>
        <v>Imported from extract_garden. Confidence: Low. Parsed from Assam Tea Directory row, verify before sending</v>
      </c>
    </row>
    <row r="454" spans="1:15" x14ac:dyDescent="0.25">
      <c r="A454" s="50">
        <f>'WhatsApp Tracker'!AH451</f>
        <v>9596</v>
      </c>
      <c r="B454" s="50" t="str">
        <f>'WhatsApp Tracker'!AA451</f>
        <v>Do not send</v>
      </c>
      <c r="C454" s="50" t="str">
        <f>'WhatsApp Tracker'!M451</f>
        <v>Hold</v>
      </c>
      <c r="D454" s="50">
        <f>'WhatsApp Tracker'!AN451</f>
        <v>5</v>
      </c>
      <c r="E454" s="50" t="str">
        <f>'WhatsApp Tracker'!AL451</f>
        <v>Parsed directory row</v>
      </c>
      <c r="F454" s="50" t="str">
        <f>'WhatsApp Tracker'!B451</f>
        <v>Imported contact</v>
      </c>
      <c r="G454" s="50">
        <f>'WhatsApp Tracker'!C451</f>
        <v>0</v>
      </c>
      <c r="H454" s="50" t="str">
        <f>'WhatsApp Tracker'!D451</f>
        <v>9831060950</v>
      </c>
      <c r="I454" s="50" t="str">
        <f>'WhatsApp Tracker'!T451</f>
        <v>Not sent</v>
      </c>
      <c r="J454" s="50" t="str">
        <f>'WhatsApp Tracker'!U451</f>
        <v>Unknown</v>
      </c>
      <c r="K454" s="50" t="str">
        <f>'WhatsApp Tracker'!V451</f>
        <v>Unknown</v>
      </c>
      <c r="L454" s="50" t="str">
        <f>'WhatsApp Tracker'!W451</f>
        <v>Not offered</v>
      </c>
      <c r="M454" s="51" t="str">
        <f>'WhatsApp Tracker'!X451</f>
        <v/>
      </c>
      <c r="N454" s="50" t="str">
        <f>'WhatsApp Tracker'!AM451</f>
        <v>Low confidence: verify before sending</v>
      </c>
      <c r="O454" s="50" t="str">
        <f>'WhatsApp Tracker'!AC451</f>
        <v>Imported from extract_garden. Confidence: Low. Parsed from Assam Tea Directory row, verify before sending</v>
      </c>
    </row>
    <row r="455" spans="1:15" x14ac:dyDescent="0.25">
      <c r="A455" s="50">
        <f>'WhatsApp Tracker'!AH452</f>
        <v>9596</v>
      </c>
      <c r="B455" s="50" t="str">
        <f>'WhatsApp Tracker'!AA452</f>
        <v>Do not send</v>
      </c>
      <c r="C455" s="50" t="str">
        <f>'WhatsApp Tracker'!M452</f>
        <v>Hold</v>
      </c>
      <c r="D455" s="50">
        <f>'WhatsApp Tracker'!AN452</f>
        <v>5</v>
      </c>
      <c r="E455" s="50" t="str">
        <f>'WhatsApp Tracker'!AL452</f>
        <v>Parsed directory row</v>
      </c>
      <c r="F455" s="50" t="str">
        <f>'WhatsApp Tracker'!B452</f>
        <v>Imported contact</v>
      </c>
      <c r="G455" s="50">
        <f>'WhatsApp Tracker'!C452</f>
        <v>0</v>
      </c>
      <c r="H455" s="50" t="str">
        <f>'WhatsApp Tracker'!D452</f>
        <v>9435054243</v>
      </c>
      <c r="I455" s="50" t="str">
        <f>'WhatsApp Tracker'!T452</f>
        <v>Not sent</v>
      </c>
      <c r="J455" s="50" t="str">
        <f>'WhatsApp Tracker'!U452</f>
        <v>Unknown</v>
      </c>
      <c r="K455" s="50" t="str">
        <f>'WhatsApp Tracker'!V452</f>
        <v>Unknown</v>
      </c>
      <c r="L455" s="50" t="str">
        <f>'WhatsApp Tracker'!W452</f>
        <v>Not offered</v>
      </c>
      <c r="M455" s="51" t="str">
        <f>'WhatsApp Tracker'!X452</f>
        <v/>
      </c>
      <c r="N455" s="50" t="str">
        <f>'WhatsApp Tracker'!AM452</f>
        <v>Low confidence: verify before sending</v>
      </c>
      <c r="O455" s="50" t="str">
        <f>'WhatsApp Tracker'!AC452</f>
        <v>Imported from extract_garden. Confidence: Low. Parsed from Assam Tea Directory row, verify before sending</v>
      </c>
    </row>
    <row r="456" spans="1:15" x14ac:dyDescent="0.25">
      <c r="A456" s="50">
        <f>'WhatsApp Tracker'!AH453</f>
        <v>9596</v>
      </c>
      <c r="B456" s="50" t="str">
        <f>'WhatsApp Tracker'!AA453</f>
        <v>Do not send</v>
      </c>
      <c r="C456" s="50" t="str">
        <f>'WhatsApp Tracker'!M453</f>
        <v>Hold</v>
      </c>
      <c r="D456" s="50">
        <f>'WhatsApp Tracker'!AN453</f>
        <v>5</v>
      </c>
      <c r="E456" s="50" t="str">
        <f>'WhatsApp Tracker'!AL453</f>
        <v>Parsed directory row</v>
      </c>
      <c r="F456" s="50" t="str">
        <f>'WhatsApp Tracker'!B453</f>
        <v>Imported contact</v>
      </c>
      <c r="G456" s="50">
        <f>'WhatsApp Tracker'!C453</f>
        <v>0</v>
      </c>
      <c r="H456" s="50" t="str">
        <f>'WhatsApp Tracker'!D453</f>
        <v>9401540903</v>
      </c>
      <c r="I456" s="50" t="str">
        <f>'WhatsApp Tracker'!T453</f>
        <v>Not sent</v>
      </c>
      <c r="J456" s="50" t="str">
        <f>'WhatsApp Tracker'!U453</f>
        <v>Unknown</v>
      </c>
      <c r="K456" s="50" t="str">
        <f>'WhatsApp Tracker'!V453</f>
        <v>Unknown</v>
      </c>
      <c r="L456" s="50" t="str">
        <f>'WhatsApp Tracker'!W453</f>
        <v>Not offered</v>
      </c>
      <c r="M456" s="51" t="str">
        <f>'WhatsApp Tracker'!X453</f>
        <v/>
      </c>
      <c r="N456" s="50" t="str">
        <f>'WhatsApp Tracker'!AM453</f>
        <v>Low confidence: verify before sending</v>
      </c>
      <c r="O456" s="50" t="str">
        <f>'WhatsApp Tracker'!AC453</f>
        <v>Imported from extract_garden. Confidence: Low. Parsed from Assam Tea Directory row, verify before sending</v>
      </c>
    </row>
    <row r="457" spans="1:15" x14ac:dyDescent="0.25">
      <c r="A457" s="50">
        <f>'WhatsApp Tracker'!AH454</f>
        <v>9596</v>
      </c>
      <c r="B457" s="50" t="str">
        <f>'WhatsApp Tracker'!AA454</f>
        <v>Do not send</v>
      </c>
      <c r="C457" s="50" t="str">
        <f>'WhatsApp Tracker'!M454</f>
        <v>Hold</v>
      </c>
      <c r="D457" s="50">
        <f>'WhatsApp Tracker'!AN454</f>
        <v>5</v>
      </c>
      <c r="E457" s="50" t="str">
        <f>'WhatsApp Tracker'!AL454</f>
        <v>Parsed directory row</v>
      </c>
      <c r="F457" s="50" t="str">
        <f>'WhatsApp Tracker'!B454</f>
        <v>Imported contact</v>
      </c>
      <c r="G457" s="50">
        <f>'WhatsApp Tracker'!C454</f>
        <v>0</v>
      </c>
      <c r="H457" s="50" t="str">
        <f>'WhatsApp Tracker'!D454</f>
        <v>9435506246</v>
      </c>
      <c r="I457" s="50" t="str">
        <f>'WhatsApp Tracker'!T454</f>
        <v>Not sent</v>
      </c>
      <c r="J457" s="50" t="str">
        <f>'WhatsApp Tracker'!U454</f>
        <v>Unknown</v>
      </c>
      <c r="K457" s="50" t="str">
        <f>'WhatsApp Tracker'!V454</f>
        <v>Unknown</v>
      </c>
      <c r="L457" s="50" t="str">
        <f>'WhatsApp Tracker'!W454</f>
        <v>Not offered</v>
      </c>
      <c r="M457" s="51" t="str">
        <f>'WhatsApp Tracker'!X454</f>
        <v/>
      </c>
      <c r="N457" s="50" t="str">
        <f>'WhatsApp Tracker'!AM454</f>
        <v>Low confidence: verify before sending</v>
      </c>
      <c r="O457" s="50" t="str">
        <f>'WhatsApp Tracker'!AC454</f>
        <v>Imported from extract_garden. Confidence: Low. Parsed from Assam Tea Directory row, verify before sending</v>
      </c>
    </row>
    <row r="458" spans="1:15" x14ac:dyDescent="0.25">
      <c r="A458" s="50">
        <f>'WhatsApp Tracker'!AH455</f>
        <v>9596</v>
      </c>
      <c r="B458" s="50" t="str">
        <f>'WhatsApp Tracker'!AA455</f>
        <v>Do not send</v>
      </c>
      <c r="C458" s="50" t="str">
        <f>'WhatsApp Tracker'!M455</f>
        <v>Hold</v>
      </c>
      <c r="D458" s="50">
        <f>'WhatsApp Tracker'!AN455</f>
        <v>5</v>
      </c>
      <c r="E458" s="50" t="str">
        <f>'WhatsApp Tracker'!AL455</f>
        <v>Parsed directory row</v>
      </c>
      <c r="F458" s="50" t="str">
        <f>'WhatsApp Tracker'!B455</f>
        <v>Imported contact</v>
      </c>
      <c r="G458" s="50">
        <f>'WhatsApp Tracker'!C455</f>
        <v>0</v>
      </c>
      <c r="H458" s="50" t="str">
        <f>'WhatsApp Tracker'!D455</f>
        <v>9435736269</v>
      </c>
      <c r="I458" s="50" t="str">
        <f>'WhatsApp Tracker'!T455</f>
        <v>Not sent</v>
      </c>
      <c r="J458" s="50" t="str">
        <f>'WhatsApp Tracker'!U455</f>
        <v>Unknown</v>
      </c>
      <c r="K458" s="50" t="str">
        <f>'WhatsApp Tracker'!V455</f>
        <v>Unknown</v>
      </c>
      <c r="L458" s="50" t="str">
        <f>'WhatsApp Tracker'!W455</f>
        <v>Not offered</v>
      </c>
      <c r="M458" s="51" t="str">
        <f>'WhatsApp Tracker'!X455</f>
        <v/>
      </c>
      <c r="N458" s="50" t="str">
        <f>'WhatsApp Tracker'!AM455</f>
        <v>Low confidence: verify before sending</v>
      </c>
      <c r="O458" s="50" t="str">
        <f>'WhatsApp Tracker'!AC455</f>
        <v>Imported from extract_garden. Confidence: Low. Parsed from Assam Tea Directory row, verify before sending</v>
      </c>
    </row>
    <row r="459" spans="1:15" x14ac:dyDescent="0.25">
      <c r="A459" s="50">
        <f>'WhatsApp Tracker'!AH456</f>
        <v>9596</v>
      </c>
      <c r="B459" s="50" t="str">
        <f>'WhatsApp Tracker'!AA456</f>
        <v>Do not send</v>
      </c>
      <c r="C459" s="50" t="str">
        <f>'WhatsApp Tracker'!M456</f>
        <v>Hold</v>
      </c>
      <c r="D459" s="50">
        <f>'WhatsApp Tracker'!AN456</f>
        <v>5</v>
      </c>
      <c r="E459" s="50" t="str">
        <f>'WhatsApp Tracker'!AL456</f>
        <v>Parsed directory row</v>
      </c>
      <c r="F459" s="50" t="str">
        <f>'WhatsApp Tracker'!B456</f>
        <v>Imported contact</v>
      </c>
      <c r="G459" s="50">
        <f>'WhatsApp Tracker'!C456</f>
        <v>0</v>
      </c>
      <c r="H459" s="50" t="str">
        <f>'WhatsApp Tracker'!D456</f>
        <v>9903950088</v>
      </c>
      <c r="I459" s="50" t="str">
        <f>'WhatsApp Tracker'!T456</f>
        <v>Not sent</v>
      </c>
      <c r="J459" s="50" t="str">
        <f>'WhatsApp Tracker'!U456</f>
        <v>Unknown</v>
      </c>
      <c r="K459" s="50" t="str">
        <f>'WhatsApp Tracker'!V456</f>
        <v>Unknown</v>
      </c>
      <c r="L459" s="50" t="str">
        <f>'WhatsApp Tracker'!W456</f>
        <v>Not offered</v>
      </c>
      <c r="M459" s="51" t="str">
        <f>'WhatsApp Tracker'!X456</f>
        <v/>
      </c>
      <c r="N459" s="50" t="str">
        <f>'WhatsApp Tracker'!AM456</f>
        <v>Low confidence: verify before sending</v>
      </c>
      <c r="O459" s="50" t="str">
        <f>'WhatsApp Tracker'!AC456</f>
        <v>Imported from extract_garden. Confidence: Low. Parsed from Assam Tea Directory row, verify before sending</v>
      </c>
    </row>
    <row r="460" spans="1:15" x14ac:dyDescent="0.25">
      <c r="A460" s="50">
        <f>'WhatsApp Tracker'!AH457</f>
        <v>9596</v>
      </c>
      <c r="B460" s="50" t="str">
        <f>'WhatsApp Tracker'!AA457</f>
        <v>Do not send</v>
      </c>
      <c r="C460" s="50" t="str">
        <f>'WhatsApp Tracker'!M457</f>
        <v>Hold</v>
      </c>
      <c r="D460" s="50">
        <f>'WhatsApp Tracker'!AN457</f>
        <v>5</v>
      </c>
      <c r="E460" s="50" t="str">
        <f>'WhatsApp Tracker'!AL457</f>
        <v>Parsed directory row</v>
      </c>
      <c r="F460" s="50" t="str">
        <f>'WhatsApp Tracker'!B457</f>
        <v>Imported contact</v>
      </c>
      <c r="G460" s="50">
        <f>'WhatsApp Tracker'!C457</f>
        <v>0</v>
      </c>
      <c r="H460" s="50" t="str">
        <f>'WhatsApp Tracker'!D457</f>
        <v>9435053961</v>
      </c>
      <c r="I460" s="50" t="str">
        <f>'WhatsApp Tracker'!T457</f>
        <v>Not sent</v>
      </c>
      <c r="J460" s="50" t="str">
        <f>'WhatsApp Tracker'!U457</f>
        <v>Unknown</v>
      </c>
      <c r="K460" s="50" t="str">
        <f>'WhatsApp Tracker'!V457</f>
        <v>Unknown</v>
      </c>
      <c r="L460" s="50" t="str">
        <f>'WhatsApp Tracker'!W457</f>
        <v>Not offered</v>
      </c>
      <c r="M460" s="51" t="str">
        <f>'WhatsApp Tracker'!X457</f>
        <v/>
      </c>
      <c r="N460" s="50" t="str">
        <f>'WhatsApp Tracker'!AM457</f>
        <v>Low confidence: verify before sending</v>
      </c>
      <c r="O460" s="50" t="str">
        <f>'WhatsApp Tracker'!AC457</f>
        <v>Imported from extract_garden. Confidence: Low. Parsed from Assam Tea Directory row, verify before sending</v>
      </c>
    </row>
    <row r="461" spans="1:15" x14ac:dyDescent="0.25">
      <c r="A461" s="50">
        <f>'WhatsApp Tracker'!AH458</f>
        <v>9596</v>
      </c>
      <c r="B461" s="50" t="str">
        <f>'WhatsApp Tracker'!AA458</f>
        <v>Do not send</v>
      </c>
      <c r="C461" s="50" t="str">
        <f>'WhatsApp Tracker'!M458</f>
        <v>Hold</v>
      </c>
      <c r="D461" s="50">
        <f>'WhatsApp Tracker'!AN458</f>
        <v>5</v>
      </c>
      <c r="E461" s="50" t="str">
        <f>'WhatsApp Tracker'!AL458</f>
        <v>Parsed directory row</v>
      </c>
      <c r="F461" s="50" t="str">
        <f>'WhatsApp Tracker'!B458</f>
        <v>Imported contact</v>
      </c>
      <c r="G461" s="50">
        <f>'WhatsApp Tracker'!C458</f>
        <v>0</v>
      </c>
      <c r="H461" s="50" t="str">
        <f>'WhatsApp Tracker'!D458</f>
        <v>9401254759</v>
      </c>
      <c r="I461" s="50" t="str">
        <f>'WhatsApp Tracker'!T458</f>
        <v>Not sent</v>
      </c>
      <c r="J461" s="50" t="str">
        <f>'WhatsApp Tracker'!U458</f>
        <v>Unknown</v>
      </c>
      <c r="K461" s="50" t="str">
        <f>'WhatsApp Tracker'!V458</f>
        <v>Unknown</v>
      </c>
      <c r="L461" s="50" t="str">
        <f>'WhatsApp Tracker'!W458</f>
        <v>Not offered</v>
      </c>
      <c r="M461" s="51" t="str">
        <f>'WhatsApp Tracker'!X458</f>
        <v/>
      </c>
      <c r="N461" s="50" t="str">
        <f>'WhatsApp Tracker'!AM458</f>
        <v>Low confidence: verify before sending</v>
      </c>
      <c r="O461" s="50" t="str">
        <f>'WhatsApp Tracker'!AC458</f>
        <v>Imported from extract_garden. Confidence: Low. Parsed from Assam Tea Directory row, verify before sending</v>
      </c>
    </row>
    <row r="462" spans="1:15" x14ac:dyDescent="0.25">
      <c r="A462" s="50">
        <f>'WhatsApp Tracker'!AH459</f>
        <v>9596</v>
      </c>
      <c r="B462" s="50" t="str">
        <f>'WhatsApp Tracker'!AA459</f>
        <v>Do not send</v>
      </c>
      <c r="C462" s="50" t="str">
        <f>'WhatsApp Tracker'!M459</f>
        <v>Hold</v>
      </c>
      <c r="D462" s="50">
        <f>'WhatsApp Tracker'!AN459</f>
        <v>5</v>
      </c>
      <c r="E462" s="50" t="str">
        <f>'WhatsApp Tracker'!AL459</f>
        <v>Parsed directory row</v>
      </c>
      <c r="F462" s="50" t="str">
        <f>'WhatsApp Tracker'!B459</f>
        <v>Imported contact</v>
      </c>
      <c r="G462" s="50">
        <f>'WhatsApp Tracker'!C459</f>
        <v>0</v>
      </c>
      <c r="H462" s="50" t="str">
        <f>'WhatsApp Tracker'!D459</f>
        <v>9435745697</v>
      </c>
      <c r="I462" s="50" t="str">
        <f>'WhatsApp Tracker'!T459</f>
        <v>Not sent</v>
      </c>
      <c r="J462" s="50" t="str">
        <f>'WhatsApp Tracker'!U459</f>
        <v>Unknown</v>
      </c>
      <c r="K462" s="50" t="str">
        <f>'WhatsApp Tracker'!V459</f>
        <v>Unknown</v>
      </c>
      <c r="L462" s="50" t="str">
        <f>'WhatsApp Tracker'!W459</f>
        <v>Not offered</v>
      </c>
      <c r="M462" s="51" t="str">
        <f>'WhatsApp Tracker'!X459</f>
        <v/>
      </c>
      <c r="N462" s="50" t="str">
        <f>'WhatsApp Tracker'!AM459</f>
        <v>Low confidence: verify before sending</v>
      </c>
      <c r="O462" s="50" t="str">
        <f>'WhatsApp Tracker'!AC459</f>
        <v>Imported from extract_garden. Confidence: Low. Parsed from Assam Tea Directory row, verify before sending</v>
      </c>
    </row>
    <row r="463" spans="1:15" x14ac:dyDescent="0.25">
      <c r="A463" s="50">
        <f>'WhatsApp Tracker'!AH460</f>
        <v>9596</v>
      </c>
      <c r="B463" s="50" t="str">
        <f>'WhatsApp Tracker'!AA460</f>
        <v>Do not send</v>
      </c>
      <c r="C463" s="50" t="str">
        <f>'WhatsApp Tracker'!M460</f>
        <v>Hold</v>
      </c>
      <c r="D463" s="50">
        <f>'WhatsApp Tracker'!AN460</f>
        <v>5</v>
      </c>
      <c r="E463" s="50" t="str">
        <f>'WhatsApp Tracker'!AL460</f>
        <v>Parsed directory row</v>
      </c>
      <c r="F463" s="50" t="str">
        <f>'WhatsApp Tracker'!B460</f>
        <v>Imported contact</v>
      </c>
      <c r="G463" s="50">
        <f>'WhatsApp Tracker'!C460</f>
        <v>0</v>
      </c>
      <c r="H463" s="50" t="str">
        <f>'WhatsApp Tracker'!D460</f>
        <v>9748782869</v>
      </c>
      <c r="I463" s="50" t="str">
        <f>'WhatsApp Tracker'!T460</f>
        <v>Not sent</v>
      </c>
      <c r="J463" s="50" t="str">
        <f>'WhatsApp Tracker'!U460</f>
        <v>Unknown</v>
      </c>
      <c r="K463" s="50" t="str">
        <f>'WhatsApp Tracker'!V460</f>
        <v>Unknown</v>
      </c>
      <c r="L463" s="50" t="str">
        <f>'WhatsApp Tracker'!W460</f>
        <v>Not offered</v>
      </c>
      <c r="M463" s="51" t="str">
        <f>'WhatsApp Tracker'!X460</f>
        <v/>
      </c>
      <c r="N463" s="50" t="str">
        <f>'WhatsApp Tracker'!AM460</f>
        <v>Low confidence: verify before sending</v>
      </c>
      <c r="O463" s="50" t="str">
        <f>'WhatsApp Tracker'!AC460</f>
        <v>Imported from extract_garden. Confidence: Low. Parsed from Assam Tea Directory row, verify before sending</v>
      </c>
    </row>
    <row r="464" spans="1:15" x14ac:dyDescent="0.25">
      <c r="A464" s="50">
        <f>'WhatsApp Tracker'!AH461</f>
        <v>9596</v>
      </c>
      <c r="B464" s="50" t="str">
        <f>'WhatsApp Tracker'!AA461</f>
        <v>Do not send</v>
      </c>
      <c r="C464" s="50" t="str">
        <f>'WhatsApp Tracker'!M461</f>
        <v>Hold</v>
      </c>
      <c r="D464" s="50">
        <f>'WhatsApp Tracker'!AN461</f>
        <v>5</v>
      </c>
      <c r="E464" s="50" t="str">
        <f>'WhatsApp Tracker'!AL461</f>
        <v>Parsed directory row</v>
      </c>
      <c r="F464" s="50" t="str">
        <f>'WhatsApp Tracker'!B461</f>
        <v>Imported contact</v>
      </c>
      <c r="G464" s="50">
        <f>'WhatsApp Tracker'!C461</f>
        <v>0</v>
      </c>
      <c r="H464" s="50" t="str">
        <f>'WhatsApp Tracker'!D461</f>
        <v>9954666384</v>
      </c>
      <c r="I464" s="50" t="str">
        <f>'WhatsApp Tracker'!T461</f>
        <v>Not sent</v>
      </c>
      <c r="J464" s="50" t="str">
        <f>'WhatsApp Tracker'!U461</f>
        <v>Unknown</v>
      </c>
      <c r="K464" s="50" t="str">
        <f>'WhatsApp Tracker'!V461</f>
        <v>Unknown</v>
      </c>
      <c r="L464" s="50" t="str">
        <f>'WhatsApp Tracker'!W461</f>
        <v>Not offered</v>
      </c>
      <c r="M464" s="51" t="str">
        <f>'WhatsApp Tracker'!X461</f>
        <v/>
      </c>
      <c r="N464" s="50" t="str">
        <f>'WhatsApp Tracker'!AM461</f>
        <v>Low confidence: verify before sending</v>
      </c>
      <c r="O464" s="50" t="str">
        <f>'WhatsApp Tracker'!AC461</f>
        <v>Imported from extract_garden. Confidence: Low. Parsed from Assam Tea Directory row, verify before sending</v>
      </c>
    </row>
    <row r="465" spans="1:15" x14ac:dyDescent="0.25">
      <c r="A465" s="50">
        <f>'WhatsApp Tracker'!AH462</f>
        <v>9596</v>
      </c>
      <c r="B465" s="50" t="str">
        <f>'WhatsApp Tracker'!AA462</f>
        <v>Do not send</v>
      </c>
      <c r="C465" s="50" t="str">
        <f>'WhatsApp Tracker'!M462</f>
        <v>Hold</v>
      </c>
      <c r="D465" s="50">
        <f>'WhatsApp Tracker'!AN462</f>
        <v>5</v>
      </c>
      <c r="E465" s="50" t="str">
        <f>'WhatsApp Tracker'!AL462</f>
        <v>Parsed directory row</v>
      </c>
      <c r="F465" s="50" t="str">
        <f>'WhatsApp Tracker'!B462</f>
        <v>Imported contact</v>
      </c>
      <c r="G465" s="50">
        <f>'WhatsApp Tracker'!C462</f>
        <v>0</v>
      </c>
      <c r="H465" s="50" t="str">
        <f>'WhatsApp Tracker'!D462</f>
        <v>9435349548</v>
      </c>
      <c r="I465" s="50" t="str">
        <f>'WhatsApp Tracker'!T462</f>
        <v>Not sent</v>
      </c>
      <c r="J465" s="50" t="str">
        <f>'WhatsApp Tracker'!U462</f>
        <v>Unknown</v>
      </c>
      <c r="K465" s="50" t="str">
        <f>'WhatsApp Tracker'!V462</f>
        <v>Unknown</v>
      </c>
      <c r="L465" s="50" t="str">
        <f>'WhatsApp Tracker'!W462</f>
        <v>Not offered</v>
      </c>
      <c r="M465" s="51" t="str">
        <f>'WhatsApp Tracker'!X462</f>
        <v/>
      </c>
      <c r="N465" s="50" t="str">
        <f>'WhatsApp Tracker'!AM462</f>
        <v>Low confidence: verify before sending</v>
      </c>
      <c r="O465" s="50" t="str">
        <f>'WhatsApp Tracker'!AC462</f>
        <v>Imported from extract_garden. Confidence: Low. Parsed from Assam Tea Directory row, verify before sending</v>
      </c>
    </row>
    <row r="466" spans="1:15" x14ac:dyDescent="0.25">
      <c r="A466" s="50">
        <f>'WhatsApp Tracker'!AH463</f>
        <v>9596</v>
      </c>
      <c r="B466" s="50" t="str">
        <f>'WhatsApp Tracker'!AA463</f>
        <v>Do not send</v>
      </c>
      <c r="C466" s="50" t="str">
        <f>'WhatsApp Tracker'!M463</f>
        <v>Hold</v>
      </c>
      <c r="D466" s="50">
        <f>'WhatsApp Tracker'!AN463</f>
        <v>5</v>
      </c>
      <c r="E466" s="50" t="str">
        <f>'WhatsApp Tracker'!AL463</f>
        <v>Parsed directory row</v>
      </c>
      <c r="F466" s="50" t="str">
        <f>'WhatsApp Tracker'!B463</f>
        <v>Imported contact</v>
      </c>
      <c r="G466" s="50">
        <f>'WhatsApp Tracker'!C463</f>
        <v>0</v>
      </c>
      <c r="H466" s="50" t="str">
        <f>'WhatsApp Tracker'!D463</f>
        <v>9435058503</v>
      </c>
      <c r="I466" s="50" t="str">
        <f>'WhatsApp Tracker'!T463</f>
        <v>Not sent</v>
      </c>
      <c r="J466" s="50" t="str">
        <f>'WhatsApp Tracker'!U463</f>
        <v>Unknown</v>
      </c>
      <c r="K466" s="50" t="str">
        <f>'WhatsApp Tracker'!V463</f>
        <v>Unknown</v>
      </c>
      <c r="L466" s="50" t="str">
        <f>'WhatsApp Tracker'!W463</f>
        <v>Not offered</v>
      </c>
      <c r="M466" s="51" t="str">
        <f>'WhatsApp Tracker'!X463</f>
        <v/>
      </c>
      <c r="N466" s="50" t="str">
        <f>'WhatsApp Tracker'!AM463</f>
        <v>Low confidence: verify before sending</v>
      </c>
      <c r="O466" s="50" t="str">
        <f>'WhatsApp Tracker'!AC463</f>
        <v>Imported from extract_garden. Confidence: Low. Parsed from Assam Tea Directory row, verify before sending</v>
      </c>
    </row>
    <row r="467" spans="1:15" x14ac:dyDescent="0.25">
      <c r="A467" s="50">
        <f>'WhatsApp Tracker'!AH464</f>
        <v>9596</v>
      </c>
      <c r="B467" s="50" t="str">
        <f>'WhatsApp Tracker'!AA464</f>
        <v>Do not send</v>
      </c>
      <c r="C467" s="50" t="str">
        <f>'WhatsApp Tracker'!M464</f>
        <v>Hold</v>
      </c>
      <c r="D467" s="50">
        <f>'WhatsApp Tracker'!AN464</f>
        <v>5</v>
      </c>
      <c r="E467" s="50" t="str">
        <f>'WhatsApp Tracker'!AL464</f>
        <v>Parsed directory row</v>
      </c>
      <c r="F467" s="50" t="str">
        <f>'WhatsApp Tracker'!B464</f>
        <v>Imported contact</v>
      </c>
      <c r="G467" s="50">
        <f>'WhatsApp Tracker'!C464</f>
        <v>0</v>
      </c>
      <c r="H467" s="50" t="str">
        <f>'WhatsApp Tracker'!D464</f>
        <v>9707629951</v>
      </c>
      <c r="I467" s="50" t="str">
        <f>'WhatsApp Tracker'!T464</f>
        <v>Not sent</v>
      </c>
      <c r="J467" s="50" t="str">
        <f>'WhatsApp Tracker'!U464</f>
        <v>Unknown</v>
      </c>
      <c r="K467" s="50" t="str">
        <f>'WhatsApp Tracker'!V464</f>
        <v>Unknown</v>
      </c>
      <c r="L467" s="50" t="str">
        <f>'WhatsApp Tracker'!W464</f>
        <v>Not offered</v>
      </c>
      <c r="M467" s="51" t="str">
        <f>'WhatsApp Tracker'!X464</f>
        <v/>
      </c>
      <c r="N467" s="50" t="str">
        <f>'WhatsApp Tracker'!AM464</f>
        <v>Low confidence: verify before sending</v>
      </c>
      <c r="O467" s="50" t="str">
        <f>'WhatsApp Tracker'!AC464</f>
        <v>Imported from extract_garden. Confidence: Low. Parsed from Assam Tea Directory row, verify before sending</v>
      </c>
    </row>
    <row r="468" spans="1:15" x14ac:dyDescent="0.25">
      <c r="A468" s="50">
        <f>'WhatsApp Tracker'!AH465</f>
        <v>9596</v>
      </c>
      <c r="B468" s="50" t="str">
        <f>'WhatsApp Tracker'!AA465</f>
        <v>Do not send</v>
      </c>
      <c r="C468" s="50" t="str">
        <f>'WhatsApp Tracker'!M465</f>
        <v>Hold</v>
      </c>
      <c r="D468" s="50">
        <f>'WhatsApp Tracker'!AN465</f>
        <v>5</v>
      </c>
      <c r="E468" s="50" t="str">
        <f>'WhatsApp Tracker'!AL465</f>
        <v>Parsed directory row</v>
      </c>
      <c r="F468" s="50" t="str">
        <f>'WhatsApp Tracker'!B465</f>
        <v>Imported contact</v>
      </c>
      <c r="G468" s="50">
        <f>'WhatsApp Tracker'!C465</f>
        <v>0</v>
      </c>
      <c r="H468" s="50" t="str">
        <f>'WhatsApp Tracker'!D465</f>
        <v>9435332285</v>
      </c>
      <c r="I468" s="50" t="str">
        <f>'WhatsApp Tracker'!T465</f>
        <v>Not sent</v>
      </c>
      <c r="J468" s="50" t="str">
        <f>'WhatsApp Tracker'!U465</f>
        <v>Unknown</v>
      </c>
      <c r="K468" s="50" t="str">
        <f>'WhatsApp Tracker'!V465</f>
        <v>Unknown</v>
      </c>
      <c r="L468" s="50" t="str">
        <f>'WhatsApp Tracker'!W465</f>
        <v>Not offered</v>
      </c>
      <c r="M468" s="51" t="str">
        <f>'WhatsApp Tracker'!X465</f>
        <v/>
      </c>
      <c r="N468" s="50" t="str">
        <f>'WhatsApp Tracker'!AM465</f>
        <v>Low confidence: verify before sending</v>
      </c>
      <c r="O468" s="50" t="str">
        <f>'WhatsApp Tracker'!AC465</f>
        <v>Imported from extract_garden. Confidence: Low. Parsed from Assam Tea Directory row, verify before sending</v>
      </c>
    </row>
    <row r="469" spans="1:15" x14ac:dyDescent="0.25">
      <c r="A469" s="50">
        <f>'WhatsApp Tracker'!AH466</f>
        <v>9596</v>
      </c>
      <c r="B469" s="50" t="str">
        <f>'WhatsApp Tracker'!AA466</f>
        <v>Do not send</v>
      </c>
      <c r="C469" s="50" t="str">
        <f>'WhatsApp Tracker'!M466</f>
        <v>Hold</v>
      </c>
      <c r="D469" s="50">
        <f>'WhatsApp Tracker'!AN466</f>
        <v>5</v>
      </c>
      <c r="E469" s="50" t="str">
        <f>'WhatsApp Tracker'!AL466</f>
        <v>Parsed directory row</v>
      </c>
      <c r="F469" s="50" t="str">
        <f>'WhatsApp Tracker'!B466</f>
        <v>Imported contact</v>
      </c>
      <c r="G469" s="50">
        <f>'WhatsApp Tracker'!C466</f>
        <v>0</v>
      </c>
      <c r="H469" s="50" t="str">
        <f>'WhatsApp Tracker'!D466</f>
        <v>9435162653</v>
      </c>
      <c r="I469" s="50" t="str">
        <f>'WhatsApp Tracker'!T466</f>
        <v>Not sent</v>
      </c>
      <c r="J469" s="50" t="str">
        <f>'WhatsApp Tracker'!U466</f>
        <v>Unknown</v>
      </c>
      <c r="K469" s="50" t="str">
        <f>'WhatsApp Tracker'!V466</f>
        <v>Unknown</v>
      </c>
      <c r="L469" s="50" t="str">
        <f>'WhatsApp Tracker'!W466</f>
        <v>Not offered</v>
      </c>
      <c r="M469" s="51" t="str">
        <f>'WhatsApp Tracker'!X466</f>
        <v/>
      </c>
      <c r="N469" s="50" t="str">
        <f>'WhatsApp Tracker'!AM466</f>
        <v>Low confidence: verify before sending</v>
      </c>
      <c r="O469" s="50" t="str">
        <f>'WhatsApp Tracker'!AC466</f>
        <v>Imported from extract_garden. Confidence: Low. Parsed from Assam Tea Directory row, verify before sending</v>
      </c>
    </row>
    <row r="470" spans="1:15" x14ac:dyDescent="0.25">
      <c r="A470" s="50">
        <f>'WhatsApp Tracker'!AH467</f>
        <v>9596</v>
      </c>
      <c r="B470" s="50" t="str">
        <f>'WhatsApp Tracker'!AA467</f>
        <v>Do not send</v>
      </c>
      <c r="C470" s="50" t="str">
        <f>'WhatsApp Tracker'!M467</f>
        <v>Hold</v>
      </c>
      <c r="D470" s="50">
        <f>'WhatsApp Tracker'!AN467</f>
        <v>5</v>
      </c>
      <c r="E470" s="50" t="str">
        <f>'WhatsApp Tracker'!AL467</f>
        <v>Parsed directory row</v>
      </c>
      <c r="F470" s="50" t="str">
        <f>'WhatsApp Tracker'!B467</f>
        <v>Imported contact</v>
      </c>
      <c r="G470" s="50">
        <f>'WhatsApp Tracker'!C467</f>
        <v>0</v>
      </c>
      <c r="H470" s="50" t="str">
        <f>'WhatsApp Tracker'!D467</f>
        <v>9435336873</v>
      </c>
      <c r="I470" s="50" t="str">
        <f>'WhatsApp Tracker'!T467</f>
        <v>Not sent</v>
      </c>
      <c r="J470" s="50" t="str">
        <f>'WhatsApp Tracker'!U467</f>
        <v>Unknown</v>
      </c>
      <c r="K470" s="50" t="str">
        <f>'WhatsApp Tracker'!V467</f>
        <v>Unknown</v>
      </c>
      <c r="L470" s="50" t="str">
        <f>'WhatsApp Tracker'!W467</f>
        <v>Not offered</v>
      </c>
      <c r="M470" s="51" t="str">
        <f>'WhatsApp Tracker'!X467</f>
        <v/>
      </c>
      <c r="N470" s="50" t="str">
        <f>'WhatsApp Tracker'!AM467</f>
        <v>Low confidence: verify before sending</v>
      </c>
      <c r="O470" s="50" t="str">
        <f>'WhatsApp Tracker'!AC467</f>
        <v>Imported from extract_garden. Confidence: Low. Parsed from Assam Tea Directory row, verify before sending</v>
      </c>
    </row>
    <row r="471" spans="1:15" x14ac:dyDescent="0.25">
      <c r="A471" s="50">
        <f>'WhatsApp Tracker'!AH468</f>
        <v>9596</v>
      </c>
      <c r="B471" s="50" t="str">
        <f>'WhatsApp Tracker'!AA468</f>
        <v>Do not send</v>
      </c>
      <c r="C471" s="50" t="str">
        <f>'WhatsApp Tracker'!M468</f>
        <v>Hold</v>
      </c>
      <c r="D471" s="50">
        <f>'WhatsApp Tracker'!AN468</f>
        <v>5</v>
      </c>
      <c r="E471" s="50" t="str">
        <f>'WhatsApp Tracker'!AL468</f>
        <v>Parsed directory row</v>
      </c>
      <c r="F471" s="50" t="str">
        <f>'WhatsApp Tracker'!B468</f>
        <v>ASSAM. C</v>
      </c>
      <c r="G471" s="50" t="str">
        <f>'WhatsApp Tracker'!C468</f>
        <v>ASSAM. C</v>
      </c>
      <c r="H471" s="50" t="str">
        <f>'WhatsApp Tracker'!D468</f>
        <v>9883611101</v>
      </c>
      <c r="I471" s="50" t="str">
        <f>'WhatsApp Tracker'!T468</f>
        <v>Not sent</v>
      </c>
      <c r="J471" s="50" t="str">
        <f>'WhatsApp Tracker'!U468</f>
        <v>Unknown</v>
      </c>
      <c r="K471" s="50" t="str">
        <f>'WhatsApp Tracker'!V468</f>
        <v>Unknown</v>
      </c>
      <c r="L471" s="50" t="str">
        <f>'WhatsApp Tracker'!W468</f>
        <v>Not offered</v>
      </c>
      <c r="M471" s="51" t="str">
        <f>'WhatsApp Tracker'!X468</f>
        <v/>
      </c>
      <c r="N471" s="50" t="str">
        <f>'WhatsApp Tracker'!AM468</f>
        <v>Low confidence: verify before sending</v>
      </c>
      <c r="O471" s="50" t="str">
        <f>'WhatsApp Tracker'!AC468</f>
        <v>Imported from extract_garden. Confidence: Low. Parsed from Assam Tea Directory row, verify before sending</v>
      </c>
    </row>
    <row r="472" spans="1:15" x14ac:dyDescent="0.25">
      <c r="A472" s="50">
        <f>'WhatsApp Tracker'!AH469</f>
        <v>9596</v>
      </c>
      <c r="B472" s="50" t="str">
        <f>'WhatsApp Tracker'!AA469</f>
        <v>Do not send</v>
      </c>
      <c r="C472" s="50" t="str">
        <f>'WhatsApp Tracker'!M469</f>
        <v>Hold</v>
      </c>
      <c r="D472" s="50">
        <f>'WhatsApp Tracker'!AN469</f>
        <v>5</v>
      </c>
      <c r="E472" s="50" t="str">
        <f>'WhatsApp Tracker'!AL469</f>
        <v>Parsed directory row</v>
      </c>
      <c r="F472" s="50" t="str">
        <f>'WhatsApp Tracker'!B469</f>
        <v>Imported contact</v>
      </c>
      <c r="G472" s="50">
        <f>'WhatsApp Tracker'!C469</f>
        <v>0</v>
      </c>
      <c r="H472" s="50" t="str">
        <f>'WhatsApp Tracker'!D469</f>
        <v>9678004787</v>
      </c>
      <c r="I472" s="50" t="str">
        <f>'WhatsApp Tracker'!T469</f>
        <v>Not sent</v>
      </c>
      <c r="J472" s="50" t="str">
        <f>'WhatsApp Tracker'!U469</f>
        <v>Unknown</v>
      </c>
      <c r="K472" s="50" t="str">
        <f>'WhatsApp Tracker'!V469</f>
        <v>Unknown</v>
      </c>
      <c r="L472" s="50" t="str">
        <f>'WhatsApp Tracker'!W469</f>
        <v>Not offered</v>
      </c>
      <c r="M472" s="51" t="str">
        <f>'WhatsApp Tracker'!X469</f>
        <v/>
      </c>
      <c r="N472" s="50" t="str">
        <f>'WhatsApp Tracker'!AM469</f>
        <v>Low confidence: verify before sending</v>
      </c>
      <c r="O472" s="50" t="str">
        <f>'WhatsApp Tracker'!AC469</f>
        <v>Imported from extract_garden. Confidence: Low. Parsed from Assam Tea Directory row, verify before sending</v>
      </c>
    </row>
    <row r="473" spans="1:15" x14ac:dyDescent="0.25">
      <c r="A473" s="50">
        <f>'WhatsApp Tracker'!AH470</f>
        <v>9596</v>
      </c>
      <c r="B473" s="50" t="str">
        <f>'WhatsApp Tracker'!AA470</f>
        <v>Do not send</v>
      </c>
      <c r="C473" s="50" t="str">
        <f>'WhatsApp Tracker'!M470</f>
        <v>Hold</v>
      </c>
      <c r="D473" s="50">
        <f>'WhatsApp Tracker'!AN470</f>
        <v>5</v>
      </c>
      <c r="E473" s="50" t="str">
        <f>'WhatsApp Tracker'!AL470</f>
        <v>Parsed directory row</v>
      </c>
      <c r="F473" s="50" t="str">
        <f>'WhatsApp Tracker'!B470</f>
        <v>Imported contact</v>
      </c>
      <c r="G473" s="50">
        <f>'WhatsApp Tracker'!C470</f>
        <v>0</v>
      </c>
      <c r="H473" s="50" t="str">
        <f>'WhatsApp Tracker'!D470</f>
        <v>9435031097</v>
      </c>
      <c r="I473" s="50" t="str">
        <f>'WhatsApp Tracker'!T470</f>
        <v>Not sent</v>
      </c>
      <c r="J473" s="50" t="str">
        <f>'WhatsApp Tracker'!U470</f>
        <v>Unknown</v>
      </c>
      <c r="K473" s="50" t="str">
        <f>'WhatsApp Tracker'!V470</f>
        <v>Unknown</v>
      </c>
      <c r="L473" s="50" t="str">
        <f>'WhatsApp Tracker'!W470</f>
        <v>Not offered</v>
      </c>
      <c r="M473" s="51" t="str">
        <f>'WhatsApp Tracker'!X470</f>
        <v/>
      </c>
      <c r="N473" s="50" t="str">
        <f>'WhatsApp Tracker'!AM470</f>
        <v>Low confidence: verify before sending</v>
      </c>
      <c r="O473" s="50" t="str">
        <f>'WhatsApp Tracker'!AC470</f>
        <v>Imported from extract_garden. Confidence: Low. Parsed from Assam Tea Directory row, verify before sending</v>
      </c>
    </row>
    <row r="474" spans="1:15" x14ac:dyDescent="0.25">
      <c r="A474" s="50">
        <f>'WhatsApp Tracker'!AH471</f>
        <v>9596</v>
      </c>
      <c r="B474" s="50" t="str">
        <f>'WhatsApp Tracker'!AA471</f>
        <v>Do not send</v>
      </c>
      <c r="C474" s="50" t="str">
        <f>'WhatsApp Tracker'!M471</f>
        <v>Hold</v>
      </c>
      <c r="D474" s="50">
        <f>'WhatsApp Tracker'!AN471</f>
        <v>5</v>
      </c>
      <c r="E474" s="50" t="str">
        <f>'WhatsApp Tracker'!AL471</f>
        <v>Parsed directory row</v>
      </c>
      <c r="F474" s="50" t="str">
        <f>'WhatsApp Tracker'!B471</f>
        <v>Imported contact</v>
      </c>
      <c r="G474" s="50">
        <f>'WhatsApp Tracker'!C471</f>
        <v>0</v>
      </c>
      <c r="H474" s="50" t="str">
        <f>'WhatsApp Tracker'!D471</f>
        <v>9435181626</v>
      </c>
      <c r="I474" s="50" t="str">
        <f>'WhatsApp Tracker'!T471</f>
        <v>Not sent</v>
      </c>
      <c r="J474" s="50" t="str">
        <f>'WhatsApp Tracker'!U471</f>
        <v>Unknown</v>
      </c>
      <c r="K474" s="50" t="str">
        <f>'WhatsApp Tracker'!V471</f>
        <v>Unknown</v>
      </c>
      <c r="L474" s="50" t="str">
        <f>'WhatsApp Tracker'!W471</f>
        <v>Not offered</v>
      </c>
      <c r="M474" s="51" t="str">
        <f>'WhatsApp Tracker'!X471</f>
        <v/>
      </c>
      <c r="N474" s="50" t="str">
        <f>'WhatsApp Tracker'!AM471</f>
        <v>Low confidence: verify before sending</v>
      </c>
      <c r="O474" s="50" t="str">
        <f>'WhatsApp Tracker'!AC471</f>
        <v>Imported from extract_garden. Confidence: Low. Parsed from Assam Tea Directory row, verify before sending</v>
      </c>
    </row>
    <row r="475" spans="1:15" x14ac:dyDescent="0.25">
      <c r="A475" s="50">
        <f>'WhatsApp Tracker'!AH472</f>
        <v>9596</v>
      </c>
      <c r="B475" s="50" t="str">
        <f>'WhatsApp Tracker'!AA472</f>
        <v>Do not send</v>
      </c>
      <c r="C475" s="50" t="str">
        <f>'WhatsApp Tracker'!M472</f>
        <v>Hold</v>
      </c>
      <c r="D475" s="50">
        <f>'WhatsApp Tracker'!AN472</f>
        <v>5</v>
      </c>
      <c r="E475" s="50" t="str">
        <f>'WhatsApp Tracker'!AL472</f>
        <v>Parsed directory row</v>
      </c>
      <c r="F475" s="50" t="str">
        <f>'WhatsApp Tracker'!B472</f>
        <v>Imported contact</v>
      </c>
      <c r="G475" s="50">
        <f>'WhatsApp Tracker'!C472</f>
        <v>0</v>
      </c>
      <c r="H475" s="50" t="str">
        <f>'WhatsApp Tracker'!D472</f>
        <v>9435088605</v>
      </c>
      <c r="I475" s="50" t="str">
        <f>'WhatsApp Tracker'!T472</f>
        <v>Not sent</v>
      </c>
      <c r="J475" s="50" t="str">
        <f>'WhatsApp Tracker'!U472</f>
        <v>Unknown</v>
      </c>
      <c r="K475" s="50" t="str">
        <f>'WhatsApp Tracker'!V472</f>
        <v>Unknown</v>
      </c>
      <c r="L475" s="50" t="str">
        <f>'WhatsApp Tracker'!W472</f>
        <v>Not offered</v>
      </c>
      <c r="M475" s="51" t="str">
        <f>'WhatsApp Tracker'!X472</f>
        <v/>
      </c>
      <c r="N475" s="50" t="str">
        <f>'WhatsApp Tracker'!AM472</f>
        <v>Low confidence: verify before sending</v>
      </c>
      <c r="O475" s="50" t="str">
        <f>'WhatsApp Tracker'!AC472</f>
        <v>Imported from extract_garden. Confidence: Low. Parsed from Assam Tea Directory row, verify before sending</v>
      </c>
    </row>
    <row r="476" spans="1:15" x14ac:dyDescent="0.25">
      <c r="A476" s="50">
        <f>'WhatsApp Tracker'!AH473</f>
        <v>9596</v>
      </c>
      <c r="B476" s="50" t="str">
        <f>'WhatsApp Tracker'!AA473</f>
        <v>Do not send</v>
      </c>
      <c r="C476" s="50" t="str">
        <f>'WhatsApp Tracker'!M473</f>
        <v>Hold</v>
      </c>
      <c r="D476" s="50">
        <f>'WhatsApp Tracker'!AN473</f>
        <v>5</v>
      </c>
      <c r="E476" s="50" t="str">
        <f>'WhatsApp Tracker'!AL473</f>
        <v>Parsed directory row</v>
      </c>
      <c r="F476" s="50" t="str">
        <f>'WhatsApp Tracker'!B473</f>
        <v>Imported contact</v>
      </c>
      <c r="G476" s="50">
        <f>'WhatsApp Tracker'!C473</f>
        <v>0</v>
      </c>
      <c r="H476" s="50" t="str">
        <f>'WhatsApp Tracker'!D473</f>
        <v>9435092538</v>
      </c>
      <c r="I476" s="50" t="str">
        <f>'WhatsApp Tracker'!T473</f>
        <v>Not sent</v>
      </c>
      <c r="J476" s="50" t="str">
        <f>'WhatsApp Tracker'!U473</f>
        <v>Unknown</v>
      </c>
      <c r="K476" s="50" t="str">
        <f>'WhatsApp Tracker'!V473</f>
        <v>Unknown</v>
      </c>
      <c r="L476" s="50" t="str">
        <f>'WhatsApp Tracker'!W473</f>
        <v>Not offered</v>
      </c>
      <c r="M476" s="51" t="str">
        <f>'WhatsApp Tracker'!X473</f>
        <v/>
      </c>
      <c r="N476" s="50" t="str">
        <f>'WhatsApp Tracker'!AM473</f>
        <v>Low confidence: verify before sending</v>
      </c>
      <c r="O476" s="50" t="str">
        <f>'WhatsApp Tracker'!AC473</f>
        <v>Imported from extract_garden. Confidence: Low. Parsed from Assam Tea Directory row, verify before sending</v>
      </c>
    </row>
    <row r="477" spans="1:15" x14ac:dyDescent="0.25">
      <c r="A477" s="50">
        <f>'WhatsApp Tracker'!AH474</f>
        <v>9596</v>
      </c>
      <c r="B477" s="50" t="str">
        <f>'WhatsApp Tracker'!AA474</f>
        <v>Do not send</v>
      </c>
      <c r="C477" s="50" t="str">
        <f>'WhatsApp Tracker'!M474</f>
        <v>Hold</v>
      </c>
      <c r="D477" s="50">
        <f>'WhatsApp Tracker'!AN474</f>
        <v>5</v>
      </c>
      <c r="E477" s="50" t="str">
        <f>'WhatsApp Tracker'!AL474</f>
        <v>Parsed directory row</v>
      </c>
      <c r="F477" s="50" t="str">
        <f>'WhatsApp Tracker'!B474</f>
        <v>Imported contact</v>
      </c>
      <c r="G477" s="50">
        <f>'WhatsApp Tracker'!C474</f>
        <v>0</v>
      </c>
      <c r="H477" s="50" t="str">
        <f>'WhatsApp Tracker'!D474</f>
        <v>8011684624</v>
      </c>
      <c r="I477" s="50" t="str">
        <f>'WhatsApp Tracker'!T474</f>
        <v>Not sent</v>
      </c>
      <c r="J477" s="50" t="str">
        <f>'WhatsApp Tracker'!U474</f>
        <v>Unknown</v>
      </c>
      <c r="K477" s="50" t="str">
        <f>'WhatsApp Tracker'!V474</f>
        <v>Unknown</v>
      </c>
      <c r="L477" s="50" t="str">
        <f>'WhatsApp Tracker'!W474</f>
        <v>Not offered</v>
      </c>
      <c r="M477" s="51" t="str">
        <f>'WhatsApp Tracker'!X474</f>
        <v/>
      </c>
      <c r="N477" s="50" t="str">
        <f>'WhatsApp Tracker'!AM474</f>
        <v>Low confidence: verify before sending</v>
      </c>
      <c r="O477" s="50" t="str">
        <f>'WhatsApp Tracker'!AC474</f>
        <v>Imported from extract_garden. Confidence: Low. Parsed from Assam Tea Directory row, verify before sending</v>
      </c>
    </row>
    <row r="478" spans="1:15" x14ac:dyDescent="0.25">
      <c r="A478" s="50">
        <f>'WhatsApp Tracker'!AH475</f>
        <v>9596</v>
      </c>
      <c r="B478" s="50" t="str">
        <f>'WhatsApp Tracker'!AA475</f>
        <v>Do not send</v>
      </c>
      <c r="C478" s="50" t="str">
        <f>'WhatsApp Tracker'!M475</f>
        <v>Hold</v>
      </c>
      <c r="D478" s="50">
        <f>'WhatsApp Tracker'!AN475</f>
        <v>5</v>
      </c>
      <c r="E478" s="50" t="str">
        <f>'WhatsApp Tracker'!AL475</f>
        <v>Parsed directory row</v>
      </c>
      <c r="F478" s="50" t="str">
        <f>'WhatsApp Tracker'!B475</f>
        <v>Imported contact</v>
      </c>
      <c r="G478" s="50">
        <f>'WhatsApp Tracker'!C475</f>
        <v>0</v>
      </c>
      <c r="H478" s="50" t="str">
        <f>'WhatsApp Tracker'!D475</f>
        <v>9435543839</v>
      </c>
      <c r="I478" s="50" t="str">
        <f>'WhatsApp Tracker'!T475</f>
        <v>Not sent</v>
      </c>
      <c r="J478" s="50" t="str">
        <f>'WhatsApp Tracker'!U475</f>
        <v>Unknown</v>
      </c>
      <c r="K478" s="50" t="str">
        <f>'WhatsApp Tracker'!V475</f>
        <v>Unknown</v>
      </c>
      <c r="L478" s="50" t="str">
        <f>'WhatsApp Tracker'!W475</f>
        <v>Not offered</v>
      </c>
      <c r="M478" s="51" t="str">
        <f>'WhatsApp Tracker'!X475</f>
        <v/>
      </c>
      <c r="N478" s="50" t="str">
        <f>'WhatsApp Tracker'!AM475</f>
        <v>Low confidence: verify before sending</v>
      </c>
      <c r="O478" s="50" t="str">
        <f>'WhatsApp Tracker'!AC475</f>
        <v>Imported from extract_garden. Confidence: Low. Parsed from Assam Tea Directory row, verify before sending</v>
      </c>
    </row>
    <row r="479" spans="1:15" x14ac:dyDescent="0.25">
      <c r="A479" s="50">
        <f>'WhatsApp Tracker'!AH476</f>
        <v>9596</v>
      </c>
      <c r="B479" s="50" t="str">
        <f>'WhatsApp Tracker'!AA476</f>
        <v>Do not send</v>
      </c>
      <c r="C479" s="50" t="str">
        <f>'WhatsApp Tracker'!M476</f>
        <v>Hold</v>
      </c>
      <c r="D479" s="50">
        <f>'WhatsApp Tracker'!AN476</f>
        <v>5</v>
      </c>
      <c r="E479" s="50" t="str">
        <f>'WhatsApp Tracker'!AL476</f>
        <v>Parsed directory row</v>
      </c>
      <c r="F479" s="50" t="str">
        <f>'WhatsApp Tracker'!B476</f>
        <v>Imported contact</v>
      </c>
      <c r="G479" s="50">
        <f>'WhatsApp Tracker'!C476</f>
        <v>0</v>
      </c>
      <c r="H479" s="50" t="str">
        <f>'WhatsApp Tracker'!D476</f>
        <v>9954144699</v>
      </c>
      <c r="I479" s="50" t="str">
        <f>'WhatsApp Tracker'!T476</f>
        <v>Not sent</v>
      </c>
      <c r="J479" s="50" t="str">
        <f>'WhatsApp Tracker'!U476</f>
        <v>Unknown</v>
      </c>
      <c r="K479" s="50" t="str">
        <f>'WhatsApp Tracker'!V476</f>
        <v>Unknown</v>
      </c>
      <c r="L479" s="50" t="str">
        <f>'WhatsApp Tracker'!W476</f>
        <v>Not offered</v>
      </c>
      <c r="M479" s="51" t="str">
        <f>'WhatsApp Tracker'!X476</f>
        <v/>
      </c>
      <c r="N479" s="50" t="str">
        <f>'WhatsApp Tracker'!AM476</f>
        <v>Low confidence: verify before sending</v>
      </c>
      <c r="O479" s="50" t="str">
        <f>'WhatsApp Tracker'!AC476</f>
        <v>Imported from extract_garden. Confidence: Low. Parsed from Assam Tea Directory row, verify before sending</v>
      </c>
    </row>
    <row r="480" spans="1:15" x14ac:dyDescent="0.25">
      <c r="A480" s="50">
        <f>'WhatsApp Tracker'!AH477</f>
        <v>9596</v>
      </c>
      <c r="B480" s="50" t="str">
        <f>'WhatsApp Tracker'!AA477</f>
        <v>Do not send</v>
      </c>
      <c r="C480" s="50" t="str">
        <f>'WhatsApp Tracker'!M477</f>
        <v>Hold</v>
      </c>
      <c r="D480" s="50">
        <f>'WhatsApp Tracker'!AN477</f>
        <v>5</v>
      </c>
      <c r="E480" s="50" t="str">
        <f>'WhatsApp Tracker'!AL477</f>
        <v>Parsed directory row</v>
      </c>
      <c r="F480" s="50" t="str">
        <f>'WhatsApp Tracker'!B477</f>
        <v>Imported contact</v>
      </c>
      <c r="G480" s="50">
        <f>'WhatsApp Tracker'!C477</f>
        <v>0</v>
      </c>
      <c r="H480" s="50" t="str">
        <f>'WhatsApp Tracker'!D477</f>
        <v>9903193454</v>
      </c>
      <c r="I480" s="50" t="str">
        <f>'WhatsApp Tracker'!T477</f>
        <v>Not sent</v>
      </c>
      <c r="J480" s="50" t="str">
        <f>'WhatsApp Tracker'!U477</f>
        <v>Unknown</v>
      </c>
      <c r="K480" s="50" t="str">
        <f>'WhatsApp Tracker'!V477</f>
        <v>Unknown</v>
      </c>
      <c r="L480" s="50" t="str">
        <f>'WhatsApp Tracker'!W477</f>
        <v>Not offered</v>
      </c>
      <c r="M480" s="51" t="str">
        <f>'WhatsApp Tracker'!X477</f>
        <v/>
      </c>
      <c r="N480" s="50" t="str">
        <f>'WhatsApp Tracker'!AM477</f>
        <v>Low confidence: verify before sending</v>
      </c>
      <c r="O480" s="50" t="str">
        <f>'WhatsApp Tracker'!AC477</f>
        <v>Imported from extract_garden. Confidence: Low. Parsed from Assam Tea Directory row, verify before sending</v>
      </c>
    </row>
    <row r="481" spans="1:15" x14ac:dyDescent="0.25">
      <c r="A481" s="50">
        <f>'WhatsApp Tracker'!AH478</f>
        <v>9596</v>
      </c>
      <c r="B481" s="50" t="str">
        <f>'WhatsApp Tracker'!AA478</f>
        <v>Do not send</v>
      </c>
      <c r="C481" s="50" t="str">
        <f>'WhatsApp Tracker'!M478</f>
        <v>Hold</v>
      </c>
      <c r="D481" s="50">
        <f>'WhatsApp Tracker'!AN478</f>
        <v>5</v>
      </c>
      <c r="E481" s="50" t="str">
        <f>'WhatsApp Tracker'!AL478</f>
        <v>Parsed directory row</v>
      </c>
      <c r="F481" s="50" t="str">
        <f>'WhatsApp Tracker'!B478</f>
        <v>Imported contact</v>
      </c>
      <c r="G481" s="50">
        <f>'WhatsApp Tracker'!C478</f>
        <v>0</v>
      </c>
      <c r="H481" s="50" t="str">
        <f>'WhatsApp Tracker'!D478</f>
        <v>9435033998</v>
      </c>
      <c r="I481" s="50" t="str">
        <f>'WhatsApp Tracker'!T478</f>
        <v>Not sent</v>
      </c>
      <c r="J481" s="50" t="str">
        <f>'WhatsApp Tracker'!U478</f>
        <v>Unknown</v>
      </c>
      <c r="K481" s="50" t="str">
        <f>'WhatsApp Tracker'!V478</f>
        <v>Unknown</v>
      </c>
      <c r="L481" s="50" t="str">
        <f>'WhatsApp Tracker'!W478</f>
        <v>Not offered</v>
      </c>
      <c r="M481" s="51" t="str">
        <f>'WhatsApp Tracker'!X478</f>
        <v/>
      </c>
      <c r="N481" s="50" t="str">
        <f>'WhatsApp Tracker'!AM478</f>
        <v>Low confidence: verify before sending</v>
      </c>
      <c r="O481" s="50" t="str">
        <f>'WhatsApp Tracker'!AC478</f>
        <v>Imported from extract_garden. Confidence: Low. Parsed from Assam Tea Directory row, verify before sending</v>
      </c>
    </row>
    <row r="482" spans="1:15" x14ac:dyDescent="0.25">
      <c r="A482" s="50">
        <f>'WhatsApp Tracker'!AH479</f>
        <v>9596</v>
      </c>
      <c r="B482" s="50" t="str">
        <f>'WhatsApp Tracker'!AA479</f>
        <v>Do not send</v>
      </c>
      <c r="C482" s="50" t="str">
        <f>'WhatsApp Tracker'!M479</f>
        <v>Hold</v>
      </c>
      <c r="D482" s="50">
        <f>'WhatsApp Tracker'!AN479</f>
        <v>5</v>
      </c>
      <c r="E482" s="50" t="str">
        <f>'WhatsApp Tracker'!AL479</f>
        <v>Parsed directory row</v>
      </c>
      <c r="F482" s="50" t="str">
        <f>'WhatsApp Tracker'!B479</f>
        <v>Imported contact</v>
      </c>
      <c r="G482" s="50">
        <f>'WhatsApp Tracker'!C479</f>
        <v>0</v>
      </c>
      <c r="H482" s="50" t="str">
        <f>'WhatsApp Tracker'!D479</f>
        <v>9435078803</v>
      </c>
      <c r="I482" s="50" t="str">
        <f>'WhatsApp Tracker'!T479</f>
        <v>Not sent</v>
      </c>
      <c r="J482" s="50" t="str">
        <f>'WhatsApp Tracker'!U479</f>
        <v>Unknown</v>
      </c>
      <c r="K482" s="50" t="str">
        <f>'WhatsApp Tracker'!V479</f>
        <v>Unknown</v>
      </c>
      <c r="L482" s="50" t="str">
        <f>'WhatsApp Tracker'!W479</f>
        <v>Not offered</v>
      </c>
      <c r="M482" s="51" t="str">
        <f>'WhatsApp Tracker'!X479</f>
        <v/>
      </c>
      <c r="N482" s="50" t="str">
        <f>'WhatsApp Tracker'!AM479</f>
        <v>Low confidence: verify before sending</v>
      </c>
      <c r="O482" s="50" t="str">
        <f>'WhatsApp Tracker'!AC479</f>
        <v>Imported from extract_garden. Confidence: Low. Parsed from Assam Tea Directory row, verify before sending</v>
      </c>
    </row>
    <row r="483" spans="1:15" x14ac:dyDescent="0.25">
      <c r="A483" s="50">
        <f>'WhatsApp Tracker'!AH480</f>
        <v>9596</v>
      </c>
      <c r="B483" s="50" t="str">
        <f>'WhatsApp Tracker'!AA480</f>
        <v>Do not send</v>
      </c>
      <c r="C483" s="50" t="str">
        <f>'WhatsApp Tracker'!M480</f>
        <v>Hold</v>
      </c>
      <c r="D483" s="50">
        <f>'WhatsApp Tracker'!AN480</f>
        <v>5</v>
      </c>
      <c r="E483" s="50" t="str">
        <f>'WhatsApp Tracker'!AL480</f>
        <v>Parsed directory row</v>
      </c>
      <c r="F483" s="50" t="str">
        <f>'WhatsApp Tracker'!B480</f>
        <v>HAILAKANDI</v>
      </c>
      <c r="G483" s="50" t="str">
        <f>'WhatsApp Tracker'!C480</f>
        <v>HAILAKANDI</v>
      </c>
      <c r="H483" s="50" t="str">
        <f>'WhatsApp Tracker'!D480</f>
        <v>9435136743</v>
      </c>
      <c r="I483" s="50" t="str">
        <f>'WhatsApp Tracker'!T480</f>
        <v>Not sent</v>
      </c>
      <c r="J483" s="50" t="str">
        <f>'WhatsApp Tracker'!U480</f>
        <v>Unknown</v>
      </c>
      <c r="K483" s="50" t="str">
        <f>'WhatsApp Tracker'!V480</f>
        <v>Unknown</v>
      </c>
      <c r="L483" s="50" t="str">
        <f>'WhatsApp Tracker'!W480</f>
        <v>Not offered</v>
      </c>
      <c r="M483" s="51" t="str">
        <f>'WhatsApp Tracker'!X480</f>
        <v/>
      </c>
      <c r="N483" s="50" t="str">
        <f>'WhatsApp Tracker'!AM480</f>
        <v>Low confidence: verify before sending</v>
      </c>
      <c r="O483" s="50" t="str">
        <f>'WhatsApp Tracker'!AC480</f>
        <v>Imported from extract_garden. Confidence: Low. Parsed from Assam Tea Directory row, verify before sending</v>
      </c>
    </row>
    <row r="484" spans="1:15" x14ac:dyDescent="0.25">
      <c r="A484" s="50">
        <f>'WhatsApp Tracker'!AH481</f>
        <v>9596</v>
      </c>
      <c r="B484" s="50" t="str">
        <f>'WhatsApp Tracker'!AA481</f>
        <v>Do not send</v>
      </c>
      <c r="C484" s="50" t="str">
        <f>'WhatsApp Tracker'!M481</f>
        <v>Hold</v>
      </c>
      <c r="D484" s="50">
        <f>'WhatsApp Tracker'!AN481</f>
        <v>5</v>
      </c>
      <c r="E484" s="50" t="str">
        <f>'WhatsApp Tracker'!AL481</f>
        <v>Parsed directory row</v>
      </c>
      <c r="F484" s="50" t="str">
        <f>'WhatsApp Tracker'!B481</f>
        <v>Imported contact</v>
      </c>
      <c r="G484" s="50">
        <f>'WhatsApp Tracker'!C481</f>
        <v>0</v>
      </c>
      <c r="H484" s="50" t="str">
        <f>'WhatsApp Tracker'!D481</f>
        <v>9401101496</v>
      </c>
      <c r="I484" s="50" t="str">
        <f>'WhatsApp Tracker'!T481</f>
        <v>Not sent</v>
      </c>
      <c r="J484" s="50" t="str">
        <f>'WhatsApp Tracker'!U481</f>
        <v>Unknown</v>
      </c>
      <c r="K484" s="50" t="str">
        <f>'WhatsApp Tracker'!V481</f>
        <v>Unknown</v>
      </c>
      <c r="L484" s="50" t="str">
        <f>'WhatsApp Tracker'!W481</f>
        <v>Not offered</v>
      </c>
      <c r="M484" s="51" t="str">
        <f>'WhatsApp Tracker'!X481</f>
        <v/>
      </c>
      <c r="N484" s="50" t="str">
        <f>'WhatsApp Tracker'!AM481</f>
        <v>Low confidence: verify before sending</v>
      </c>
      <c r="O484" s="50" t="str">
        <f>'WhatsApp Tracker'!AC481</f>
        <v>Imported from extract_garden. Confidence: Low. Parsed from Assam Tea Directory row, verify before sending</v>
      </c>
    </row>
    <row r="485" spans="1:15" x14ac:dyDescent="0.25">
      <c r="A485" s="50">
        <f>'WhatsApp Tracker'!AH482</f>
        <v>9596</v>
      </c>
      <c r="B485" s="50" t="str">
        <f>'WhatsApp Tracker'!AA482</f>
        <v>Do not send</v>
      </c>
      <c r="C485" s="50" t="str">
        <f>'WhatsApp Tracker'!M482</f>
        <v>Hold</v>
      </c>
      <c r="D485" s="50">
        <f>'WhatsApp Tracker'!AN482</f>
        <v>5</v>
      </c>
      <c r="E485" s="50" t="str">
        <f>'WhatsApp Tracker'!AL482</f>
        <v>Parsed directory row</v>
      </c>
      <c r="F485" s="50" t="str">
        <f>'WhatsApp Tracker'!B482</f>
        <v>Imported contact</v>
      </c>
      <c r="G485" s="50">
        <f>'WhatsApp Tracker'!C482</f>
        <v>0</v>
      </c>
      <c r="H485" s="50" t="str">
        <f>'WhatsApp Tracker'!D482</f>
        <v>9435475020</v>
      </c>
      <c r="I485" s="50" t="str">
        <f>'WhatsApp Tracker'!T482</f>
        <v>Not sent</v>
      </c>
      <c r="J485" s="50" t="str">
        <f>'WhatsApp Tracker'!U482</f>
        <v>Unknown</v>
      </c>
      <c r="K485" s="50" t="str">
        <f>'WhatsApp Tracker'!V482</f>
        <v>Unknown</v>
      </c>
      <c r="L485" s="50" t="str">
        <f>'WhatsApp Tracker'!W482</f>
        <v>Not offered</v>
      </c>
      <c r="M485" s="51" t="str">
        <f>'WhatsApp Tracker'!X482</f>
        <v/>
      </c>
      <c r="N485" s="50" t="str">
        <f>'WhatsApp Tracker'!AM482</f>
        <v>Low confidence: verify before sending</v>
      </c>
      <c r="O485" s="50" t="str">
        <f>'WhatsApp Tracker'!AC482</f>
        <v>Imported from extract_garden. Confidence: Low. Parsed from Assam Tea Directory row, verify before sending</v>
      </c>
    </row>
    <row r="486" spans="1:15" x14ac:dyDescent="0.25">
      <c r="A486" s="50">
        <f>'WhatsApp Tracker'!AH483</f>
        <v>9596</v>
      </c>
      <c r="B486" s="50" t="str">
        <f>'WhatsApp Tracker'!AA483</f>
        <v>Do not send</v>
      </c>
      <c r="C486" s="50" t="str">
        <f>'WhatsApp Tracker'!M483</f>
        <v>Hold</v>
      </c>
      <c r="D486" s="50">
        <f>'WhatsApp Tracker'!AN483</f>
        <v>5</v>
      </c>
      <c r="E486" s="50" t="str">
        <f>'WhatsApp Tracker'!AL483</f>
        <v>Parsed directory row</v>
      </c>
      <c r="F486" s="50" t="str">
        <f>'WhatsApp Tracker'!B483</f>
        <v>Imported contact</v>
      </c>
      <c r="G486" s="50">
        <f>'WhatsApp Tracker'!C483</f>
        <v>0</v>
      </c>
      <c r="H486" s="50" t="str">
        <f>'WhatsApp Tracker'!D483</f>
        <v>9864662901</v>
      </c>
      <c r="I486" s="50" t="str">
        <f>'WhatsApp Tracker'!T483</f>
        <v>Not sent</v>
      </c>
      <c r="J486" s="50" t="str">
        <f>'WhatsApp Tracker'!U483</f>
        <v>Unknown</v>
      </c>
      <c r="K486" s="50" t="str">
        <f>'WhatsApp Tracker'!V483</f>
        <v>Unknown</v>
      </c>
      <c r="L486" s="50" t="str">
        <f>'WhatsApp Tracker'!W483</f>
        <v>Not offered</v>
      </c>
      <c r="M486" s="51" t="str">
        <f>'WhatsApp Tracker'!X483</f>
        <v/>
      </c>
      <c r="N486" s="50" t="str">
        <f>'WhatsApp Tracker'!AM483</f>
        <v>Low confidence: verify before sending</v>
      </c>
      <c r="O486" s="50" t="str">
        <f>'WhatsApp Tracker'!AC483</f>
        <v>Imported from extract_garden. Confidence: Low. Parsed from Assam Tea Directory row, verify before sending</v>
      </c>
    </row>
    <row r="487" spans="1:15" x14ac:dyDescent="0.25">
      <c r="A487" s="50">
        <f>'WhatsApp Tracker'!AH484</f>
        <v>9596</v>
      </c>
      <c r="B487" s="50" t="str">
        <f>'WhatsApp Tracker'!AA484</f>
        <v>Do not send</v>
      </c>
      <c r="C487" s="50" t="str">
        <f>'WhatsApp Tracker'!M484</f>
        <v>Hold</v>
      </c>
      <c r="D487" s="50">
        <f>'WhatsApp Tracker'!AN484</f>
        <v>5</v>
      </c>
      <c r="E487" s="50" t="str">
        <f>'WhatsApp Tracker'!AL484</f>
        <v>Parsed directory row</v>
      </c>
      <c r="F487" s="50" t="str">
        <f>'WhatsApp Tracker'!B484</f>
        <v>Imported contact</v>
      </c>
      <c r="G487" s="50">
        <f>'WhatsApp Tracker'!C484</f>
        <v>0</v>
      </c>
      <c r="H487" s="50" t="str">
        <f>'WhatsApp Tracker'!D484</f>
        <v>9613021163</v>
      </c>
      <c r="I487" s="50" t="str">
        <f>'WhatsApp Tracker'!T484</f>
        <v>Not sent</v>
      </c>
      <c r="J487" s="50" t="str">
        <f>'WhatsApp Tracker'!U484</f>
        <v>Unknown</v>
      </c>
      <c r="K487" s="50" t="str">
        <f>'WhatsApp Tracker'!V484</f>
        <v>Unknown</v>
      </c>
      <c r="L487" s="50" t="str">
        <f>'WhatsApp Tracker'!W484</f>
        <v>Not offered</v>
      </c>
      <c r="M487" s="51" t="str">
        <f>'WhatsApp Tracker'!X484</f>
        <v/>
      </c>
      <c r="N487" s="50" t="str">
        <f>'WhatsApp Tracker'!AM484</f>
        <v>Low confidence: verify before sending</v>
      </c>
      <c r="O487" s="50" t="str">
        <f>'WhatsApp Tracker'!AC484</f>
        <v>Imported from extract_garden. Confidence: Low. Parsed from Assam Tea Directory row, verify before sending</v>
      </c>
    </row>
    <row r="488" spans="1:15" x14ac:dyDescent="0.25">
      <c r="A488" s="50">
        <f>'WhatsApp Tracker'!AH485</f>
        <v>9596</v>
      </c>
      <c r="B488" s="50" t="str">
        <f>'WhatsApp Tracker'!AA485</f>
        <v>Do not send</v>
      </c>
      <c r="C488" s="50" t="str">
        <f>'WhatsApp Tracker'!M485</f>
        <v>Hold</v>
      </c>
      <c r="D488" s="50">
        <f>'WhatsApp Tracker'!AN485</f>
        <v>5</v>
      </c>
      <c r="E488" s="50" t="str">
        <f>'WhatsApp Tracker'!AL485</f>
        <v>Parsed directory row</v>
      </c>
      <c r="F488" s="50" t="str">
        <f>'WhatsApp Tracker'!B485</f>
        <v>Imported contact</v>
      </c>
      <c r="G488" s="50">
        <f>'WhatsApp Tracker'!C485</f>
        <v>0</v>
      </c>
      <c r="H488" s="50" t="str">
        <f>'WhatsApp Tracker'!D485</f>
        <v>9957133885</v>
      </c>
      <c r="I488" s="50" t="str">
        <f>'WhatsApp Tracker'!T485</f>
        <v>Not sent</v>
      </c>
      <c r="J488" s="50" t="str">
        <f>'WhatsApp Tracker'!U485</f>
        <v>Unknown</v>
      </c>
      <c r="K488" s="50" t="str">
        <f>'WhatsApp Tracker'!V485</f>
        <v>Unknown</v>
      </c>
      <c r="L488" s="50" t="str">
        <f>'WhatsApp Tracker'!W485</f>
        <v>Not offered</v>
      </c>
      <c r="M488" s="51" t="str">
        <f>'WhatsApp Tracker'!X485</f>
        <v/>
      </c>
      <c r="N488" s="50" t="str">
        <f>'WhatsApp Tracker'!AM485</f>
        <v>Low confidence: verify before sending</v>
      </c>
      <c r="O488" s="50" t="str">
        <f>'WhatsApp Tracker'!AC485</f>
        <v>Imported from extract_garden. Confidence: Low. Parsed from Assam Tea Directory row, verify before sending</v>
      </c>
    </row>
    <row r="489" spans="1:15" x14ac:dyDescent="0.25">
      <c r="A489" s="50">
        <f>'WhatsApp Tracker'!AH486</f>
        <v>9596</v>
      </c>
      <c r="B489" s="50" t="str">
        <f>'WhatsApp Tracker'!AA486</f>
        <v>Do not send</v>
      </c>
      <c r="C489" s="50" t="str">
        <f>'WhatsApp Tracker'!M486</f>
        <v>Hold</v>
      </c>
      <c r="D489" s="50">
        <f>'WhatsApp Tracker'!AN486</f>
        <v>5</v>
      </c>
      <c r="E489" s="50" t="str">
        <f>'WhatsApp Tracker'!AL486</f>
        <v>Parsed directory row</v>
      </c>
      <c r="F489" s="50" t="str">
        <f>'WhatsApp Tracker'!B486</f>
        <v>Imported contact</v>
      </c>
      <c r="G489" s="50">
        <f>'WhatsApp Tracker'!C486</f>
        <v>0</v>
      </c>
      <c r="H489" s="50" t="str">
        <f>'WhatsApp Tracker'!D486</f>
        <v>9854053543</v>
      </c>
      <c r="I489" s="50" t="str">
        <f>'WhatsApp Tracker'!T486</f>
        <v>Not sent</v>
      </c>
      <c r="J489" s="50" t="str">
        <f>'WhatsApp Tracker'!U486</f>
        <v>Unknown</v>
      </c>
      <c r="K489" s="50" t="str">
        <f>'WhatsApp Tracker'!V486</f>
        <v>Unknown</v>
      </c>
      <c r="L489" s="50" t="str">
        <f>'WhatsApp Tracker'!W486</f>
        <v>Not offered</v>
      </c>
      <c r="M489" s="51" t="str">
        <f>'WhatsApp Tracker'!X486</f>
        <v/>
      </c>
      <c r="N489" s="50" t="str">
        <f>'WhatsApp Tracker'!AM486</f>
        <v>Low confidence: verify before sending</v>
      </c>
      <c r="O489" s="50" t="str">
        <f>'WhatsApp Tracker'!AC486</f>
        <v>Imported from extract_garden. Confidence: Low. Parsed from Assam Tea Directory row, verify before sending</v>
      </c>
    </row>
    <row r="490" spans="1:15" x14ac:dyDescent="0.25">
      <c r="A490" s="50">
        <f>'WhatsApp Tracker'!AH487</f>
        <v>9596</v>
      </c>
      <c r="B490" s="50" t="str">
        <f>'WhatsApp Tracker'!AA487</f>
        <v>Do not send</v>
      </c>
      <c r="C490" s="50" t="str">
        <f>'WhatsApp Tracker'!M487</f>
        <v>Hold</v>
      </c>
      <c r="D490" s="50">
        <f>'WhatsApp Tracker'!AN487</f>
        <v>5</v>
      </c>
      <c r="E490" s="50" t="str">
        <f>'WhatsApp Tracker'!AL487</f>
        <v>Parsed directory row</v>
      </c>
      <c r="F490" s="50" t="str">
        <f>'WhatsApp Tracker'!B487</f>
        <v>Imported contact</v>
      </c>
      <c r="G490" s="50">
        <f>'WhatsApp Tracker'!C487</f>
        <v>0</v>
      </c>
      <c r="H490" s="50" t="str">
        <f>'WhatsApp Tracker'!D487</f>
        <v>9435439526</v>
      </c>
      <c r="I490" s="50" t="str">
        <f>'WhatsApp Tracker'!T487</f>
        <v>Not sent</v>
      </c>
      <c r="J490" s="50" t="str">
        <f>'WhatsApp Tracker'!U487</f>
        <v>Unknown</v>
      </c>
      <c r="K490" s="50" t="str">
        <f>'WhatsApp Tracker'!V487</f>
        <v>Unknown</v>
      </c>
      <c r="L490" s="50" t="str">
        <f>'WhatsApp Tracker'!W487</f>
        <v>Not offered</v>
      </c>
      <c r="M490" s="51" t="str">
        <f>'WhatsApp Tracker'!X487</f>
        <v/>
      </c>
      <c r="N490" s="50" t="str">
        <f>'WhatsApp Tracker'!AM487</f>
        <v>Low confidence: verify before sending</v>
      </c>
      <c r="O490" s="50" t="str">
        <f>'WhatsApp Tracker'!AC487</f>
        <v>Imported from extract_garden. Confidence: Low. Parsed from Assam Tea Directory row, verify before sending</v>
      </c>
    </row>
    <row r="491" spans="1:15" x14ac:dyDescent="0.25">
      <c r="A491" s="50">
        <f>'WhatsApp Tracker'!AH488</f>
        <v>9596</v>
      </c>
      <c r="B491" s="50" t="str">
        <f>'WhatsApp Tracker'!AA488</f>
        <v>Do not send</v>
      </c>
      <c r="C491" s="50" t="str">
        <f>'WhatsApp Tracker'!M488</f>
        <v>Hold</v>
      </c>
      <c r="D491" s="50">
        <f>'WhatsApp Tracker'!AN488</f>
        <v>5</v>
      </c>
      <c r="E491" s="50" t="str">
        <f>'WhatsApp Tracker'!AL488</f>
        <v>Parsed directory row</v>
      </c>
      <c r="F491" s="50" t="str">
        <f>'WhatsApp Tracker'!B488</f>
        <v>Imported contact</v>
      </c>
      <c r="G491" s="50">
        <f>'WhatsApp Tracker'!C488</f>
        <v>0</v>
      </c>
      <c r="H491" s="50" t="str">
        <f>'WhatsApp Tracker'!D488</f>
        <v>9435030618</v>
      </c>
      <c r="I491" s="50" t="str">
        <f>'WhatsApp Tracker'!T488</f>
        <v>Not sent</v>
      </c>
      <c r="J491" s="50" t="str">
        <f>'WhatsApp Tracker'!U488</f>
        <v>Unknown</v>
      </c>
      <c r="K491" s="50" t="str">
        <f>'WhatsApp Tracker'!V488</f>
        <v>Unknown</v>
      </c>
      <c r="L491" s="50" t="str">
        <f>'WhatsApp Tracker'!W488</f>
        <v>Not offered</v>
      </c>
      <c r="M491" s="51" t="str">
        <f>'WhatsApp Tracker'!X488</f>
        <v/>
      </c>
      <c r="N491" s="50" t="str">
        <f>'WhatsApp Tracker'!AM488</f>
        <v>Low confidence: verify before sending</v>
      </c>
      <c r="O491" s="50" t="str">
        <f>'WhatsApp Tracker'!AC488</f>
        <v>Imported from extract_garden. Confidence: Low. Parsed from Assam Tea Directory row, verify before sending</v>
      </c>
    </row>
    <row r="492" spans="1:15" x14ac:dyDescent="0.25">
      <c r="A492" s="50">
        <f>'WhatsApp Tracker'!AH489</f>
        <v>9596</v>
      </c>
      <c r="B492" s="50" t="str">
        <f>'WhatsApp Tracker'!AA489</f>
        <v>Do not send</v>
      </c>
      <c r="C492" s="50" t="str">
        <f>'WhatsApp Tracker'!M489</f>
        <v>Hold</v>
      </c>
      <c r="D492" s="50">
        <f>'WhatsApp Tracker'!AN489</f>
        <v>5</v>
      </c>
      <c r="E492" s="50" t="str">
        <f>'WhatsApp Tracker'!AL489</f>
        <v>Parsed directory row</v>
      </c>
      <c r="F492" s="50" t="str">
        <f>'WhatsApp Tracker'!B489</f>
        <v>Imported contact</v>
      </c>
      <c r="G492" s="50">
        <f>'WhatsApp Tracker'!C489</f>
        <v>0</v>
      </c>
      <c r="H492" s="50" t="str">
        <f>'WhatsApp Tracker'!D489</f>
        <v>9435095718</v>
      </c>
      <c r="I492" s="50" t="str">
        <f>'WhatsApp Tracker'!T489</f>
        <v>Not sent</v>
      </c>
      <c r="J492" s="50" t="str">
        <f>'WhatsApp Tracker'!U489</f>
        <v>Unknown</v>
      </c>
      <c r="K492" s="50" t="str">
        <f>'WhatsApp Tracker'!V489</f>
        <v>Unknown</v>
      </c>
      <c r="L492" s="50" t="str">
        <f>'WhatsApp Tracker'!W489</f>
        <v>Not offered</v>
      </c>
      <c r="M492" s="51" t="str">
        <f>'WhatsApp Tracker'!X489</f>
        <v/>
      </c>
      <c r="N492" s="50" t="str">
        <f>'WhatsApp Tracker'!AM489</f>
        <v>Low confidence: verify before sending</v>
      </c>
      <c r="O492" s="50" t="str">
        <f>'WhatsApp Tracker'!AC489</f>
        <v>Imported from extract_garden. Confidence: Low. Parsed from Assam Tea Directory row, verify before sending</v>
      </c>
    </row>
    <row r="493" spans="1:15" x14ac:dyDescent="0.25">
      <c r="A493" s="50">
        <f>'WhatsApp Tracker'!AH490</f>
        <v>9596</v>
      </c>
      <c r="B493" s="50" t="str">
        <f>'WhatsApp Tracker'!AA490</f>
        <v>Do not send</v>
      </c>
      <c r="C493" s="50" t="str">
        <f>'WhatsApp Tracker'!M490</f>
        <v>Hold</v>
      </c>
      <c r="D493" s="50">
        <f>'WhatsApp Tracker'!AN490</f>
        <v>5</v>
      </c>
      <c r="E493" s="50" t="str">
        <f>'WhatsApp Tracker'!AL490</f>
        <v>Parsed directory row</v>
      </c>
      <c r="F493" s="50" t="str">
        <f>'WhatsApp Tracker'!B490</f>
        <v>Imported contact</v>
      </c>
      <c r="G493" s="50">
        <f>'WhatsApp Tracker'!C490</f>
        <v>0</v>
      </c>
      <c r="H493" s="50" t="str">
        <f>'WhatsApp Tracker'!D490</f>
        <v>9435379977</v>
      </c>
      <c r="I493" s="50" t="str">
        <f>'WhatsApp Tracker'!T490</f>
        <v>Not sent</v>
      </c>
      <c r="J493" s="50" t="str">
        <f>'WhatsApp Tracker'!U490</f>
        <v>Unknown</v>
      </c>
      <c r="K493" s="50" t="str">
        <f>'WhatsApp Tracker'!V490</f>
        <v>Unknown</v>
      </c>
      <c r="L493" s="50" t="str">
        <f>'WhatsApp Tracker'!W490</f>
        <v>Not offered</v>
      </c>
      <c r="M493" s="51" t="str">
        <f>'WhatsApp Tracker'!X490</f>
        <v/>
      </c>
      <c r="N493" s="50" t="str">
        <f>'WhatsApp Tracker'!AM490</f>
        <v>Low confidence: verify before sending</v>
      </c>
      <c r="O493" s="50" t="str">
        <f>'WhatsApp Tracker'!AC490</f>
        <v>Imported from extract_garden. Confidence: Low. Parsed from Assam Tea Directory row, verify before sending</v>
      </c>
    </row>
    <row r="494" spans="1:15" x14ac:dyDescent="0.25">
      <c r="A494" s="50">
        <f>'WhatsApp Tracker'!AH491</f>
        <v>9596</v>
      </c>
      <c r="B494" s="50" t="str">
        <f>'WhatsApp Tracker'!AA491</f>
        <v>Do not send</v>
      </c>
      <c r="C494" s="50" t="str">
        <f>'WhatsApp Tracker'!M491</f>
        <v>Hold</v>
      </c>
      <c r="D494" s="50">
        <f>'WhatsApp Tracker'!AN491</f>
        <v>5</v>
      </c>
      <c r="E494" s="50" t="str">
        <f>'WhatsApp Tracker'!AL491</f>
        <v>Parsed directory row</v>
      </c>
      <c r="F494" s="50" t="str">
        <f>'WhatsApp Tracker'!B491</f>
        <v>Imported contact</v>
      </c>
      <c r="G494" s="50">
        <f>'WhatsApp Tracker'!C491</f>
        <v>0</v>
      </c>
      <c r="H494" s="50" t="str">
        <f>'WhatsApp Tracker'!D491</f>
        <v>9435030695</v>
      </c>
      <c r="I494" s="50" t="str">
        <f>'WhatsApp Tracker'!T491</f>
        <v>Not sent</v>
      </c>
      <c r="J494" s="50" t="str">
        <f>'WhatsApp Tracker'!U491</f>
        <v>Unknown</v>
      </c>
      <c r="K494" s="50" t="str">
        <f>'WhatsApp Tracker'!V491</f>
        <v>Unknown</v>
      </c>
      <c r="L494" s="50" t="str">
        <f>'WhatsApp Tracker'!W491</f>
        <v>Not offered</v>
      </c>
      <c r="M494" s="51" t="str">
        <f>'WhatsApp Tracker'!X491</f>
        <v/>
      </c>
      <c r="N494" s="50" t="str">
        <f>'WhatsApp Tracker'!AM491</f>
        <v>Low confidence: verify before sending</v>
      </c>
      <c r="O494" s="50" t="str">
        <f>'WhatsApp Tracker'!AC491</f>
        <v>Imported from extract_garden. Confidence: Low. Parsed from Assam Tea Directory row, verify before sending</v>
      </c>
    </row>
    <row r="495" spans="1:15" x14ac:dyDescent="0.25">
      <c r="A495" s="50">
        <f>'WhatsApp Tracker'!AH492</f>
        <v>9596</v>
      </c>
      <c r="B495" s="50" t="str">
        <f>'WhatsApp Tracker'!AA492</f>
        <v>Do not send</v>
      </c>
      <c r="C495" s="50" t="str">
        <f>'WhatsApp Tracker'!M492</f>
        <v>Hold</v>
      </c>
      <c r="D495" s="50">
        <f>'WhatsApp Tracker'!AN492</f>
        <v>5</v>
      </c>
      <c r="E495" s="50" t="str">
        <f>'WhatsApp Tracker'!AL492</f>
        <v>Parsed directory row</v>
      </c>
      <c r="F495" s="50" t="str">
        <f>'WhatsApp Tracker'!B492</f>
        <v>Imported contact</v>
      </c>
      <c r="G495" s="50">
        <f>'WhatsApp Tracker'!C492</f>
        <v>0</v>
      </c>
      <c r="H495" s="50" t="str">
        <f>'WhatsApp Tracker'!D492</f>
        <v>9435526282</v>
      </c>
      <c r="I495" s="50" t="str">
        <f>'WhatsApp Tracker'!T492</f>
        <v>Not sent</v>
      </c>
      <c r="J495" s="50" t="str">
        <f>'WhatsApp Tracker'!U492</f>
        <v>Unknown</v>
      </c>
      <c r="K495" s="50" t="str">
        <f>'WhatsApp Tracker'!V492</f>
        <v>Unknown</v>
      </c>
      <c r="L495" s="50" t="str">
        <f>'WhatsApp Tracker'!W492</f>
        <v>Not offered</v>
      </c>
      <c r="M495" s="51" t="str">
        <f>'WhatsApp Tracker'!X492</f>
        <v/>
      </c>
      <c r="N495" s="50" t="str">
        <f>'WhatsApp Tracker'!AM492</f>
        <v>Low confidence: verify before sending</v>
      </c>
      <c r="O495" s="50" t="str">
        <f>'WhatsApp Tracker'!AC492</f>
        <v>Imported from extract_garden. Confidence: Low. Parsed from Assam Tea Directory row, verify before sending</v>
      </c>
    </row>
    <row r="496" spans="1:15" x14ac:dyDescent="0.25">
      <c r="A496" s="50">
        <f>'WhatsApp Tracker'!AH493</f>
        <v>9596</v>
      </c>
      <c r="B496" s="50" t="str">
        <f>'WhatsApp Tracker'!AA493</f>
        <v>Do not send</v>
      </c>
      <c r="C496" s="50" t="str">
        <f>'WhatsApp Tracker'!M493</f>
        <v>Hold</v>
      </c>
      <c r="D496" s="50">
        <f>'WhatsApp Tracker'!AN493</f>
        <v>5</v>
      </c>
      <c r="E496" s="50" t="str">
        <f>'WhatsApp Tracker'!AL493</f>
        <v>Parsed directory row</v>
      </c>
      <c r="F496" s="50" t="str">
        <f>'WhatsApp Tracker'!B493</f>
        <v>Imported contact</v>
      </c>
      <c r="G496" s="50">
        <f>'WhatsApp Tracker'!C493</f>
        <v>0</v>
      </c>
      <c r="H496" s="50" t="str">
        <f>'WhatsApp Tracker'!D493</f>
        <v>9207041917</v>
      </c>
      <c r="I496" s="50" t="str">
        <f>'WhatsApp Tracker'!T493</f>
        <v>Not sent</v>
      </c>
      <c r="J496" s="50" t="str">
        <f>'WhatsApp Tracker'!U493</f>
        <v>Unknown</v>
      </c>
      <c r="K496" s="50" t="str">
        <f>'WhatsApp Tracker'!V493</f>
        <v>Unknown</v>
      </c>
      <c r="L496" s="50" t="str">
        <f>'WhatsApp Tracker'!W493</f>
        <v>Not offered</v>
      </c>
      <c r="M496" s="51" t="str">
        <f>'WhatsApp Tracker'!X493</f>
        <v/>
      </c>
      <c r="N496" s="50" t="str">
        <f>'WhatsApp Tracker'!AM493</f>
        <v>Low confidence: verify before sending</v>
      </c>
      <c r="O496" s="50" t="str">
        <f>'WhatsApp Tracker'!AC493</f>
        <v>Imported from extract_garden. Confidence: Low. Parsed from Assam Tea Directory row, verify before sending</v>
      </c>
    </row>
    <row r="497" spans="1:15" x14ac:dyDescent="0.25">
      <c r="A497" s="50">
        <f>'WhatsApp Tracker'!AH494</f>
        <v>9596</v>
      </c>
      <c r="B497" s="50" t="str">
        <f>'WhatsApp Tracker'!AA494</f>
        <v>Do not send</v>
      </c>
      <c r="C497" s="50" t="str">
        <f>'WhatsApp Tracker'!M494</f>
        <v>Hold</v>
      </c>
      <c r="D497" s="50">
        <f>'WhatsApp Tracker'!AN494</f>
        <v>5</v>
      </c>
      <c r="E497" s="50" t="str">
        <f>'WhatsApp Tracker'!AL494</f>
        <v>Parsed directory row</v>
      </c>
      <c r="F497" s="50" t="str">
        <f>'WhatsApp Tracker'!B494</f>
        <v>Imported contact</v>
      </c>
      <c r="G497" s="50">
        <f>'WhatsApp Tracker'!C494</f>
        <v>0</v>
      </c>
      <c r="H497" s="50" t="str">
        <f>'WhatsApp Tracker'!D494</f>
        <v>9435358620</v>
      </c>
      <c r="I497" s="50" t="str">
        <f>'WhatsApp Tracker'!T494</f>
        <v>Not sent</v>
      </c>
      <c r="J497" s="50" t="str">
        <f>'WhatsApp Tracker'!U494</f>
        <v>Unknown</v>
      </c>
      <c r="K497" s="50" t="str">
        <f>'WhatsApp Tracker'!V494</f>
        <v>Unknown</v>
      </c>
      <c r="L497" s="50" t="str">
        <f>'WhatsApp Tracker'!W494</f>
        <v>Not offered</v>
      </c>
      <c r="M497" s="51" t="str">
        <f>'WhatsApp Tracker'!X494</f>
        <v/>
      </c>
      <c r="N497" s="50" t="str">
        <f>'WhatsApp Tracker'!AM494</f>
        <v>Low confidence: verify before sending</v>
      </c>
      <c r="O497" s="50" t="str">
        <f>'WhatsApp Tracker'!AC494</f>
        <v>Imported from extract_garden. Confidence: Low. Parsed from Assam Tea Directory row, verify before sending</v>
      </c>
    </row>
    <row r="498" spans="1:15" x14ac:dyDescent="0.25">
      <c r="A498" s="50">
        <f>'WhatsApp Tracker'!AH495</f>
        <v>9596</v>
      </c>
      <c r="B498" s="50" t="str">
        <f>'WhatsApp Tracker'!AA495</f>
        <v>Do not send</v>
      </c>
      <c r="C498" s="50" t="str">
        <f>'WhatsApp Tracker'!M495</f>
        <v>Hold</v>
      </c>
      <c r="D498" s="50">
        <f>'WhatsApp Tracker'!AN495</f>
        <v>5</v>
      </c>
      <c r="E498" s="50" t="str">
        <f>'WhatsApp Tracker'!AL495</f>
        <v>Parsed directory row</v>
      </c>
      <c r="F498" s="50" t="str">
        <f>'WhatsApp Tracker'!B495</f>
        <v>Imported contact</v>
      </c>
      <c r="G498" s="50">
        <f>'WhatsApp Tracker'!C495</f>
        <v>0</v>
      </c>
      <c r="H498" s="50" t="str">
        <f>'WhatsApp Tracker'!D495</f>
        <v>9435152270</v>
      </c>
      <c r="I498" s="50" t="str">
        <f>'WhatsApp Tracker'!T495</f>
        <v>Not sent</v>
      </c>
      <c r="J498" s="50" t="str">
        <f>'WhatsApp Tracker'!U495</f>
        <v>Unknown</v>
      </c>
      <c r="K498" s="50" t="str">
        <f>'WhatsApp Tracker'!V495</f>
        <v>Unknown</v>
      </c>
      <c r="L498" s="50" t="str">
        <f>'WhatsApp Tracker'!W495</f>
        <v>Not offered</v>
      </c>
      <c r="M498" s="51" t="str">
        <f>'WhatsApp Tracker'!X495</f>
        <v/>
      </c>
      <c r="N498" s="50" t="str">
        <f>'WhatsApp Tracker'!AM495</f>
        <v>Low confidence: verify before sending</v>
      </c>
      <c r="O498" s="50" t="str">
        <f>'WhatsApp Tracker'!AC495</f>
        <v>Imported from extract_garden. Confidence: Low. Parsed from Assam Tea Directory row, verify before sending</v>
      </c>
    </row>
    <row r="499" spans="1:15" x14ac:dyDescent="0.25">
      <c r="A499" s="50">
        <f>'WhatsApp Tracker'!AH496</f>
        <v>9596</v>
      </c>
      <c r="B499" s="50" t="str">
        <f>'WhatsApp Tracker'!AA496</f>
        <v>Do not send</v>
      </c>
      <c r="C499" s="50" t="str">
        <f>'WhatsApp Tracker'!M496</f>
        <v>Hold</v>
      </c>
      <c r="D499" s="50">
        <f>'WhatsApp Tracker'!AN496</f>
        <v>5</v>
      </c>
      <c r="E499" s="50" t="str">
        <f>'WhatsApp Tracker'!AL496</f>
        <v>Parsed directory row</v>
      </c>
      <c r="F499" s="50" t="str">
        <f>'WhatsApp Tracker'!B496</f>
        <v>Imported contact</v>
      </c>
      <c r="G499" s="50">
        <f>'WhatsApp Tracker'!C496</f>
        <v>0</v>
      </c>
      <c r="H499" s="50" t="str">
        <f>'WhatsApp Tracker'!D496</f>
        <v>9435408894</v>
      </c>
      <c r="I499" s="50" t="str">
        <f>'WhatsApp Tracker'!T496</f>
        <v>Not sent</v>
      </c>
      <c r="J499" s="50" t="str">
        <f>'WhatsApp Tracker'!U496</f>
        <v>Unknown</v>
      </c>
      <c r="K499" s="50" t="str">
        <f>'WhatsApp Tracker'!V496</f>
        <v>Unknown</v>
      </c>
      <c r="L499" s="50" t="str">
        <f>'WhatsApp Tracker'!W496</f>
        <v>Not offered</v>
      </c>
      <c r="M499" s="51" t="str">
        <f>'WhatsApp Tracker'!X496</f>
        <v/>
      </c>
      <c r="N499" s="50" t="str">
        <f>'WhatsApp Tracker'!AM496</f>
        <v>Low confidence: verify before sending</v>
      </c>
      <c r="O499" s="50" t="str">
        <f>'WhatsApp Tracker'!AC496</f>
        <v>Imported from extract_garden. Confidence: Low. Parsed from Assam Tea Directory row, verify before sending</v>
      </c>
    </row>
    <row r="500" spans="1:15" x14ac:dyDescent="0.25">
      <c r="A500" s="50">
        <f>'WhatsApp Tracker'!AH497</f>
        <v>9596</v>
      </c>
      <c r="B500" s="50" t="str">
        <f>'WhatsApp Tracker'!AA497</f>
        <v>Do not send</v>
      </c>
      <c r="C500" s="50" t="str">
        <f>'WhatsApp Tracker'!M497</f>
        <v>Hold</v>
      </c>
      <c r="D500" s="50">
        <f>'WhatsApp Tracker'!AN497</f>
        <v>5</v>
      </c>
      <c r="E500" s="50" t="str">
        <f>'WhatsApp Tracker'!AL497</f>
        <v>Parsed directory row</v>
      </c>
      <c r="F500" s="50" t="str">
        <f>'WhatsApp Tracker'!B497</f>
        <v>Imported contact</v>
      </c>
      <c r="G500" s="50">
        <f>'WhatsApp Tracker'!C497</f>
        <v>0</v>
      </c>
      <c r="H500" s="50" t="str">
        <f>'WhatsApp Tracker'!D497</f>
        <v>9435053629</v>
      </c>
      <c r="I500" s="50" t="str">
        <f>'WhatsApp Tracker'!T497</f>
        <v>Not sent</v>
      </c>
      <c r="J500" s="50" t="str">
        <f>'WhatsApp Tracker'!U497</f>
        <v>Unknown</v>
      </c>
      <c r="K500" s="50" t="str">
        <f>'WhatsApp Tracker'!V497</f>
        <v>Unknown</v>
      </c>
      <c r="L500" s="50" t="str">
        <f>'WhatsApp Tracker'!W497</f>
        <v>Not offered</v>
      </c>
      <c r="M500" s="51" t="str">
        <f>'WhatsApp Tracker'!X497</f>
        <v/>
      </c>
      <c r="N500" s="50" t="str">
        <f>'WhatsApp Tracker'!AM497</f>
        <v>Low confidence: verify before sending</v>
      </c>
      <c r="O500" s="50" t="str">
        <f>'WhatsApp Tracker'!AC497</f>
        <v>Imported from extract_garden. Confidence: Low. Parsed from Assam Tea Directory row, verify before sending</v>
      </c>
    </row>
    <row r="501" spans="1:15" x14ac:dyDescent="0.25">
      <c r="A501" s="50">
        <f>'WhatsApp Tracker'!AH498</f>
        <v>9596</v>
      </c>
      <c r="B501" s="50" t="str">
        <f>'WhatsApp Tracker'!AA498</f>
        <v>Do not send</v>
      </c>
      <c r="C501" s="50" t="str">
        <f>'WhatsApp Tracker'!M498</f>
        <v>Hold</v>
      </c>
      <c r="D501" s="50">
        <f>'WhatsApp Tracker'!AN498</f>
        <v>5</v>
      </c>
      <c r="E501" s="50" t="str">
        <f>'WhatsApp Tracker'!AL498</f>
        <v>Parsed directory row</v>
      </c>
      <c r="F501" s="50" t="str">
        <f>'WhatsApp Tracker'!B498</f>
        <v>Imported contact</v>
      </c>
      <c r="G501" s="50">
        <f>'WhatsApp Tracker'!C498</f>
        <v>0</v>
      </c>
      <c r="H501" s="50" t="str">
        <f>'WhatsApp Tracker'!D498</f>
        <v>9954492823</v>
      </c>
      <c r="I501" s="50" t="str">
        <f>'WhatsApp Tracker'!T498</f>
        <v>Not sent</v>
      </c>
      <c r="J501" s="50" t="str">
        <f>'WhatsApp Tracker'!U498</f>
        <v>Unknown</v>
      </c>
      <c r="K501" s="50" t="str">
        <f>'WhatsApp Tracker'!V498</f>
        <v>Unknown</v>
      </c>
      <c r="L501" s="50" t="str">
        <f>'WhatsApp Tracker'!W498</f>
        <v>Not offered</v>
      </c>
      <c r="M501" s="51" t="str">
        <f>'WhatsApp Tracker'!X498</f>
        <v/>
      </c>
      <c r="N501" s="50" t="str">
        <f>'WhatsApp Tracker'!AM498</f>
        <v>Low confidence: verify before sending</v>
      </c>
      <c r="O501" s="50" t="str">
        <f>'WhatsApp Tracker'!AC498</f>
        <v>Imported from extract_garden. Confidence: Low. Parsed from Assam Tea Directory row, verify before sending</v>
      </c>
    </row>
    <row r="502" spans="1:15" x14ac:dyDescent="0.25">
      <c r="A502" s="50">
        <f>'WhatsApp Tracker'!AH499</f>
        <v>9596</v>
      </c>
      <c r="B502" s="50" t="str">
        <f>'WhatsApp Tracker'!AA499</f>
        <v>Do not send</v>
      </c>
      <c r="C502" s="50" t="str">
        <f>'WhatsApp Tracker'!M499</f>
        <v>Hold</v>
      </c>
      <c r="D502" s="50">
        <f>'WhatsApp Tracker'!AN499</f>
        <v>5</v>
      </c>
      <c r="E502" s="50" t="str">
        <f>'WhatsApp Tracker'!AL499</f>
        <v>Parsed directory row</v>
      </c>
      <c r="F502" s="50" t="str">
        <f>'WhatsApp Tracker'!B499</f>
        <v>Imported contact</v>
      </c>
      <c r="G502" s="50">
        <f>'WhatsApp Tracker'!C499</f>
        <v>0</v>
      </c>
      <c r="H502" s="50" t="str">
        <f>'WhatsApp Tracker'!D499</f>
        <v>9954492415</v>
      </c>
      <c r="I502" s="50" t="str">
        <f>'WhatsApp Tracker'!T499</f>
        <v>Not sent</v>
      </c>
      <c r="J502" s="50" t="str">
        <f>'WhatsApp Tracker'!U499</f>
        <v>Unknown</v>
      </c>
      <c r="K502" s="50" t="str">
        <f>'WhatsApp Tracker'!V499</f>
        <v>Unknown</v>
      </c>
      <c r="L502" s="50" t="str">
        <f>'WhatsApp Tracker'!W499</f>
        <v>Not offered</v>
      </c>
      <c r="M502" s="51" t="str">
        <f>'WhatsApp Tracker'!X499</f>
        <v/>
      </c>
      <c r="N502" s="50" t="str">
        <f>'WhatsApp Tracker'!AM499</f>
        <v>Low confidence: verify before sending</v>
      </c>
      <c r="O502" s="50" t="str">
        <f>'WhatsApp Tracker'!AC499</f>
        <v>Imported from extract_garden. Confidence: Low. Parsed from Assam Tea Directory row, verify before sending</v>
      </c>
    </row>
    <row r="503" spans="1:15" x14ac:dyDescent="0.25">
      <c r="A503" s="50">
        <f>'WhatsApp Tracker'!AH500</f>
        <v>3136</v>
      </c>
      <c r="B503" s="50" t="str">
        <f>'WhatsApp Tracker'!AA500</f>
        <v>Send WhatsApp</v>
      </c>
      <c r="C503" s="50" t="str">
        <f>'WhatsApp Tracker'!M500</f>
        <v>Normal</v>
      </c>
      <c r="D503" s="50">
        <f>'WhatsApp Tracker'!AN500</f>
        <v>1</v>
      </c>
      <c r="E503" s="50" t="str">
        <f>'WhatsApp Tracker'!AL500</f>
        <v>Original CRM/manual campaign tracker</v>
      </c>
      <c r="F503" s="50" t="str">
        <f>'WhatsApp Tracker'!B500</f>
        <v>Anandbari tea estate</v>
      </c>
      <c r="G503" s="50">
        <f>'WhatsApp Tracker'!C500</f>
        <v>0</v>
      </c>
      <c r="H503" s="50">
        <f>'WhatsApp Tracker'!D500</f>
        <v>0</v>
      </c>
      <c r="I503" s="50" t="str">
        <f>'WhatsApp Tracker'!T500</f>
        <v>Not sent</v>
      </c>
      <c r="J503" s="50" t="str">
        <f>'WhatsApp Tracker'!U500</f>
        <v>Unknown</v>
      </c>
      <c r="K503" s="50" t="str">
        <f>'WhatsApp Tracker'!V500</f>
        <v>Unknown</v>
      </c>
      <c r="L503" s="50" t="str">
        <f>'WhatsApp Tracker'!W500</f>
        <v>Not offered</v>
      </c>
      <c r="M503" s="51" t="str">
        <f>'WhatsApp Tracker'!X500</f>
        <v/>
      </c>
      <c r="N503" s="50" t="str">
        <f>'WhatsApp Tracker'!AM500</f>
        <v>Existing CRM lead</v>
      </c>
      <c r="O503" s="50">
        <f>'WhatsApp Tracker'!AC500</f>
        <v>0</v>
      </c>
    </row>
    <row r="504" spans="1:15" x14ac:dyDescent="0.25">
      <c r="A504" s="50">
        <f>'WhatsApp Tracker'!AH501</f>
        <v>3136</v>
      </c>
      <c r="B504" s="50" t="str">
        <f>'WhatsApp Tracker'!AA501</f>
        <v>Send WhatsApp</v>
      </c>
      <c r="C504" s="50" t="str">
        <f>'WhatsApp Tracker'!M501</f>
        <v>Normal</v>
      </c>
      <c r="D504" s="50">
        <f>'WhatsApp Tracker'!AN501</f>
        <v>1</v>
      </c>
      <c r="E504" s="50" t="str">
        <f>'WhatsApp Tracker'!AL501</f>
        <v>Original CRM/manual campaign tracker</v>
      </c>
      <c r="F504" s="50" t="str">
        <f>'WhatsApp Tracker'!B501</f>
        <v xml:space="preserve">Ghoronia T.E </v>
      </c>
      <c r="G504" s="50">
        <f>'WhatsApp Tracker'!C501</f>
        <v>0</v>
      </c>
      <c r="H504" s="50">
        <f>'WhatsApp Tracker'!D501</f>
        <v>0</v>
      </c>
      <c r="I504" s="50" t="str">
        <f>'WhatsApp Tracker'!T501</f>
        <v>Not sent</v>
      </c>
      <c r="J504" s="50" t="str">
        <f>'WhatsApp Tracker'!U501</f>
        <v>Unknown</v>
      </c>
      <c r="K504" s="50" t="str">
        <f>'WhatsApp Tracker'!V501</f>
        <v>Unknown</v>
      </c>
      <c r="L504" s="50" t="str">
        <f>'WhatsApp Tracker'!W501</f>
        <v>Not offered</v>
      </c>
      <c r="M504" s="51" t="str">
        <f>'WhatsApp Tracker'!X501</f>
        <v/>
      </c>
      <c r="N504" s="50" t="str">
        <f>'WhatsApp Tracker'!AM501</f>
        <v>Existing CRM lead</v>
      </c>
      <c r="O504" s="50">
        <f>'WhatsApp Tracker'!AC501</f>
        <v>0</v>
      </c>
    </row>
    <row r="505" spans="1:15" x14ac:dyDescent="0.25">
      <c r="A505" s="50">
        <f>'WhatsApp Tracker'!AH502</f>
        <v>3136</v>
      </c>
      <c r="B505" s="50" t="str">
        <f>'WhatsApp Tracker'!AA502</f>
        <v>Send WhatsApp</v>
      </c>
      <c r="C505" s="50" t="str">
        <f>'WhatsApp Tracker'!M502</f>
        <v>Normal</v>
      </c>
      <c r="D505" s="50">
        <f>'WhatsApp Tracker'!AN502</f>
        <v>1</v>
      </c>
      <c r="E505" s="50" t="str">
        <f>'WhatsApp Tracker'!AL502</f>
        <v>Original CRM/manual campaign tracker</v>
      </c>
      <c r="F505" s="50" t="str">
        <f>'WhatsApp Tracker'!B502</f>
        <v>Mohan kumar Goenka</v>
      </c>
      <c r="G505" s="50" t="str">
        <f>'WhatsApp Tracker'!C502</f>
        <v>athkhola</v>
      </c>
      <c r="H505" s="50">
        <f>'WhatsApp Tracker'!D502</f>
        <v>0</v>
      </c>
      <c r="I505" s="50" t="str">
        <f>'WhatsApp Tracker'!T502</f>
        <v>Not sent</v>
      </c>
      <c r="J505" s="50" t="str">
        <f>'WhatsApp Tracker'!U502</f>
        <v>Unknown</v>
      </c>
      <c r="K505" s="50" t="str">
        <f>'WhatsApp Tracker'!V502</f>
        <v>Unknown</v>
      </c>
      <c r="L505" s="50" t="str">
        <f>'WhatsApp Tracker'!W502</f>
        <v>Not offered</v>
      </c>
      <c r="M505" s="51" t="str">
        <f>'WhatsApp Tracker'!X502</f>
        <v/>
      </c>
      <c r="N505" s="50" t="str">
        <f>'WhatsApp Tracker'!AM502</f>
        <v>Existing CRM lead</v>
      </c>
      <c r="O505" s="50">
        <f>'WhatsApp Tracker'!AC502</f>
        <v>0</v>
      </c>
    </row>
    <row r="506" spans="1:15" x14ac:dyDescent="0.25">
      <c r="A506" s="50">
        <f>'WhatsApp Tracker'!AH503</f>
        <v>4116</v>
      </c>
      <c r="B506" s="50" t="str">
        <f>'WhatsApp Tracker'!AA503</f>
        <v>Review</v>
      </c>
      <c r="C506" s="50" t="str">
        <f>'WhatsApp Tracker'!M503</f>
        <v>High</v>
      </c>
      <c r="D506" s="50">
        <f>'WhatsApp Tracker'!AN503</f>
        <v>1</v>
      </c>
      <c r="E506" s="50" t="str">
        <f>'WhatsApp Tracker'!AL503</f>
        <v>Original CRM/manual campaign tracker</v>
      </c>
      <c r="F506" s="50" t="str">
        <f>'WhatsApp Tracker'!B503</f>
        <v>Mahesh shah</v>
      </c>
      <c r="G506" s="50" t="str">
        <f>'WhatsApp Tracker'!C503</f>
        <v>Bagrodia  Plantation</v>
      </c>
      <c r="H506" s="50" t="str">
        <f>'WhatsApp Tracker'!D503</f>
        <v>8011017498</v>
      </c>
      <c r="I506" s="50" t="str">
        <f>'WhatsApp Tracker'!T503</f>
        <v>Delivered</v>
      </c>
      <c r="J506" s="50" t="str">
        <f>'WhatsApp Tracker'!U503</f>
        <v>Unknown</v>
      </c>
      <c r="K506" s="50" t="str">
        <f>'WhatsApp Tracker'!V503</f>
        <v>Unknown</v>
      </c>
      <c r="L506" s="50" t="str">
        <f>'WhatsApp Tracker'!W503</f>
        <v>Not offered</v>
      </c>
      <c r="M506" s="51" t="str">
        <f>'WhatsApp Tracker'!X503</f>
        <v/>
      </c>
      <c r="N506" s="50" t="str">
        <f>'WhatsApp Tracker'!AM503</f>
        <v>Existing CRM lead</v>
      </c>
      <c r="O506" s="50">
        <f>'WhatsApp Tracker'!AC503</f>
        <v>0</v>
      </c>
    </row>
    <row r="507" spans="1:15" x14ac:dyDescent="0.25">
      <c r="A507" s="50">
        <f>'WhatsApp Tracker'!AH504</f>
        <v>4116</v>
      </c>
      <c r="B507" s="50" t="str">
        <f>'WhatsApp Tracker'!AA504</f>
        <v>Review</v>
      </c>
      <c r="C507" s="50" t="str">
        <f>'WhatsApp Tracker'!M504</f>
        <v>High</v>
      </c>
      <c r="D507" s="50">
        <f>'WhatsApp Tracker'!AN504</f>
        <v>1</v>
      </c>
      <c r="E507" s="50" t="str">
        <f>'WhatsApp Tracker'!AL504</f>
        <v>Original CRM/manual campaign tracker</v>
      </c>
      <c r="F507" s="50" t="str">
        <f>'WhatsApp Tracker'!B504</f>
        <v xml:space="preserve">Shanta Prasad Chakrabraty </v>
      </c>
      <c r="G507" s="50" t="str">
        <f>'WhatsApp Tracker'!C504</f>
        <v>Tarinipur Tea Estate</v>
      </c>
      <c r="H507" s="50" t="str">
        <f>'WhatsApp Tracker'!D504</f>
        <v>9435033506</v>
      </c>
      <c r="I507" s="50" t="str">
        <f>'WhatsApp Tracker'!T504</f>
        <v>Delivered</v>
      </c>
      <c r="J507" s="50" t="str">
        <f>'WhatsApp Tracker'!U504</f>
        <v>Unknown</v>
      </c>
      <c r="K507" s="50" t="str">
        <f>'WhatsApp Tracker'!V504</f>
        <v>Unknown</v>
      </c>
      <c r="L507" s="50" t="str">
        <f>'WhatsApp Tracker'!W504</f>
        <v>Not offered</v>
      </c>
      <c r="M507" s="51" t="str">
        <f>'WhatsApp Tracker'!X504</f>
        <v/>
      </c>
      <c r="N507" s="50" t="str">
        <f>'WhatsApp Tracker'!AM504</f>
        <v>Existing CRM lead</v>
      </c>
      <c r="O507" s="50">
        <f>'WhatsApp Tracker'!AC504</f>
        <v>0</v>
      </c>
    </row>
    <row r="508" spans="1:15" x14ac:dyDescent="0.25">
      <c r="A508" s="50">
        <f>'WhatsApp Tracker'!AH505</f>
        <v>4136</v>
      </c>
      <c r="B508" s="50" t="str">
        <f>'WhatsApp Tracker'!AA505</f>
        <v>Review</v>
      </c>
      <c r="C508" s="50" t="str">
        <f>'WhatsApp Tracker'!M505</f>
        <v>Normal</v>
      </c>
      <c r="D508" s="50">
        <f>'WhatsApp Tracker'!AN505</f>
        <v>1</v>
      </c>
      <c r="E508" s="50" t="str">
        <f>'WhatsApp Tracker'!AL505</f>
        <v>Original CRM/manual campaign tracker</v>
      </c>
      <c r="F508" s="50" t="str">
        <f>'WhatsApp Tracker'!B505</f>
        <v>Alimur T.E</v>
      </c>
      <c r="G508" s="50">
        <f>'WhatsApp Tracker'!C505</f>
        <v>0</v>
      </c>
      <c r="H508" s="50" t="str">
        <f>'WhatsApp Tracker'!D505</f>
        <v>9085525377</v>
      </c>
      <c r="I508" s="50" t="str">
        <f>'WhatsApp Tracker'!T505</f>
        <v>Delivered</v>
      </c>
      <c r="J508" s="50" t="str">
        <f>'WhatsApp Tracker'!U505</f>
        <v>Unknown</v>
      </c>
      <c r="K508" s="50" t="str">
        <f>'WhatsApp Tracker'!V505</f>
        <v>Unknown</v>
      </c>
      <c r="L508" s="50" t="str">
        <f>'WhatsApp Tracker'!W505</f>
        <v>Not offered</v>
      </c>
      <c r="M508" s="51" t="str">
        <f>'WhatsApp Tracker'!X505</f>
        <v/>
      </c>
      <c r="N508" s="50" t="str">
        <f>'WhatsApp Tracker'!AM505</f>
        <v>Existing CRM lead</v>
      </c>
      <c r="O508" s="50">
        <f>'WhatsApp Tracker'!AC505</f>
        <v>0</v>
      </c>
    </row>
    <row r="509" spans="1:15" x14ac:dyDescent="0.25">
      <c r="A509" s="50">
        <f>'WhatsApp Tracker'!AH506</f>
        <v>4136</v>
      </c>
      <c r="B509" s="50" t="str">
        <f>'WhatsApp Tracker'!AA506</f>
        <v>Review</v>
      </c>
      <c r="C509" s="50" t="str">
        <f>'WhatsApp Tracker'!M506</f>
        <v>Normal</v>
      </c>
      <c r="D509" s="50">
        <f>'WhatsApp Tracker'!AN506</f>
        <v>1</v>
      </c>
      <c r="E509" s="50" t="str">
        <f>'WhatsApp Tracker'!AL506</f>
        <v>Original CRM/manual campaign tracker</v>
      </c>
      <c r="F509" s="50" t="str">
        <f>'WhatsApp Tracker'!B506</f>
        <v>Chawdang T.E</v>
      </c>
      <c r="G509" s="50">
        <f>'WhatsApp Tracker'!C506</f>
        <v>0</v>
      </c>
      <c r="H509" s="50" t="str">
        <f>'WhatsApp Tracker'!D506</f>
        <v>7002029001</v>
      </c>
      <c r="I509" s="50" t="str">
        <f>'WhatsApp Tracker'!T506</f>
        <v>Delivered</v>
      </c>
      <c r="J509" s="50" t="str">
        <f>'WhatsApp Tracker'!U506</f>
        <v>Unknown</v>
      </c>
      <c r="K509" s="50" t="str">
        <f>'WhatsApp Tracker'!V506</f>
        <v>Unknown</v>
      </c>
      <c r="L509" s="50" t="str">
        <f>'WhatsApp Tracker'!W506</f>
        <v>Not offered</v>
      </c>
      <c r="M509" s="51" t="str">
        <f>'WhatsApp Tracker'!X506</f>
        <v/>
      </c>
      <c r="N509" s="50" t="str">
        <f>'WhatsApp Tracker'!AM506</f>
        <v>Existing CRM lead</v>
      </c>
      <c r="O509" s="50">
        <f>'WhatsApp Tracker'!AC506</f>
        <v>0</v>
      </c>
    </row>
    <row r="510" spans="1:15" x14ac:dyDescent="0.25">
      <c r="A510" s="50">
        <f>'WhatsApp Tracker'!AH507</f>
        <v>4136</v>
      </c>
      <c r="B510" s="50" t="str">
        <f>'WhatsApp Tracker'!AA507</f>
        <v>Review</v>
      </c>
      <c r="C510" s="50" t="str">
        <f>'WhatsApp Tracker'!M507</f>
        <v>Normal</v>
      </c>
      <c r="D510" s="50">
        <f>'WhatsApp Tracker'!AN507</f>
        <v>1</v>
      </c>
      <c r="E510" s="50" t="str">
        <f>'WhatsApp Tracker'!AL507</f>
        <v>Original CRM/manual campaign tracker</v>
      </c>
      <c r="F510" s="50" t="str">
        <f>'WhatsApp Tracker'!B507</f>
        <v>Kheremia T.E</v>
      </c>
      <c r="G510" s="50">
        <f>'WhatsApp Tracker'!C507</f>
        <v>0</v>
      </c>
      <c r="H510" s="50" t="str">
        <f>'WhatsApp Tracker'!D507</f>
        <v>9435035801</v>
      </c>
      <c r="I510" s="50" t="str">
        <f>'WhatsApp Tracker'!T507</f>
        <v>Delivered</v>
      </c>
      <c r="J510" s="50" t="str">
        <f>'WhatsApp Tracker'!U507</f>
        <v>Unknown</v>
      </c>
      <c r="K510" s="50" t="str">
        <f>'WhatsApp Tracker'!V507</f>
        <v>Unknown</v>
      </c>
      <c r="L510" s="50" t="str">
        <f>'WhatsApp Tracker'!W507</f>
        <v>Not offered</v>
      </c>
      <c r="M510" s="51" t="str">
        <f>'WhatsApp Tracker'!X507</f>
        <v/>
      </c>
      <c r="N510" s="50" t="str">
        <f>'WhatsApp Tracker'!AM507</f>
        <v>Existing CRM lead</v>
      </c>
      <c r="O510" s="50">
        <f>'WhatsApp Tracker'!AC507</f>
        <v>0</v>
      </c>
    </row>
    <row r="511" spans="1:15" x14ac:dyDescent="0.25">
      <c r="A511" s="50">
        <f>'WhatsApp Tracker'!AH508</f>
        <v>4136</v>
      </c>
      <c r="B511" s="50" t="str">
        <f>'WhatsApp Tracker'!AA508</f>
        <v>Review</v>
      </c>
      <c r="C511" s="50" t="str">
        <f>'WhatsApp Tracker'!M508</f>
        <v>Normal</v>
      </c>
      <c r="D511" s="50">
        <f>'WhatsApp Tracker'!AN508</f>
        <v>1</v>
      </c>
      <c r="E511" s="50" t="str">
        <f>'WhatsApp Tracker'!AL508</f>
        <v>Original CRM/manual campaign tracker</v>
      </c>
      <c r="F511" s="50" t="str">
        <f>'WhatsApp Tracker'!B508</f>
        <v>pankaj</v>
      </c>
      <c r="G511" s="50" t="str">
        <f>'WhatsApp Tracker'!C508</f>
        <v>Bharatia T.E</v>
      </c>
      <c r="H511" s="50" t="str">
        <f>'WhatsApp Tracker'!D508</f>
        <v>9831594993</v>
      </c>
      <c r="I511" s="50" t="str">
        <f>'WhatsApp Tracker'!T508</f>
        <v>Delivered</v>
      </c>
      <c r="J511" s="50" t="str">
        <f>'WhatsApp Tracker'!U508</f>
        <v>Unknown</v>
      </c>
      <c r="K511" s="50" t="str">
        <f>'WhatsApp Tracker'!V508</f>
        <v>Unknown</v>
      </c>
      <c r="L511" s="50" t="str">
        <f>'WhatsApp Tracker'!W508</f>
        <v>Not offered</v>
      </c>
      <c r="M511" s="51" t="str">
        <f>'WhatsApp Tracker'!X508</f>
        <v/>
      </c>
      <c r="N511" s="50" t="str">
        <f>'WhatsApp Tracker'!AM508</f>
        <v>Existing CRM lead</v>
      </c>
      <c r="O511" s="50">
        <f>'WhatsApp Tracker'!AC508</f>
        <v>0</v>
      </c>
    </row>
    <row r="512" spans="1:15" x14ac:dyDescent="0.25">
      <c r="A512" s="50">
        <f>'WhatsApp Tracker'!AH509</f>
        <v>4136</v>
      </c>
      <c r="B512" s="50" t="str">
        <f>'WhatsApp Tracker'!AA509</f>
        <v>Review</v>
      </c>
      <c r="C512" s="50" t="str">
        <f>'WhatsApp Tracker'!M509</f>
        <v>Normal</v>
      </c>
      <c r="D512" s="50">
        <f>'WhatsApp Tracker'!AN509</f>
        <v>1</v>
      </c>
      <c r="E512" s="50" t="str">
        <f>'WhatsApp Tracker'!AL509</f>
        <v>Original CRM/manual campaign tracker</v>
      </c>
      <c r="F512" s="50" t="str">
        <f>'WhatsApp Tracker'!B509</f>
        <v>Dekhari T.E (mahmora division ) unit 2</v>
      </c>
      <c r="G512" s="50">
        <f>'WhatsApp Tracker'!C509</f>
        <v>0</v>
      </c>
      <c r="H512" s="50" t="str">
        <f>'WhatsApp Tracker'!D509</f>
        <v>9435132157</v>
      </c>
      <c r="I512" s="50" t="str">
        <f>'WhatsApp Tracker'!T509</f>
        <v>Delivered</v>
      </c>
      <c r="J512" s="50" t="str">
        <f>'WhatsApp Tracker'!U509</f>
        <v>Unknown</v>
      </c>
      <c r="K512" s="50" t="str">
        <f>'WhatsApp Tracker'!V509</f>
        <v>Unknown</v>
      </c>
      <c r="L512" s="50" t="str">
        <f>'WhatsApp Tracker'!W509</f>
        <v>Not offered</v>
      </c>
      <c r="M512" s="51" t="str">
        <f>'WhatsApp Tracker'!X509</f>
        <v/>
      </c>
      <c r="N512" s="50" t="str">
        <f>'WhatsApp Tracker'!AM509</f>
        <v>Existing CRM lead</v>
      </c>
      <c r="O512" s="50">
        <f>'WhatsApp Tracker'!AC509</f>
        <v>0</v>
      </c>
    </row>
    <row r="513" spans="1:15" x14ac:dyDescent="0.25">
      <c r="A513" s="50">
        <f>'WhatsApp Tracker'!AH510</f>
        <v>4136</v>
      </c>
      <c r="B513" s="50" t="str">
        <f>'WhatsApp Tracker'!AA510</f>
        <v>Review</v>
      </c>
      <c r="C513" s="50" t="str">
        <f>'WhatsApp Tracker'!M510</f>
        <v>Normal</v>
      </c>
      <c r="D513" s="50">
        <f>'WhatsApp Tracker'!AN510</f>
        <v>1</v>
      </c>
      <c r="E513" s="50" t="str">
        <f>'WhatsApp Tracker'!AL510</f>
        <v>Original CRM/manual campaign tracker</v>
      </c>
      <c r="F513" s="50" t="str">
        <f>'WhatsApp Tracker'!B510</f>
        <v xml:space="preserve">Duliabari T.E </v>
      </c>
      <c r="G513" s="50">
        <f>'WhatsApp Tracker'!C510</f>
        <v>0</v>
      </c>
      <c r="H513" s="50" t="str">
        <f>'WhatsApp Tracker'!D510</f>
        <v>8638784227</v>
      </c>
      <c r="I513" s="50" t="str">
        <f>'WhatsApp Tracker'!T510</f>
        <v>Delivered</v>
      </c>
      <c r="J513" s="50" t="str">
        <f>'WhatsApp Tracker'!U510</f>
        <v>Unknown</v>
      </c>
      <c r="K513" s="50" t="str">
        <f>'WhatsApp Tracker'!V510</f>
        <v>Unknown</v>
      </c>
      <c r="L513" s="50" t="str">
        <f>'WhatsApp Tracker'!W510</f>
        <v>Not offered</v>
      </c>
      <c r="M513" s="51" t="str">
        <f>'WhatsApp Tracker'!X510</f>
        <v/>
      </c>
      <c r="N513" s="50" t="str">
        <f>'WhatsApp Tracker'!AM510</f>
        <v>Existing CRM lead</v>
      </c>
      <c r="O513" s="50">
        <f>'WhatsApp Tracker'!AC510</f>
        <v>0</v>
      </c>
    </row>
    <row r="514" spans="1:15" x14ac:dyDescent="0.25">
      <c r="A514" s="50">
        <f>'WhatsApp Tracker'!AH511</f>
        <v>4136</v>
      </c>
      <c r="B514" s="50" t="str">
        <f>'WhatsApp Tracker'!AA511</f>
        <v>Review</v>
      </c>
      <c r="C514" s="50" t="str">
        <f>'WhatsApp Tracker'!M511</f>
        <v>Normal</v>
      </c>
      <c r="D514" s="50">
        <f>'WhatsApp Tracker'!AN511</f>
        <v>1</v>
      </c>
      <c r="E514" s="50" t="str">
        <f>'WhatsApp Tracker'!AL511</f>
        <v>Original CRM/manual campaign tracker</v>
      </c>
      <c r="F514" s="50" t="str">
        <f>'WhatsApp Tracker'!B511</f>
        <v xml:space="preserve">Ahmedy </v>
      </c>
      <c r="G514" s="50" t="str">
        <f>'WhatsApp Tracker'!C511</f>
        <v xml:space="preserve">Diroibam T.E </v>
      </c>
      <c r="H514" s="50" t="str">
        <f>'WhatsApp Tracker'!D511</f>
        <v>8402061666</v>
      </c>
      <c r="I514" s="50" t="str">
        <f>'WhatsApp Tracker'!T511</f>
        <v>Delivered</v>
      </c>
      <c r="J514" s="50" t="str">
        <f>'WhatsApp Tracker'!U511</f>
        <v>Unknown</v>
      </c>
      <c r="K514" s="50" t="str">
        <f>'WhatsApp Tracker'!V511</f>
        <v>Unknown</v>
      </c>
      <c r="L514" s="50" t="str">
        <f>'WhatsApp Tracker'!W511</f>
        <v>Not offered</v>
      </c>
      <c r="M514" s="51" t="str">
        <f>'WhatsApp Tracker'!X511</f>
        <v/>
      </c>
      <c r="N514" s="50" t="str">
        <f>'WhatsApp Tracker'!AM511</f>
        <v>Existing CRM lead</v>
      </c>
      <c r="O514" s="50">
        <f>'WhatsApp Tracker'!AC511</f>
        <v>0</v>
      </c>
    </row>
    <row r="515" spans="1:15" x14ac:dyDescent="0.25">
      <c r="A515" s="50">
        <f>'WhatsApp Tracker'!AH512</f>
        <v>4136</v>
      </c>
      <c r="B515" s="50" t="str">
        <f>'WhatsApp Tracker'!AA512</f>
        <v>Review</v>
      </c>
      <c r="C515" s="50" t="str">
        <f>'WhatsApp Tracker'!M512</f>
        <v>Normal</v>
      </c>
      <c r="D515" s="50">
        <f>'WhatsApp Tracker'!AN512</f>
        <v>1</v>
      </c>
      <c r="E515" s="50" t="str">
        <f>'WhatsApp Tracker'!AL512</f>
        <v>Original CRM/manual campaign tracker</v>
      </c>
      <c r="F515" s="50" t="str">
        <f>'WhatsApp Tracker'!B512</f>
        <v xml:space="preserve">Mohabirbari T.E  UNIT 2 </v>
      </c>
      <c r="G515" s="50">
        <f>'WhatsApp Tracker'!C512</f>
        <v>0</v>
      </c>
      <c r="H515" s="50" t="str">
        <f>'WhatsApp Tracker'!D512</f>
        <v>6000522700</v>
      </c>
      <c r="I515" s="50" t="str">
        <f>'WhatsApp Tracker'!T512</f>
        <v>Delivered</v>
      </c>
      <c r="J515" s="50" t="str">
        <f>'WhatsApp Tracker'!U512</f>
        <v>Unknown</v>
      </c>
      <c r="K515" s="50" t="str">
        <f>'WhatsApp Tracker'!V512</f>
        <v>Unknown</v>
      </c>
      <c r="L515" s="50" t="str">
        <f>'WhatsApp Tracker'!W512</f>
        <v>Not offered</v>
      </c>
      <c r="M515" s="51" t="str">
        <f>'WhatsApp Tracker'!X512</f>
        <v/>
      </c>
      <c r="N515" s="50" t="str">
        <f>'WhatsApp Tracker'!AM512</f>
        <v>Existing CRM lead</v>
      </c>
      <c r="O515" s="50">
        <f>'WhatsApp Tracker'!AC512</f>
        <v>0</v>
      </c>
    </row>
    <row r="516" spans="1:15" x14ac:dyDescent="0.25">
      <c r="A516" s="50">
        <f>'WhatsApp Tracker'!AH513</f>
        <v>4136</v>
      </c>
      <c r="B516" s="50" t="str">
        <f>'WhatsApp Tracker'!AA513</f>
        <v>Review</v>
      </c>
      <c r="C516" s="50" t="str">
        <f>'WhatsApp Tracker'!M513</f>
        <v>Normal</v>
      </c>
      <c r="D516" s="50">
        <f>'WhatsApp Tracker'!AN513</f>
        <v>1</v>
      </c>
      <c r="E516" s="50" t="str">
        <f>'WhatsApp Tracker'!AL513</f>
        <v>Original CRM/manual campaign tracker</v>
      </c>
      <c r="F516" s="50" t="str">
        <f>'WhatsApp Tracker'!B513</f>
        <v>Mothola T.E</v>
      </c>
      <c r="G516" s="50">
        <f>'WhatsApp Tracker'!C513</f>
        <v>0</v>
      </c>
      <c r="H516" s="50" t="str">
        <f>'WhatsApp Tracker'!D513</f>
        <v>9435476099</v>
      </c>
      <c r="I516" s="50" t="str">
        <f>'WhatsApp Tracker'!T513</f>
        <v>Delivered</v>
      </c>
      <c r="J516" s="50" t="str">
        <f>'WhatsApp Tracker'!U513</f>
        <v>Unknown</v>
      </c>
      <c r="K516" s="50" t="str">
        <f>'WhatsApp Tracker'!V513</f>
        <v>Unknown</v>
      </c>
      <c r="L516" s="50" t="str">
        <f>'WhatsApp Tracker'!W513</f>
        <v>Not offered</v>
      </c>
      <c r="M516" s="51" t="str">
        <f>'WhatsApp Tracker'!X513</f>
        <v/>
      </c>
      <c r="N516" s="50" t="str">
        <f>'WhatsApp Tracker'!AM513</f>
        <v>Existing CRM lead</v>
      </c>
      <c r="O516" s="50">
        <f>'WhatsApp Tracker'!AC513</f>
        <v>0</v>
      </c>
    </row>
    <row r="517" spans="1:15" x14ac:dyDescent="0.25">
      <c r="A517" s="50">
        <f>'WhatsApp Tracker'!AH514</f>
        <v>4136</v>
      </c>
      <c r="B517" s="50" t="str">
        <f>'WhatsApp Tracker'!AA514</f>
        <v>Review</v>
      </c>
      <c r="C517" s="50" t="str">
        <f>'WhatsApp Tracker'!M514</f>
        <v>Normal</v>
      </c>
      <c r="D517" s="50">
        <f>'WhatsApp Tracker'!AN514</f>
        <v>1</v>
      </c>
      <c r="E517" s="50" t="str">
        <f>'WhatsApp Tracker'!AL514</f>
        <v>Original CRM/manual campaign tracker</v>
      </c>
      <c r="F517" s="50" t="str">
        <f>'WhatsApp Tracker'!B514</f>
        <v xml:space="preserve">Duliabam T.E </v>
      </c>
      <c r="G517" s="50">
        <f>'WhatsApp Tracker'!C514</f>
        <v>0</v>
      </c>
      <c r="H517" s="50" t="str">
        <f>'WhatsApp Tracker'!D514</f>
        <v>7002037389</v>
      </c>
      <c r="I517" s="50" t="str">
        <f>'WhatsApp Tracker'!T514</f>
        <v>Delivered</v>
      </c>
      <c r="J517" s="50" t="str">
        <f>'WhatsApp Tracker'!U514</f>
        <v>Unknown</v>
      </c>
      <c r="K517" s="50" t="str">
        <f>'WhatsApp Tracker'!V514</f>
        <v>Unknown</v>
      </c>
      <c r="L517" s="50" t="str">
        <f>'WhatsApp Tracker'!W514</f>
        <v>Not offered</v>
      </c>
      <c r="M517" s="51" t="str">
        <f>'WhatsApp Tracker'!X514</f>
        <v/>
      </c>
      <c r="N517" s="50" t="str">
        <f>'WhatsApp Tracker'!AM514</f>
        <v>Existing CRM lead</v>
      </c>
      <c r="O517" s="50">
        <f>'WhatsApp Tracker'!AC514</f>
        <v>0</v>
      </c>
    </row>
    <row r="518" spans="1:15" x14ac:dyDescent="0.25">
      <c r="A518" s="50">
        <f>'WhatsApp Tracker'!AH515</f>
        <v>4116</v>
      </c>
      <c r="B518" s="50" t="str">
        <f>'WhatsApp Tracker'!AA515</f>
        <v>Review</v>
      </c>
      <c r="C518" s="50" t="str">
        <f>'WhatsApp Tracker'!M515</f>
        <v>High</v>
      </c>
      <c r="D518" s="50">
        <f>'WhatsApp Tracker'!AN515</f>
        <v>1</v>
      </c>
      <c r="E518" s="50" t="str">
        <f>'WhatsApp Tracker'!AL515</f>
        <v>Original CRM/manual campaign tracker</v>
      </c>
      <c r="F518" s="50" t="str">
        <f>'WhatsApp Tracker'!B515</f>
        <v>Nalin Khemani</v>
      </c>
      <c r="G518" s="50" t="str">
        <f>'WhatsApp Tracker'!C515</f>
        <v>jitlibari tea estate</v>
      </c>
      <c r="H518" s="50" t="str">
        <f>'WhatsApp Tracker'!D515</f>
        <v>9435030679</v>
      </c>
      <c r="I518" s="50" t="str">
        <f>'WhatsApp Tracker'!T515</f>
        <v>Delivered</v>
      </c>
      <c r="J518" s="50" t="str">
        <f>'WhatsApp Tracker'!U515</f>
        <v>Unknown</v>
      </c>
      <c r="K518" s="50" t="str">
        <f>'WhatsApp Tracker'!V515</f>
        <v>Unknown</v>
      </c>
      <c r="L518" s="50" t="str">
        <f>'WhatsApp Tracker'!W515</f>
        <v>Not offered</v>
      </c>
      <c r="M518" s="51" t="str">
        <f>'WhatsApp Tracker'!X515</f>
        <v/>
      </c>
      <c r="N518" s="50" t="str">
        <f>'WhatsApp Tracker'!AM515</f>
        <v>Existing CRM lead</v>
      </c>
      <c r="O518" s="50">
        <f>'WhatsApp Tracker'!AC515</f>
        <v>0</v>
      </c>
    </row>
    <row r="519" spans="1:15" x14ac:dyDescent="0.25">
      <c r="A519" s="50">
        <f>'WhatsApp Tracker'!AH516</f>
        <v>9196</v>
      </c>
      <c r="B519" s="50" t="str">
        <f>'WhatsApp Tracker'!AA516</f>
        <v>Do not send</v>
      </c>
      <c r="C519" s="50" t="str">
        <f>'WhatsApp Tracker'!M516</f>
        <v>Hold</v>
      </c>
      <c r="D519" s="50">
        <f>'WhatsApp Tracker'!AN516</f>
        <v>1</v>
      </c>
      <c r="E519" s="50" t="str">
        <f>'WhatsApp Tracker'!AL516</f>
        <v>Original CRM/manual campaign tracker</v>
      </c>
      <c r="F519" s="50" t="str">
        <f>'WhatsApp Tracker'!B516</f>
        <v>Rajesh Goenka</v>
      </c>
      <c r="G519" s="50" t="str">
        <f>'WhatsApp Tracker'!C516</f>
        <v>jai hanuman tea co pvt .ltd</v>
      </c>
      <c r="H519" s="50" t="str">
        <f>'WhatsApp Tracker'!D516</f>
        <v>9435033780</v>
      </c>
      <c r="I519" s="50" t="str">
        <f>'WhatsApp Tracker'!T516</f>
        <v>Delivered</v>
      </c>
      <c r="J519" s="50" t="str">
        <f>'WhatsApp Tracker'!U516</f>
        <v>Unknown</v>
      </c>
      <c r="K519" s="50" t="str">
        <f>'WhatsApp Tracker'!V516</f>
        <v>Unknown</v>
      </c>
      <c r="L519" s="50" t="str">
        <f>'WhatsApp Tracker'!W516</f>
        <v>Not offered</v>
      </c>
      <c r="M519" s="51" t="str">
        <f>'WhatsApp Tracker'!X516</f>
        <v/>
      </c>
      <c r="N519" s="50" t="str">
        <f>'WhatsApp Tracker'!AM516</f>
        <v>Existing CRM lead</v>
      </c>
      <c r="O519" s="50">
        <f>'WhatsApp Tracker'!AC516</f>
        <v>0</v>
      </c>
    </row>
    <row r="520" spans="1:15" x14ac:dyDescent="0.25">
      <c r="A520" s="50">
        <f>'WhatsApp Tracker'!AH517</f>
        <v>9196</v>
      </c>
      <c r="B520" s="50" t="str">
        <f>'WhatsApp Tracker'!AA517</f>
        <v>Do not send</v>
      </c>
      <c r="C520" s="50" t="str">
        <f>'WhatsApp Tracker'!M517</f>
        <v>Hold</v>
      </c>
      <c r="D520" s="50">
        <f>'WhatsApp Tracker'!AN517</f>
        <v>1</v>
      </c>
      <c r="E520" s="50" t="str">
        <f>'WhatsApp Tracker'!AL517</f>
        <v>Original CRM/manual campaign tracker</v>
      </c>
      <c r="F520" s="50" t="str">
        <f>'WhatsApp Tracker'!B517</f>
        <v xml:space="preserve">Gourab Khemani </v>
      </c>
      <c r="G520" s="50" t="str">
        <f>'WhatsApp Tracker'!C517</f>
        <v>Assam Tea &amp; Seeds Plantation</v>
      </c>
      <c r="H520" s="50" t="str">
        <f>'WhatsApp Tracker'!D517</f>
        <v>9435034005</v>
      </c>
      <c r="I520" s="50" t="str">
        <f>'WhatsApp Tracker'!T517</f>
        <v>Delivered</v>
      </c>
      <c r="J520" s="50" t="str">
        <f>'WhatsApp Tracker'!U517</f>
        <v>Unknown</v>
      </c>
      <c r="K520" s="50" t="str">
        <f>'WhatsApp Tracker'!V517</f>
        <v>Unknown</v>
      </c>
      <c r="L520" s="50" t="str">
        <f>'WhatsApp Tracker'!W517</f>
        <v>Not offered</v>
      </c>
      <c r="M520" s="51" t="str">
        <f>'WhatsApp Tracker'!X517</f>
        <v/>
      </c>
      <c r="N520" s="50" t="str">
        <f>'WhatsApp Tracker'!AM517</f>
        <v>Existing CRM lead</v>
      </c>
      <c r="O520" s="50">
        <f>'WhatsApp Tracker'!AC517</f>
        <v>0</v>
      </c>
    </row>
    <row r="521" spans="1:15" x14ac:dyDescent="0.25">
      <c r="A521" s="50">
        <f>'WhatsApp Tracker'!AH518</f>
        <v>4136</v>
      </c>
      <c r="B521" s="50" t="str">
        <f>'WhatsApp Tracker'!AA518</f>
        <v>Review</v>
      </c>
      <c r="C521" s="50" t="str">
        <f>'WhatsApp Tracker'!M518</f>
        <v>Normal</v>
      </c>
      <c r="D521" s="50">
        <f>'WhatsApp Tracker'!AN518</f>
        <v>1</v>
      </c>
      <c r="E521" s="50" t="str">
        <f>'WhatsApp Tracker'!AL518</f>
        <v>Original CRM/manual campaign tracker</v>
      </c>
      <c r="F521" s="50" t="str">
        <f>'WhatsApp Tracker'!B518</f>
        <v>Dekhari T.E (ShanShun Tea &amp; Ind. Pvt. Ltd</v>
      </c>
      <c r="G521" s="50">
        <f>'WhatsApp Tracker'!C518</f>
        <v>0</v>
      </c>
      <c r="H521" s="50" t="str">
        <f>'WhatsApp Tracker'!D518</f>
        <v>9435473237</v>
      </c>
      <c r="I521" s="50" t="str">
        <f>'WhatsApp Tracker'!T518</f>
        <v>Delivered</v>
      </c>
      <c r="J521" s="50" t="str">
        <f>'WhatsApp Tracker'!U518</f>
        <v>Unknown</v>
      </c>
      <c r="K521" s="50" t="str">
        <f>'WhatsApp Tracker'!V518</f>
        <v>Unknown</v>
      </c>
      <c r="L521" s="50" t="str">
        <f>'WhatsApp Tracker'!W518</f>
        <v>Not offered</v>
      </c>
      <c r="M521" s="51" t="str">
        <f>'WhatsApp Tracker'!X518</f>
        <v/>
      </c>
      <c r="N521" s="50" t="str">
        <f>'WhatsApp Tracker'!AM518</f>
        <v>Existing CRM lead</v>
      </c>
      <c r="O521" s="50">
        <f>'WhatsApp Tracker'!AC518</f>
        <v>0</v>
      </c>
    </row>
    <row r="522" spans="1:15" x14ac:dyDescent="0.25">
      <c r="A522" s="50">
        <f>'WhatsApp Tracker'!AH519</f>
        <v>4136</v>
      </c>
      <c r="B522" s="50" t="str">
        <f>'WhatsApp Tracker'!AA519</f>
        <v>Review</v>
      </c>
      <c r="C522" s="50" t="str">
        <f>'WhatsApp Tracker'!M519</f>
        <v>Normal</v>
      </c>
      <c r="D522" s="50">
        <f>'WhatsApp Tracker'!AN519</f>
        <v>1</v>
      </c>
      <c r="E522" s="50" t="str">
        <f>'WhatsApp Tracker'!AL519</f>
        <v>Original CRM/manual campaign tracker</v>
      </c>
      <c r="F522" s="50" t="str">
        <f>'WhatsApp Tracker'!B519</f>
        <v>Jutiabam T.E</v>
      </c>
      <c r="G522" s="50">
        <f>'WhatsApp Tracker'!C519</f>
        <v>0</v>
      </c>
      <c r="H522" s="50" t="str">
        <f>'WhatsApp Tracker'!D519</f>
        <v>6002218979</v>
      </c>
      <c r="I522" s="50" t="str">
        <f>'WhatsApp Tracker'!T519</f>
        <v>Delivered</v>
      </c>
      <c r="J522" s="50" t="str">
        <f>'WhatsApp Tracker'!U519</f>
        <v>Unknown</v>
      </c>
      <c r="K522" s="50" t="str">
        <f>'WhatsApp Tracker'!V519</f>
        <v>Unknown</v>
      </c>
      <c r="L522" s="50" t="str">
        <f>'WhatsApp Tracker'!W519</f>
        <v>Not offered</v>
      </c>
      <c r="M522" s="51" t="str">
        <f>'WhatsApp Tracker'!X519</f>
        <v/>
      </c>
      <c r="N522" s="50" t="str">
        <f>'WhatsApp Tracker'!AM519</f>
        <v>Existing CRM lead</v>
      </c>
      <c r="O522" s="50">
        <f>'WhatsApp Tracker'!AC519</f>
        <v>0</v>
      </c>
    </row>
    <row r="523" spans="1:15" x14ac:dyDescent="0.25">
      <c r="A523" s="50">
        <f>'WhatsApp Tracker'!AH520</f>
        <v>4136</v>
      </c>
      <c r="B523" s="50" t="str">
        <f>'WhatsApp Tracker'!AA520</f>
        <v>Review</v>
      </c>
      <c r="C523" s="50" t="str">
        <f>'WhatsApp Tracker'!M520</f>
        <v>Normal</v>
      </c>
      <c r="D523" s="50">
        <f>'WhatsApp Tracker'!AN520</f>
        <v>1</v>
      </c>
      <c r="E523" s="50" t="str">
        <f>'WhatsApp Tracker'!AL520</f>
        <v>Original CRM/manual campaign tracker</v>
      </c>
      <c r="F523" s="50" t="str">
        <f>'WhatsApp Tracker'!B520</f>
        <v>Bijlibari T.E</v>
      </c>
      <c r="G523" s="50">
        <f>'WhatsApp Tracker'!C520</f>
        <v>0</v>
      </c>
      <c r="H523" s="50" t="str">
        <f>'WhatsApp Tracker'!D520</f>
        <v>8133949296</v>
      </c>
      <c r="I523" s="50" t="str">
        <f>'WhatsApp Tracker'!T520</f>
        <v>Delivered</v>
      </c>
      <c r="J523" s="50" t="str">
        <f>'WhatsApp Tracker'!U520</f>
        <v>Unknown</v>
      </c>
      <c r="K523" s="50" t="str">
        <f>'WhatsApp Tracker'!V520</f>
        <v>Unknown</v>
      </c>
      <c r="L523" s="50" t="str">
        <f>'WhatsApp Tracker'!W520</f>
        <v>Not offered</v>
      </c>
      <c r="M523" s="51" t="str">
        <f>'WhatsApp Tracker'!X520</f>
        <v/>
      </c>
      <c r="N523" s="50" t="str">
        <f>'WhatsApp Tracker'!AM520</f>
        <v>Existing CRM lead</v>
      </c>
      <c r="O523" s="50">
        <f>'WhatsApp Tracker'!AC520</f>
        <v>0</v>
      </c>
    </row>
    <row r="524" spans="1:15" x14ac:dyDescent="0.25">
      <c r="A524" s="50">
        <f>'WhatsApp Tracker'!AH521</f>
        <v>4136</v>
      </c>
      <c r="B524" s="50" t="str">
        <f>'WhatsApp Tracker'!AA521</f>
        <v>Review</v>
      </c>
      <c r="C524" s="50" t="str">
        <f>'WhatsApp Tracker'!M521</f>
        <v>Normal</v>
      </c>
      <c r="D524" s="50">
        <f>'WhatsApp Tracker'!AN521</f>
        <v>1</v>
      </c>
      <c r="E524" s="50" t="str">
        <f>'WhatsApp Tracker'!AL521</f>
        <v>Original CRM/manual campaign tracker</v>
      </c>
      <c r="F524" s="50" t="str">
        <f>'WhatsApp Tracker'!B521</f>
        <v>Mohabirbari T.E  unit 1</v>
      </c>
      <c r="G524" s="50">
        <f>'WhatsApp Tracker'!C521</f>
        <v>0</v>
      </c>
      <c r="H524" s="50" t="str">
        <f>'WhatsApp Tracker'!D521</f>
        <v>6000522700</v>
      </c>
      <c r="I524" s="50" t="str">
        <f>'WhatsApp Tracker'!T521</f>
        <v>Delivered</v>
      </c>
      <c r="J524" s="50" t="str">
        <f>'WhatsApp Tracker'!U521</f>
        <v>Unknown</v>
      </c>
      <c r="K524" s="50" t="str">
        <f>'WhatsApp Tracker'!V521</f>
        <v>Unknown</v>
      </c>
      <c r="L524" s="50" t="str">
        <f>'WhatsApp Tracker'!W521</f>
        <v>Not offered</v>
      </c>
      <c r="M524" s="51" t="str">
        <f>'WhatsApp Tracker'!X521</f>
        <v/>
      </c>
      <c r="N524" s="50" t="str">
        <f>'WhatsApp Tracker'!AM521</f>
        <v>Existing CRM lead</v>
      </c>
      <c r="O524" s="50">
        <f>'WhatsApp Tracker'!AC521</f>
        <v>0</v>
      </c>
    </row>
    <row r="525" spans="1:15" x14ac:dyDescent="0.25">
      <c r="A525" s="50">
        <f>'WhatsApp Tracker'!AH522</f>
        <v>4136</v>
      </c>
      <c r="B525" s="50" t="str">
        <f>'WhatsApp Tracker'!AA522</f>
        <v>Review</v>
      </c>
      <c r="C525" s="50" t="str">
        <f>'WhatsApp Tracker'!M522</f>
        <v>Normal</v>
      </c>
      <c r="D525" s="50">
        <f>'WhatsApp Tracker'!AN522</f>
        <v>1</v>
      </c>
      <c r="E525" s="50" t="str">
        <f>'WhatsApp Tracker'!AL522</f>
        <v>Original CRM/manual campaign tracker</v>
      </c>
      <c r="F525" s="50" t="str">
        <f>'WhatsApp Tracker'!B522</f>
        <v>Parbotipur T.E</v>
      </c>
      <c r="G525" s="50">
        <f>'WhatsApp Tracker'!C522</f>
        <v>0</v>
      </c>
      <c r="H525" s="50" t="str">
        <f>'WhatsApp Tracker'!D522</f>
        <v>9706793269</v>
      </c>
      <c r="I525" s="50" t="str">
        <f>'WhatsApp Tracker'!T522</f>
        <v>Delivered</v>
      </c>
      <c r="J525" s="50" t="str">
        <f>'WhatsApp Tracker'!U522</f>
        <v>Unknown</v>
      </c>
      <c r="K525" s="50" t="str">
        <f>'WhatsApp Tracker'!V522</f>
        <v>Unknown</v>
      </c>
      <c r="L525" s="50" t="str">
        <f>'WhatsApp Tracker'!W522</f>
        <v>Not offered</v>
      </c>
      <c r="M525" s="51" t="str">
        <f>'WhatsApp Tracker'!X522</f>
        <v/>
      </c>
      <c r="N525" s="50" t="str">
        <f>'WhatsApp Tracker'!AM522</f>
        <v>Existing CRM lead</v>
      </c>
      <c r="O525" s="50">
        <f>'WhatsApp Tracker'!AC522</f>
        <v>0</v>
      </c>
    </row>
    <row r="526" spans="1:15" x14ac:dyDescent="0.25">
      <c r="A526" s="50">
        <f>'WhatsApp Tracker'!AH523</f>
        <v>4136</v>
      </c>
      <c r="B526" s="50" t="str">
        <f>'WhatsApp Tracker'!AA523</f>
        <v>Review</v>
      </c>
      <c r="C526" s="50" t="str">
        <f>'WhatsApp Tracker'!M523</f>
        <v>Normal</v>
      </c>
      <c r="D526" s="50">
        <f>'WhatsApp Tracker'!AN523</f>
        <v>1</v>
      </c>
      <c r="E526" s="50" t="str">
        <f>'WhatsApp Tracker'!AL523</f>
        <v>Original CRM/manual campaign tracker</v>
      </c>
      <c r="F526" s="50" t="str">
        <f>'WhatsApp Tracker'!B523</f>
        <v xml:space="preserve">Ghograjan T.E </v>
      </c>
      <c r="G526" s="50">
        <f>'WhatsApp Tracker'!C523</f>
        <v>0</v>
      </c>
      <c r="H526" s="50" t="str">
        <f>'WhatsApp Tracker'!D523</f>
        <v>7002833087</v>
      </c>
      <c r="I526" s="50" t="str">
        <f>'WhatsApp Tracker'!T523</f>
        <v>Delivered</v>
      </c>
      <c r="J526" s="50" t="str">
        <f>'WhatsApp Tracker'!U523</f>
        <v>Unknown</v>
      </c>
      <c r="K526" s="50" t="str">
        <f>'WhatsApp Tracker'!V523</f>
        <v>Unknown</v>
      </c>
      <c r="L526" s="50" t="str">
        <f>'WhatsApp Tracker'!W523</f>
        <v>Not offered</v>
      </c>
      <c r="M526" s="51" t="str">
        <f>'WhatsApp Tracker'!X523</f>
        <v/>
      </c>
      <c r="N526" s="50" t="str">
        <f>'WhatsApp Tracker'!AM523</f>
        <v>Existing CRM lead</v>
      </c>
      <c r="O526" s="50">
        <f>'WhatsApp Tracker'!AC523</f>
        <v>0</v>
      </c>
    </row>
  </sheetData>
  <autoFilter ref="A4:O526" xr:uid="{00000000-0009-0000-0000-000001000000}"/>
  <mergeCells count="2">
    <mergeCell ref="A1:O1"/>
    <mergeCell ref="A2:O2"/>
  </mergeCells>
  <conditionalFormatting sqref="B5:C526">
    <cfRule type="cellIs" dxfId="241" priority="1" stopIfTrue="1" operator="equal">
      <formula>"OK"</formula>
    </cfRule>
    <cfRule type="cellIs" dxfId="240" priority="2" stopIfTrue="1" operator="equal">
      <formula>"Send"</formula>
    </cfRule>
    <cfRule type="cellIs" dxfId="239" priority="3" stopIfTrue="1" operator="equal">
      <formula>"Normal"</formula>
    </cfRule>
    <cfRule type="cellIs" dxfId="238" priority="4" stopIfTrue="1" operator="equal">
      <formula>"Read"</formula>
    </cfRule>
    <cfRule type="cellIs" dxfId="237" priority="5" stopIfTrue="1" operator="equal">
      <formula>"Yes"</formula>
    </cfRule>
    <cfRule type="cellIs" dxfId="236" priority="6" stopIfTrue="1" operator="equal">
      <formula>"Booked"</formula>
    </cfRule>
    <cfRule type="cellIs" dxfId="235" priority="7" stopIfTrue="1" operator="equal">
      <formula>"Completed"</formula>
    </cfRule>
    <cfRule type="cellIs" dxfId="234" priority="8" stopIfTrue="1" operator="equal">
      <formula>"Won"</formula>
    </cfRule>
    <cfRule type="cellIs" dxfId="233" priority="9" stopIfTrue="1" operator="equal">
      <formula>"Prepare demo"</formula>
    </cfRule>
    <cfRule type="cellIs" dxfId="232" priority="10" stopIfTrue="1" operator="equal">
      <formula>"Follow-up sent"</formula>
    </cfRule>
    <cfRule type="cellIs" dxfId="231" priority="11" stopIfTrue="1" operator="equal">
      <formula>"High"</formula>
    </cfRule>
    <cfRule type="cellIs" dxfId="230" priority="12" stopIfTrue="1" operator="equal">
      <formula>"Medium"</formula>
    </cfRule>
    <cfRule type="cellIs" dxfId="229" priority="13" stopIfTrue="1" operator="equal">
      <formula>"Not sent"</formula>
    </cfRule>
    <cfRule type="cellIs" dxfId="228" priority="14" stopIfTrue="1" operator="equal">
      <formula>"Unknown"</formula>
    </cfRule>
    <cfRule type="cellIs" dxfId="227" priority="15" stopIfTrue="1" operator="equal">
      <formula>"Not offered"</formula>
    </cfRule>
    <cfRule type="cellIs" dxfId="226" priority="16" stopIfTrue="1" operator="equal">
      <formula>"Open"</formula>
    </cfRule>
    <cfRule type="cellIs" dxfId="225" priority="17" stopIfTrue="1" operator="equal">
      <formula>"Send WhatsApp"</formula>
    </cfRule>
    <cfRule type="cellIs" dxfId="224" priority="18" stopIfTrue="1" operator="equal">
      <formula>"Send follow-up"</formula>
    </cfRule>
    <cfRule type="cellIs" dxfId="223" priority="19" stopIfTrue="1" operator="equal">
      <formula>"Overdue"</formula>
    </cfRule>
    <cfRule type="cellIs" dxfId="222" priority="20" stopIfTrue="1" operator="equal">
      <formula>"Due today"</formula>
    </cfRule>
    <cfRule type="cellIs" dxfId="221" priority="21" stopIfTrue="1" operator="equal">
      <formula>"Check"</formula>
    </cfRule>
    <cfRule type="cellIs" dxfId="220" priority="22" stopIfTrue="1" operator="equal">
      <formula>"Hold"</formula>
    </cfRule>
    <cfRule type="cellIs" dxfId="219" priority="23" stopIfTrue="1" operator="equal">
      <formula>"Failed"</formula>
    </cfRule>
    <cfRule type="cellIs" dxfId="218" priority="24" stopIfTrue="1" operator="equal">
      <formula>"Not interested"</formula>
    </cfRule>
    <cfRule type="cellIs" dxfId="217" priority="25" stopIfTrue="1" operator="equal">
      <formula>"Bad number"</formula>
    </cfRule>
    <cfRule type="cellIs" dxfId="216" priority="26" stopIfTrue="1" operator="equal">
      <formula>"Wrong person"</formula>
    </cfRule>
    <cfRule type="cellIs" dxfId="215" priority="27" stopIfTrue="1" operator="equal">
      <formula>"No"</formula>
    </cfRule>
    <cfRule type="cellIs" dxfId="214" priority="28" stopIfTrue="1" operator="equal">
      <formula>"No show"</formula>
    </cfRule>
    <cfRule type="cellIs" dxfId="213" priority="29" stopIfTrue="1" operator="equal">
      <formula>"Lost"</formula>
    </cfRule>
    <cfRule type="cellIs" dxfId="212" priority="30" stopIfTrue="1" operator="equal">
      <formula>"Disqualified"</formula>
    </cfRule>
    <cfRule type="cellIs" dxfId="211" priority="31" stopIfTrue="1" operator="equal">
      <formula>"Do not send"</formula>
    </cfRule>
    <cfRule type="cellIs" dxfId="210" priority="32" stopIfTrue="1" operator="equal">
      <formula>"Sent"</formula>
    </cfRule>
    <cfRule type="cellIs" dxfId="209" priority="33" stopIfTrue="1" operator="equal">
      <formula>"Delivered"</formula>
    </cfRule>
    <cfRule type="cellIs" dxfId="208" priority="34" stopIfTrue="1" operator="equal">
      <formula>"Replied"</formula>
    </cfRule>
    <cfRule type="cellIs" dxfId="207" priority="35" stopIfTrue="1" operator="equal">
      <formula>"Interested"</formula>
    </cfRule>
    <cfRule type="cellIs" dxfId="206" priority="36" stopIfTrue="1" operator="equal">
      <formula>"Offered"</formula>
    </cfRule>
    <cfRule type="cellIs" dxfId="205" priority="37" stopIfTrue="1" operator="equal">
      <formula>"Nurture"</formula>
    </cfRule>
    <cfRule type="cellIs" dxfId="204" priority="38" stopIfTrue="1" operator="equal">
      <formula>"Review"</formula>
    </cfRule>
    <cfRule type="cellIs" dxfId="203" priority="39" stopIfTrue="1" operator="equal">
      <formula>"No reply"</formula>
    </cfRule>
  </conditionalFormatting>
  <conditionalFormatting sqref="I5:L526">
    <cfRule type="cellIs" dxfId="202" priority="79" stopIfTrue="1" operator="equal">
      <formula>"OK"</formula>
    </cfRule>
    <cfRule type="cellIs" dxfId="201" priority="80" stopIfTrue="1" operator="equal">
      <formula>"Send"</formula>
    </cfRule>
    <cfRule type="cellIs" dxfId="200" priority="81" stopIfTrue="1" operator="equal">
      <formula>"Normal"</formula>
    </cfRule>
    <cfRule type="cellIs" dxfId="199" priority="82" stopIfTrue="1" operator="equal">
      <formula>"Read"</formula>
    </cfRule>
    <cfRule type="cellIs" dxfId="198" priority="83" stopIfTrue="1" operator="equal">
      <formula>"Yes"</formula>
    </cfRule>
    <cfRule type="cellIs" dxfId="197" priority="84" stopIfTrue="1" operator="equal">
      <formula>"Booked"</formula>
    </cfRule>
    <cfRule type="cellIs" dxfId="196" priority="85" stopIfTrue="1" operator="equal">
      <formula>"Completed"</formula>
    </cfRule>
    <cfRule type="cellIs" dxfId="195" priority="86" stopIfTrue="1" operator="equal">
      <formula>"Won"</formula>
    </cfRule>
    <cfRule type="cellIs" dxfId="194" priority="87" stopIfTrue="1" operator="equal">
      <formula>"Prepare demo"</formula>
    </cfRule>
    <cfRule type="cellIs" dxfId="193" priority="88" stopIfTrue="1" operator="equal">
      <formula>"Follow-up sent"</formula>
    </cfRule>
    <cfRule type="cellIs" dxfId="192" priority="89" stopIfTrue="1" operator="equal">
      <formula>"High"</formula>
    </cfRule>
    <cfRule type="cellIs" dxfId="191" priority="90" stopIfTrue="1" operator="equal">
      <formula>"Medium"</formula>
    </cfRule>
    <cfRule type="cellIs" dxfId="190" priority="91" stopIfTrue="1" operator="equal">
      <formula>"Not sent"</formula>
    </cfRule>
    <cfRule type="cellIs" dxfId="189" priority="92" stopIfTrue="1" operator="equal">
      <formula>"Unknown"</formula>
    </cfRule>
    <cfRule type="cellIs" dxfId="188" priority="93" stopIfTrue="1" operator="equal">
      <formula>"Not offered"</formula>
    </cfRule>
    <cfRule type="cellIs" dxfId="187" priority="94" stopIfTrue="1" operator="equal">
      <formula>"Open"</formula>
    </cfRule>
    <cfRule type="cellIs" dxfId="186" priority="95" stopIfTrue="1" operator="equal">
      <formula>"Send WhatsApp"</formula>
    </cfRule>
    <cfRule type="cellIs" dxfId="185" priority="96" stopIfTrue="1" operator="equal">
      <formula>"Send follow-up"</formula>
    </cfRule>
    <cfRule type="cellIs" dxfId="184" priority="97" stopIfTrue="1" operator="equal">
      <formula>"Overdue"</formula>
    </cfRule>
    <cfRule type="cellIs" dxfId="183" priority="98" stopIfTrue="1" operator="equal">
      <formula>"Due today"</formula>
    </cfRule>
    <cfRule type="cellIs" dxfId="182" priority="99" stopIfTrue="1" operator="equal">
      <formula>"Check"</formula>
    </cfRule>
    <cfRule type="cellIs" dxfId="181" priority="100" stopIfTrue="1" operator="equal">
      <formula>"Hold"</formula>
    </cfRule>
    <cfRule type="cellIs" dxfId="180" priority="101" stopIfTrue="1" operator="equal">
      <formula>"Failed"</formula>
    </cfRule>
    <cfRule type="cellIs" dxfId="179" priority="102" stopIfTrue="1" operator="equal">
      <formula>"Not interested"</formula>
    </cfRule>
    <cfRule type="cellIs" dxfId="178" priority="103" stopIfTrue="1" operator="equal">
      <formula>"Bad number"</formula>
    </cfRule>
    <cfRule type="cellIs" dxfId="177" priority="104" stopIfTrue="1" operator="equal">
      <formula>"Wrong person"</formula>
    </cfRule>
    <cfRule type="cellIs" dxfId="176" priority="105" stopIfTrue="1" operator="equal">
      <formula>"No"</formula>
    </cfRule>
    <cfRule type="cellIs" dxfId="175" priority="106" stopIfTrue="1" operator="equal">
      <formula>"No show"</formula>
    </cfRule>
    <cfRule type="cellIs" dxfId="174" priority="107" stopIfTrue="1" operator="equal">
      <formula>"Lost"</formula>
    </cfRule>
    <cfRule type="cellIs" dxfId="173" priority="108" stopIfTrue="1" operator="equal">
      <formula>"Disqualified"</formula>
    </cfRule>
    <cfRule type="cellIs" dxfId="172" priority="109" stopIfTrue="1" operator="equal">
      <formula>"Do not send"</formula>
    </cfRule>
    <cfRule type="cellIs" dxfId="171" priority="110" stopIfTrue="1" operator="equal">
      <formula>"Sent"</formula>
    </cfRule>
    <cfRule type="cellIs" dxfId="170" priority="111" stopIfTrue="1" operator="equal">
      <formula>"Delivered"</formula>
    </cfRule>
    <cfRule type="cellIs" dxfId="169" priority="112" stopIfTrue="1" operator="equal">
      <formula>"Replied"</formula>
    </cfRule>
    <cfRule type="cellIs" dxfId="168" priority="113" stopIfTrue="1" operator="equal">
      <formula>"Interested"</formula>
    </cfRule>
    <cfRule type="cellIs" dxfId="167" priority="114" stopIfTrue="1" operator="equal">
      <formula>"Offered"</formula>
    </cfRule>
    <cfRule type="cellIs" dxfId="166" priority="115" stopIfTrue="1" operator="equal">
      <formula>"Nurture"</formula>
    </cfRule>
    <cfRule type="cellIs" dxfId="165" priority="116" stopIfTrue="1" operator="equal">
      <formula>"Review"</formula>
    </cfRule>
    <cfRule type="cellIs" dxfId="164" priority="117" stopIfTrue="1" operator="equal">
      <formula>"No reply"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23"/>
  <sheetViews>
    <sheetView showGridLines="0" tabSelected="1" workbookViewId="0">
      <pane ySplit="1" topLeftCell="A45" activePane="bottomLeft" state="frozen"/>
      <selection activeCell="H20" sqref="H20"/>
      <selection pane="bottomLeft" activeCell="T47" sqref="T47"/>
    </sheetView>
  </sheetViews>
  <sheetFormatPr defaultRowHeight="15" x14ac:dyDescent="0.25"/>
  <cols>
    <col min="1" max="1" width="10" customWidth="1"/>
    <col min="2" max="3" width="24" customWidth="1"/>
    <col min="4" max="4" width="15" customWidth="1"/>
    <col min="5" max="5" width="10" customWidth="1"/>
    <col min="6" max="6" width="16" customWidth="1"/>
    <col min="7" max="7" width="15" customWidth="1"/>
    <col min="8" max="8" width="13" customWidth="1"/>
    <col min="9" max="10" width="24" customWidth="1"/>
    <col min="11" max="11" width="10" customWidth="1"/>
    <col min="12" max="12" width="13" customWidth="1"/>
    <col min="13" max="13" width="11" customWidth="1"/>
    <col min="14" max="14" width="26" customWidth="1"/>
    <col min="15" max="15" width="16" customWidth="1"/>
    <col min="16" max="16" width="13" customWidth="1"/>
    <col min="17" max="17" width="30" customWidth="1"/>
    <col min="18" max="18" width="14" customWidth="1"/>
    <col min="19" max="19" width="13" customWidth="1"/>
    <col min="20" max="21" width="15" customWidth="1"/>
    <col min="22" max="22" width="12" customWidth="1"/>
    <col min="23" max="23" width="16" customWidth="1"/>
    <col min="24" max="24" width="14" customWidth="1"/>
    <col min="25" max="25" width="15" customWidth="1"/>
    <col min="26" max="26" width="14" customWidth="1"/>
    <col min="27" max="27" width="18" customWidth="1"/>
    <col min="28" max="28" width="14" customWidth="1"/>
    <col min="29" max="29" width="30" customWidth="1"/>
    <col min="30" max="30" width="11" customWidth="1"/>
    <col min="31" max="32" width="12" customWidth="1"/>
    <col min="33" max="34" width="11" customWidth="1"/>
    <col min="35" max="35" width="13" customWidth="1"/>
    <col min="36" max="36" width="16" customWidth="1"/>
    <col min="37" max="37" width="18" customWidth="1"/>
    <col min="38" max="38" width="26" customWidth="1"/>
    <col min="39" max="39" width="38" customWidth="1"/>
    <col min="40" max="40" width="11" customWidth="1"/>
    <col min="41" max="41" width="28" customWidth="1"/>
    <col min="42" max="42" width="16" customWidth="1"/>
    <col min="43" max="43" width="18" customWidth="1"/>
    <col min="44" max="44" width="34" customWidth="1"/>
  </cols>
  <sheetData>
    <row r="1" spans="1:44" ht="33.950000000000003" customHeight="1" x14ac:dyDescent="0.25">
      <c r="A1" s="27" t="s">
        <v>50</v>
      </c>
      <c r="B1" s="27" t="s">
        <v>7</v>
      </c>
      <c r="C1" s="27" t="s">
        <v>8</v>
      </c>
      <c r="D1" s="27" t="s">
        <v>9</v>
      </c>
      <c r="E1" s="27" t="s">
        <v>51</v>
      </c>
      <c r="F1" s="27" t="s">
        <v>52</v>
      </c>
      <c r="G1" s="27" t="s">
        <v>53</v>
      </c>
      <c r="H1" s="27" t="s">
        <v>54</v>
      </c>
      <c r="I1" s="27" t="s">
        <v>55</v>
      </c>
      <c r="J1" s="27" t="s">
        <v>56</v>
      </c>
      <c r="K1" s="27" t="s">
        <v>57</v>
      </c>
      <c r="L1" s="27" t="s">
        <v>58</v>
      </c>
      <c r="M1" s="27" t="s">
        <v>4</v>
      </c>
      <c r="N1" s="27" t="s">
        <v>59</v>
      </c>
      <c r="O1" s="27" t="s">
        <v>60</v>
      </c>
      <c r="P1" s="27" t="s">
        <v>61</v>
      </c>
      <c r="Q1" s="27" t="s">
        <v>62</v>
      </c>
      <c r="R1" s="27" t="s">
        <v>63</v>
      </c>
      <c r="S1" s="27" t="s">
        <v>64</v>
      </c>
      <c r="T1" s="27" t="s">
        <v>65</v>
      </c>
      <c r="U1" s="27" t="s">
        <v>66</v>
      </c>
      <c r="V1" s="27" t="s">
        <v>67</v>
      </c>
      <c r="W1" s="27" t="s">
        <v>68</v>
      </c>
      <c r="X1" s="27" t="s">
        <v>14</v>
      </c>
      <c r="Y1" s="27" t="s">
        <v>69</v>
      </c>
      <c r="Z1" s="27" t="s">
        <v>70</v>
      </c>
      <c r="AA1" s="27" t="s">
        <v>3</v>
      </c>
      <c r="AB1" s="27" t="s">
        <v>71</v>
      </c>
      <c r="AC1" s="27" t="s">
        <v>72</v>
      </c>
      <c r="AD1" s="27" t="s">
        <v>73</v>
      </c>
      <c r="AE1" s="27" t="s">
        <v>74</v>
      </c>
      <c r="AF1" s="27" t="s">
        <v>75</v>
      </c>
      <c r="AG1" s="27" t="s">
        <v>76</v>
      </c>
      <c r="AH1" s="27" t="s">
        <v>2</v>
      </c>
      <c r="AI1" s="27" t="s">
        <v>77</v>
      </c>
      <c r="AJ1" s="27" t="s">
        <v>78</v>
      </c>
      <c r="AK1" s="49" t="s">
        <v>79</v>
      </c>
      <c r="AL1" s="49" t="s">
        <v>6</v>
      </c>
      <c r="AM1" s="49" t="s">
        <v>15</v>
      </c>
      <c r="AN1" s="49" t="s">
        <v>5</v>
      </c>
      <c r="AO1" s="53" t="s">
        <v>80</v>
      </c>
      <c r="AP1" s="56" t="s">
        <v>81</v>
      </c>
      <c r="AQ1" s="56" t="s">
        <v>82</v>
      </c>
      <c r="AR1" s="56" t="s">
        <v>83</v>
      </c>
    </row>
    <row r="2" spans="1:44" ht="42" customHeight="1" x14ac:dyDescent="0.25">
      <c r="A2" s="30" t="s">
        <v>195</v>
      </c>
      <c r="B2" s="30" t="s">
        <v>196</v>
      </c>
      <c r="C2" s="33"/>
      <c r="D2" s="31" t="s">
        <v>197</v>
      </c>
      <c r="E2" s="33"/>
      <c r="F2" s="30" t="s">
        <v>88</v>
      </c>
      <c r="G2" s="32">
        <v>46147</v>
      </c>
      <c r="H2" s="32">
        <v>46139</v>
      </c>
      <c r="I2" s="30" t="s">
        <v>136</v>
      </c>
      <c r="J2" s="33"/>
      <c r="K2" s="30" t="str">
        <f>IF(LEN(D2)=10,"OK","Check")</f>
        <v>OK</v>
      </c>
      <c r="L2" s="30" t="str">
        <f>IF(ISNUMBER(SEARCH("not interested",LOWER(I2&amp;" "&amp;J2))),"Hold","Send")</f>
        <v>Send</v>
      </c>
      <c r="M2" s="30" t="str">
        <f>IF(L2="Hold","Hold",IF(IFERROR(E2,0)&gt;=200,"High",IF(IFERROR(E2,0)&gt;=100,"Medium","Normal")))</f>
        <v>Normal</v>
      </c>
      <c r="N2" s="30" t="s">
        <v>90</v>
      </c>
      <c r="O2" s="30" t="s">
        <v>91</v>
      </c>
      <c r="P2" s="30" t="s">
        <v>92</v>
      </c>
      <c r="Q2" s="34" t="s">
        <v>93</v>
      </c>
      <c r="R2" s="35"/>
      <c r="S2" s="33"/>
      <c r="T2" s="30" t="s">
        <v>21</v>
      </c>
      <c r="U2" s="30" t="s">
        <v>94</v>
      </c>
      <c r="V2" s="30" t="s">
        <v>94</v>
      </c>
      <c r="W2" s="30" t="s">
        <v>95</v>
      </c>
      <c r="X2" s="32" t="str">
        <f>IF(AND(R2&lt;&gt;"",OR(U2="No reply",U2="Unknown")),R2+2,"")</f>
        <v/>
      </c>
      <c r="Y2" s="35"/>
      <c r="Z2" s="30" t="s">
        <v>96</v>
      </c>
      <c r="AA2" s="30" t="str">
        <f>IF(L2="Hold","Do not send",IF(T2="Not sent","Send WhatsApp",IF(U2="Demo booked","Prepare demo",IF(W2="Booked","Prepare demo",IF(AND(X2&lt;&gt;"",Y2=""),"Send follow-up","Review")))))</f>
        <v>Review</v>
      </c>
      <c r="AB2" s="33"/>
      <c r="AC2" s="33"/>
      <c r="AD2" s="28">
        <f>IF(AA2="Prepare demo",1,IF(AA2="Send follow-up",2,IF(AA2="Send WhatsApp",3,IF(AA2="Review",4,IF(AA2="Do not send",9,5)))))</f>
        <v>4</v>
      </c>
      <c r="AE2" s="28">
        <f>IF(M2="High",1,IF(M2="Medium",2,IF(M2="Normal",3,IF(M2="Hold",9,4))))</f>
        <v>3</v>
      </c>
      <c r="AF2" s="28">
        <f>IF(T2="Read",1,IF(T2="Delivered",2,IF(T2="Sent",3,IF(T2="Not sent",4,IF(T2="Failed",9,5)))))</f>
        <v>3</v>
      </c>
      <c r="AG2" s="28">
        <f>IF(U2="Demo booked",1,IF(U2="Interested",2,IF(U2="Replied",3,IF(U2="No reply",5,IF(U2="Not interested",8,IF(U2="Bad number",9,6))))))</f>
        <v>6</v>
      </c>
      <c r="AH2" s="36">
        <f>AD2*1000+AN2*100+AE2*10+AG2</f>
        <v>4136</v>
      </c>
      <c r="AI2" s="29">
        <f>MAX(IF(R2="",0,R2),IF(Y2="",0,Y2))</f>
        <v>0</v>
      </c>
      <c r="AJ2" s="28" t="str">
        <f ca="1">IF(AND(X2&lt;&gt;"",Y2="",X2&lt;TODAY()),"Overdue",IF(AND(X2&lt;&gt;"",Y2="",X2=TODAY()),"Due today",IF(Y2&lt;&gt;"","Follow-up sent","")))</f>
        <v/>
      </c>
      <c r="AK2" s="50" t="s">
        <v>97</v>
      </c>
      <c r="AL2" s="50" t="s">
        <v>98</v>
      </c>
      <c r="AM2" s="50" t="s">
        <v>99</v>
      </c>
      <c r="AN2" s="50">
        <v>1</v>
      </c>
      <c r="AO2" s="54" t="s">
        <v>198</v>
      </c>
      <c r="AP2" s="59" t="s">
        <v>101</v>
      </c>
      <c r="AQ2" s="60">
        <v>46161.628564814811</v>
      </c>
      <c r="AR2" s="59" t="s">
        <v>102</v>
      </c>
    </row>
    <row r="3" spans="1:44" ht="42" customHeight="1" x14ac:dyDescent="0.25">
      <c r="A3" s="37" t="s">
        <v>146</v>
      </c>
      <c r="B3" s="37" t="s">
        <v>147</v>
      </c>
      <c r="C3" s="37" t="s">
        <v>148</v>
      </c>
      <c r="D3" s="38" t="s">
        <v>149</v>
      </c>
      <c r="E3" s="40"/>
      <c r="F3" s="37" t="s">
        <v>88</v>
      </c>
      <c r="G3" s="39">
        <v>46127</v>
      </c>
      <c r="H3" s="75">
        <v>46130</v>
      </c>
      <c r="I3" s="37" t="s">
        <v>136</v>
      </c>
      <c r="J3" s="40"/>
      <c r="K3" s="37" t="str">
        <f>IF(LEN(D3)=10,"OK","Check")</f>
        <v>OK</v>
      </c>
      <c r="L3" s="37" t="str">
        <f>IF(ISNUMBER(SEARCH("not interested",LOWER(I3&amp;" "&amp;J3))),"Hold","Send")</f>
        <v>Send</v>
      </c>
      <c r="M3" s="37" t="str">
        <f>IF(L3="Hold","Hold",IF(IFERROR(E3,0)&gt;=200,"High",IF(IFERROR(E3,0)&gt;=100,"Medium","Normal")))</f>
        <v>Normal</v>
      </c>
      <c r="N3" s="37" t="s">
        <v>90</v>
      </c>
      <c r="O3" s="37" t="s">
        <v>91</v>
      </c>
      <c r="P3" s="37" t="s">
        <v>92</v>
      </c>
      <c r="Q3" s="41" t="s">
        <v>93</v>
      </c>
      <c r="R3" s="42"/>
      <c r="S3" s="40"/>
      <c r="T3" s="37" t="s">
        <v>21</v>
      </c>
      <c r="U3" s="37" t="s">
        <v>94</v>
      </c>
      <c r="V3" s="37" t="s">
        <v>94</v>
      </c>
      <c r="W3" s="37" t="s">
        <v>95</v>
      </c>
      <c r="X3" s="39" t="str">
        <f>IF(AND(R3&lt;&gt;"",OR(U3="No reply",U3="Unknown")),R3+2,"")</f>
        <v/>
      </c>
      <c r="Y3" s="42"/>
      <c r="Z3" s="37" t="s">
        <v>96</v>
      </c>
      <c r="AA3" s="37" t="str">
        <f>IF(L3="Hold","Do not send",IF(T3="Not sent","Send WhatsApp",IF(U3="Demo booked","Prepare demo",IF(W3="Booked","Prepare demo",IF(AND(X3&lt;&gt;"",Y3=""),"Send follow-up","Review")))))</f>
        <v>Review</v>
      </c>
      <c r="AB3" s="40"/>
      <c r="AC3" s="40"/>
      <c r="AD3" s="28">
        <f>IF(AA3="Prepare demo",1,IF(AA3="Send follow-up",2,IF(AA3="Send WhatsApp",3,IF(AA3="Review",4,IF(AA3="Do not send",9,5)))))</f>
        <v>4</v>
      </c>
      <c r="AE3" s="28">
        <f>IF(M3="High",1,IF(M3="Medium",2,IF(M3="Normal",3,IF(M3="Hold",9,4))))</f>
        <v>3</v>
      </c>
      <c r="AF3" s="28">
        <f>IF(T3="Read",1,IF(T3="Delivered",2,IF(T3="Sent",3,IF(T3="Not sent",4,IF(T3="Failed",9,5)))))</f>
        <v>3</v>
      </c>
      <c r="AG3" s="28">
        <f>IF(U3="Demo booked",1,IF(U3="Interested",2,IF(U3="Replied",3,IF(U3="No reply",5,IF(U3="Not interested",8,IF(U3="Bad number",9,6))))))</f>
        <v>6</v>
      </c>
      <c r="AH3" s="36">
        <f>AD3*1000+AN3*100+AE3*10+AG3</f>
        <v>4136</v>
      </c>
      <c r="AI3" s="29">
        <f>MAX(IF(R3="",0,R3),IF(Y3="",0,Y3))</f>
        <v>0</v>
      </c>
      <c r="AJ3" s="28" t="str">
        <f ca="1">IF(AND(X3&lt;&gt;"",Y3="",X3&lt;TODAY()),"Overdue",IF(AND(X3&lt;&gt;"",Y3="",X3=TODAY()),"Due today",IF(Y3&lt;&gt;"","Follow-up sent","")))</f>
        <v/>
      </c>
      <c r="AK3" s="50" t="s">
        <v>97</v>
      </c>
      <c r="AL3" s="50" t="s">
        <v>98</v>
      </c>
      <c r="AM3" s="50" t="s">
        <v>99</v>
      </c>
      <c r="AN3" s="50">
        <v>1</v>
      </c>
      <c r="AO3" s="54" t="s">
        <v>150</v>
      </c>
      <c r="AP3" s="59" t="s">
        <v>101</v>
      </c>
      <c r="AQ3" s="60">
        <v>46161.625752314823</v>
      </c>
      <c r="AR3" s="59" t="s">
        <v>102</v>
      </c>
    </row>
    <row r="4" spans="1:44" ht="42" customHeight="1" x14ac:dyDescent="0.25">
      <c r="A4" s="37" t="s">
        <v>103</v>
      </c>
      <c r="B4" s="37" t="s">
        <v>104</v>
      </c>
      <c r="C4" s="37" t="s">
        <v>105</v>
      </c>
      <c r="D4" s="38" t="s">
        <v>106</v>
      </c>
      <c r="E4" s="37">
        <v>300</v>
      </c>
      <c r="F4" s="37" t="s">
        <v>88</v>
      </c>
      <c r="G4" s="39">
        <v>46154</v>
      </c>
      <c r="H4" s="39">
        <v>46130</v>
      </c>
      <c r="I4" s="105" t="s">
        <v>107</v>
      </c>
      <c r="J4" s="40"/>
      <c r="K4" s="37" t="str">
        <f>IF(LEN(D4)=10,"OK","Check")</f>
        <v>OK</v>
      </c>
      <c r="L4" s="37" t="str">
        <f>IF(ISNUMBER(SEARCH("not interested",LOWER(I4&amp;" "&amp;J4))),"Hold","Send")</f>
        <v>Send</v>
      </c>
      <c r="M4" s="37" t="str">
        <f>IF(L4="Hold","Hold",IF(IFERROR(E4,0)&gt;=200,"High",IF(IFERROR(E4,0)&gt;=100,"Medium","Normal")))</f>
        <v>High</v>
      </c>
      <c r="N4" s="37" t="s">
        <v>90</v>
      </c>
      <c r="O4" s="37" t="s">
        <v>91</v>
      </c>
      <c r="P4" s="37" t="s">
        <v>92</v>
      </c>
      <c r="Q4" s="41" t="s">
        <v>93</v>
      </c>
      <c r="R4" s="42"/>
      <c r="S4" s="40"/>
      <c r="T4" s="37" t="s">
        <v>31</v>
      </c>
      <c r="U4" s="37" t="s">
        <v>94</v>
      </c>
      <c r="V4" s="37" t="s">
        <v>94</v>
      </c>
      <c r="W4" s="37" t="s">
        <v>95</v>
      </c>
      <c r="X4" s="39" t="str">
        <f>IF(AND(R4&lt;&gt;"",OR(U4="No reply",U4="Unknown")),R4+2,"")</f>
        <v/>
      </c>
      <c r="Y4" s="42"/>
      <c r="Z4" s="37" t="s">
        <v>96</v>
      </c>
      <c r="AA4" s="37" t="str">
        <f>IF(L4="Hold","Do not send",IF(T4="Not sent","Send WhatsApp",IF(U4="Demo booked","Prepare demo",IF(W4="Booked","Prepare demo",IF(AND(X4&lt;&gt;"",Y4=""),"Send follow-up","Review")))))</f>
        <v>Send WhatsApp</v>
      </c>
      <c r="AB4" s="40"/>
      <c r="AC4" s="40"/>
      <c r="AD4" s="28">
        <f>IF(AA4="Prepare demo",1,IF(AA4="Send follow-up",2,IF(AA4="Send WhatsApp",3,IF(AA4="Review",4,IF(AA4="Do not send",9,5)))))</f>
        <v>3</v>
      </c>
      <c r="AE4" s="28">
        <f>IF(M4="High",1,IF(M4="Medium",2,IF(M4="Normal",3,IF(M4="Hold",9,4))))</f>
        <v>1</v>
      </c>
      <c r="AF4" s="28">
        <f>IF(T4="Read",1,IF(T4="Delivered",2,IF(T4="Sent",3,IF(T4="Not sent",4,IF(T4="Failed",9,5)))))</f>
        <v>4</v>
      </c>
      <c r="AG4" s="28">
        <f>IF(U4="Demo booked",1,IF(U4="Interested",2,IF(U4="Replied",3,IF(U4="No reply",5,IF(U4="Not interested",8,IF(U4="Bad number",9,6))))))</f>
        <v>6</v>
      </c>
      <c r="AH4" s="36">
        <f>AD4*1000+AN4*100+AE4*10+AG4</f>
        <v>3116</v>
      </c>
      <c r="AI4" s="29">
        <f>MAX(IF(R4="",0,R4),IF(Y4="",0,Y4))</f>
        <v>0</v>
      </c>
      <c r="AJ4" s="28" t="str">
        <f ca="1">IF(AND(X4&lt;&gt;"",Y4="",X4&lt;TODAY()),"Overdue",IF(AND(X4&lt;&gt;"",Y4="",X4=TODAY()),"Due today",IF(Y4&lt;&gt;"","Follow-up sent","")))</f>
        <v/>
      </c>
      <c r="AK4" s="50" t="s">
        <v>97</v>
      </c>
      <c r="AL4" s="50" t="s">
        <v>98</v>
      </c>
      <c r="AM4" s="50" t="s">
        <v>99</v>
      </c>
      <c r="AN4" s="50">
        <v>1</v>
      </c>
      <c r="AO4" s="54" t="s">
        <v>108</v>
      </c>
      <c r="AP4" s="59" t="s">
        <v>101</v>
      </c>
      <c r="AQ4" s="60">
        <v>46161.624224537038</v>
      </c>
      <c r="AR4" s="59" t="s">
        <v>102</v>
      </c>
    </row>
    <row r="5" spans="1:44" ht="42" customHeight="1" x14ac:dyDescent="0.25">
      <c r="A5" s="37" t="s">
        <v>138</v>
      </c>
      <c r="B5" s="37" t="s">
        <v>139</v>
      </c>
      <c r="C5" s="40"/>
      <c r="D5" s="38" t="s">
        <v>140</v>
      </c>
      <c r="E5" s="40"/>
      <c r="F5" s="37" t="s">
        <v>88</v>
      </c>
      <c r="G5" s="39">
        <v>46118</v>
      </c>
      <c r="H5" s="75">
        <v>46136</v>
      </c>
      <c r="I5" s="105" t="s">
        <v>107</v>
      </c>
      <c r="J5" s="40"/>
      <c r="K5" s="37" t="str">
        <f>IF(LEN(D5)=10,"OK","Check")</f>
        <v>OK</v>
      </c>
      <c r="L5" s="37" t="str">
        <f>IF(ISNUMBER(SEARCH("not interested",LOWER(I5&amp;" "&amp;J5))),"Hold","Send")</f>
        <v>Send</v>
      </c>
      <c r="M5" s="37" t="str">
        <f>IF(L5="Hold","Hold",IF(IFERROR(E5,0)&gt;=200,"High",IF(IFERROR(E5,0)&gt;=100,"Medium","Normal")))</f>
        <v>Normal</v>
      </c>
      <c r="N5" s="37" t="s">
        <v>90</v>
      </c>
      <c r="O5" s="37" t="s">
        <v>91</v>
      </c>
      <c r="P5" s="37" t="s">
        <v>92</v>
      </c>
      <c r="Q5" s="41" t="s">
        <v>93</v>
      </c>
      <c r="R5" s="42"/>
      <c r="S5" s="40"/>
      <c r="T5" s="37" t="s">
        <v>31</v>
      </c>
      <c r="U5" s="37" t="s">
        <v>94</v>
      </c>
      <c r="V5" s="37" t="s">
        <v>94</v>
      </c>
      <c r="W5" s="37" t="s">
        <v>95</v>
      </c>
      <c r="X5" s="39" t="str">
        <f>IF(AND(R5&lt;&gt;"",OR(U5="No reply",U5="Unknown")),R5+2,"")</f>
        <v/>
      </c>
      <c r="Y5" s="42"/>
      <c r="Z5" s="37" t="s">
        <v>96</v>
      </c>
      <c r="AA5" s="37" t="str">
        <f>IF(L5="Hold","Do not send",IF(T5="Not sent","Send WhatsApp",IF(U5="Demo booked","Prepare demo",IF(W5="Booked","Prepare demo",IF(AND(X5&lt;&gt;"",Y5=""),"Send follow-up","Review")))))</f>
        <v>Send WhatsApp</v>
      </c>
      <c r="AB5" s="40"/>
      <c r="AC5" s="40"/>
      <c r="AD5" s="28">
        <f>IF(AA5="Prepare demo",1,IF(AA5="Send follow-up",2,IF(AA5="Send WhatsApp",3,IF(AA5="Review",4,IF(AA5="Do not send",9,5)))))</f>
        <v>3</v>
      </c>
      <c r="AE5" s="28">
        <f>IF(M5="High",1,IF(M5="Medium",2,IF(M5="Normal",3,IF(M5="Hold",9,4))))</f>
        <v>3</v>
      </c>
      <c r="AF5" s="28">
        <f>IF(T5="Read",1,IF(T5="Delivered",2,IF(T5="Sent",3,IF(T5="Not sent",4,IF(T5="Failed",9,5)))))</f>
        <v>4</v>
      </c>
      <c r="AG5" s="28">
        <f>IF(U5="Demo booked",1,IF(U5="Interested",2,IF(U5="Replied",3,IF(U5="No reply",5,IF(U5="Not interested",8,IF(U5="Bad number",9,6))))))</f>
        <v>6</v>
      </c>
      <c r="AH5" s="36">
        <f>AD5*1000+AN5*100+AE5*10+AG5</f>
        <v>3136</v>
      </c>
      <c r="AI5" s="29">
        <f>MAX(IF(R5="",0,R5),IF(Y5="",0,Y5))</f>
        <v>0</v>
      </c>
      <c r="AJ5" s="28" t="str">
        <f ca="1">IF(AND(X5&lt;&gt;"",Y5="",X5&lt;TODAY()),"Overdue",IF(AND(X5&lt;&gt;"",Y5="",X5=TODAY()),"Due today",IF(Y5&lt;&gt;"","Follow-up sent","")))</f>
        <v/>
      </c>
      <c r="AK5" s="50" t="s">
        <v>97</v>
      </c>
      <c r="AL5" s="50" t="s">
        <v>98</v>
      </c>
      <c r="AM5" s="50" t="s">
        <v>99</v>
      </c>
      <c r="AN5" s="50">
        <v>1</v>
      </c>
      <c r="AO5" s="54" t="s">
        <v>141</v>
      </c>
      <c r="AP5" s="59" t="s">
        <v>101</v>
      </c>
      <c r="AQ5" s="60">
        <v>46161.625277777777</v>
      </c>
      <c r="AR5" s="59" t="s">
        <v>102</v>
      </c>
    </row>
    <row r="6" spans="1:44" ht="42" customHeight="1" x14ac:dyDescent="0.25">
      <c r="A6" s="37" t="s">
        <v>157</v>
      </c>
      <c r="B6" s="37" t="s">
        <v>158</v>
      </c>
      <c r="C6" s="40"/>
      <c r="D6" s="38" t="s">
        <v>159</v>
      </c>
      <c r="E6" s="40"/>
      <c r="F6" s="37" t="s">
        <v>88</v>
      </c>
      <c r="G6" s="39">
        <v>46140</v>
      </c>
      <c r="H6" s="75">
        <v>46139</v>
      </c>
      <c r="I6" s="105" t="s">
        <v>107</v>
      </c>
      <c r="J6" s="40"/>
      <c r="K6" s="37" t="str">
        <f>IF(LEN(D6)=10,"OK","Check")</f>
        <v>OK</v>
      </c>
      <c r="L6" s="37" t="str">
        <f>IF(ISNUMBER(SEARCH("not interested",LOWER(I6&amp;" "&amp;J6))),"Hold","Send")</f>
        <v>Send</v>
      </c>
      <c r="M6" s="37" t="str">
        <f>IF(L6="Hold","Hold",IF(IFERROR(E6,0)&gt;=200,"High",IF(IFERROR(E6,0)&gt;=100,"Medium","Normal")))</f>
        <v>Normal</v>
      </c>
      <c r="N6" s="37" t="s">
        <v>90</v>
      </c>
      <c r="O6" s="37" t="s">
        <v>91</v>
      </c>
      <c r="P6" s="37" t="s">
        <v>92</v>
      </c>
      <c r="Q6" s="41" t="s">
        <v>93</v>
      </c>
      <c r="R6" s="42"/>
      <c r="S6" s="40"/>
      <c r="T6" s="37" t="s">
        <v>31</v>
      </c>
      <c r="U6" s="37" t="s">
        <v>94</v>
      </c>
      <c r="V6" s="37" t="s">
        <v>94</v>
      </c>
      <c r="W6" s="37" t="s">
        <v>95</v>
      </c>
      <c r="X6" s="39" t="str">
        <f>IF(AND(R6&lt;&gt;"",OR(U6="No reply",U6="Unknown")),R6+2,"")</f>
        <v/>
      </c>
      <c r="Y6" s="42"/>
      <c r="Z6" s="37" t="s">
        <v>96</v>
      </c>
      <c r="AA6" s="37" t="str">
        <f>IF(L6="Hold","Do not send",IF(T6="Not sent","Send WhatsApp",IF(U6="Demo booked","Prepare demo",IF(W6="Booked","Prepare demo",IF(AND(X6&lt;&gt;"",Y6=""),"Send follow-up","Review")))))</f>
        <v>Send WhatsApp</v>
      </c>
      <c r="AB6" s="40"/>
      <c r="AC6" s="40"/>
      <c r="AD6" s="28">
        <f>IF(AA6="Prepare demo",1,IF(AA6="Send follow-up",2,IF(AA6="Send WhatsApp",3,IF(AA6="Review",4,IF(AA6="Do not send",9,5)))))</f>
        <v>3</v>
      </c>
      <c r="AE6" s="28">
        <f>IF(M6="High",1,IF(M6="Medium",2,IF(M6="Normal",3,IF(M6="Hold",9,4))))</f>
        <v>3</v>
      </c>
      <c r="AF6" s="28">
        <f>IF(T6="Read",1,IF(T6="Delivered",2,IF(T6="Sent",3,IF(T6="Not sent",4,IF(T6="Failed",9,5)))))</f>
        <v>4</v>
      </c>
      <c r="AG6" s="28">
        <f>IF(U6="Demo booked",1,IF(U6="Interested",2,IF(U6="Replied",3,IF(U6="No reply",5,IF(U6="Not interested",8,IF(U6="Bad number",9,6))))))</f>
        <v>6</v>
      </c>
      <c r="AH6" s="36">
        <f>AD6*1000+AN6*100+AE6*10+AG6</f>
        <v>3136</v>
      </c>
      <c r="AI6" s="29">
        <f>MAX(IF(R6="",0,R6),IF(Y6="",0,Y6))</f>
        <v>0</v>
      </c>
      <c r="AJ6" s="28" t="str">
        <f ca="1">IF(AND(X6&lt;&gt;"",Y6="",X6&lt;TODAY()),"Overdue",IF(AND(X6&lt;&gt;"",Y6="",X6=TODAY()),"Due today",IF(Y6&lt;&gt;"","Follow-up sent","")))</f>
        <v/>
      </c>
      <c r="AK6" s="50" t="s">
        <v>97</v>
      </c>
      <c r="AL6" s="50" t="s">
        <v>98</v>
      </c>
      <c r="AM6" s="50" t="s">
        <v>99</v>
      </c>
      <c r="AN6" s="50">
        <v>1</v>
      </c>
      <c r="AO6" s="54" t="s">
        <v>160</v>
      </c>
      <c r="AP6" s="102" t="s">
        <v>101</v>
      </c>
      <c r="AQ6" s="104">
        <v>46161.63008101852</v>
      </c>
      <c r="AR6" s="102" t="s">
        <v>102</v>
      </c>
    </row>
    <row r="7" spans="1:44" ht="42" customHeight="1" x14ac:dyDescent="0.25">
      <c r="A7" s="30" t="s">
        <v>161</v>
      </c>
      <c r="B7" s="30" t="s">
        <v>162</v>
      </c>
      <c r="C7" s="30" t="s">
        <v>162</v>
      </c>
      <c r="D7" s="31" t="s">
        <v>163</v>
      </c>
      <c r="E7" s="33"/>
      <c r="F7" s="30" t="s">
        <v>88</v>
      </c>
      <c r="G7" s="32">
        <v>46146</v>
      </c>
      <c r="H7" s="76">
        <v>46136</v>
      </c>
      <c r="I7" s="105" t="s">
        <v>107</v>
      </c>
      <c r="J7" s="33"/>
      <c r="K7" s="30" t="str">
        <f>IF(LEN(D7)=10,"OK","Check")</f>
        <v>OK</v>
      </c>
      <c r="L7" s="30" t="str">
        <f>IF(ISNUMBER(SEARCH("not interested",LOWER(I7&amp;" "&amp;J7))),"Hold","Send")</f>
        <v>Send</v>
      </c>
      <c r="M7" s="30" t="str">
        <f>IF(L7="Hold","Hold",IF(IFERROR(E7,0)&gt;=200,"High",IF(IFERROR(E7,0)&gt;=100,"Medium","Normal")))</f>
        <v>Normal</v>
      </c>
      <c r="N7" s="30" t="s">
        <v>90</v>
      </c>
      <c r="O7" s="30" t="s">
        <v>91</v>
      </c>
      <c r="P7" s="30" t="s">
        <v>92</v>
      </c>
      <c r="Q7" s="34" t="s">
        <v>93</v>
      </c>
      <c r="R7" s="35"/>
      <c r="S7" s="33"/>
      <c r="T7" s="30" t="s">
        <v>31</v>
      </c>
      <c r="U7" s="30" t="s">
        <v>94</v>
      </c>
      <c r="V7" s="30" t="s">
        <v>94</v>
      </c>
      <c r="W7" s="30" t="s">
        <v>95</v>
      </c>
      <c r="X7" s="32" t="str">
        <f>IF(AND(R7&lt;&gt;"",OR(U7="No reply",U7="Unknown")),R7+2,"")</f>
        <v/>
      </c>
      <c r="Y7" s="35"/>
      <c r="Z7" s="30" t="s">
        <v>96</v>
      </c>
      <c r="AA7" s="30" t="str">
        <f>IF(L7="Hold","Do not send",IF(T7="Not sent","Send WhatsApp",IF(U7="Demo booked","Prepare demo",IF(W7="Booked","Prepare demo",IF(AND(X7&lt;&gt;"",Y7=""),"Send follow-up","Review")))))</f>
        <v>Send WhatsApp</v>
      </c>
      <c r="AB7" s="33"/>
      <c r="AC7" s="33"/>
      <c r="AD7" s="28">
        <f>IF(AA7="Prepare demo",1,IF(AA7="Send follow-up",2,IF(AA7="Send WhatsApp",3,IF(AA7="Review",4,IF(AA7="Do not send",9,5)))))</f>
        <v>3</v>
      </c>
      <c r="AE7" s="28">
        <f>IF(M7="High",1,IF(M7="Medium",2,IF(M7="Normal",3,IF(M7="Hold",9,4))))</f>
        <v>3</v>
      </c>
      <c r="AF7" s="28">
        <f>IF(T7="Read",1,IF(T7="Delivered",2,IF(T7="Sent",3,IF(T7="Not sent",4,IF(T7="Failed",9,5)))))</f>
        <v>4</v>
      </c>
      <c r="AG7" s="28">
        <f>IF(U7="Demo booked",1,IF(U7="Interested",2,IF(U7="Replied",3,IF(U7="No reply",5,IF(U7="Not interested",8,IF(U7="Bad number",9,6))))))</f>
        <v>6</v>
      </c>
      <c r="AH7" s="36">
        <f>AD7*1000+AN7*100+AE7*10+AG7</f>
        <v>3136</v>
      </c>
      <c r="AI7" s="29">
        <f>MAX(IF(R7="",0,R7),IF(Y7="",0,Y7))</f>
        <v>0</v>
      </c>
      <c r="AJ7" s="28" t="str">
        <f ca="1">IF(AND(X7&lt;&gt;"",Y7="",X7&lt;TODAY()),"Overdue",IF(AND(X7&lt;&gt;"",Y7="",X7=TODAY()),"Due today",IF(Y7&lt;&gt;"","Follow-up sent","")))</f>
        <v/>
      </c>
      <c r="AK7" s="50" t="s">
        <v>97</v>
      </c>
      <c r="AL7" s="50" t="s">
        <v>98</v>
      </c>
      <c r="AM7" s="50" t="s">
        <v>99</v>
      </c>
      <c r="AN7" s="50">
        <v>1</v>
      </c>
      <c r="AO7" s="54" t="s">
        <v>164</v>
      </c>
      <c r="AP7" s="102" t="s">
        <v>101</v>
      </c>
      <c r="AQ7" s="104">
        <v>46161.626550925917</v>
      </c>
      <c r="AR7" s="102" t="s">
        <v>102</v>
      </c>
    </row>
    <row r="8" spans="1:44" ht="42" customHeight="1" x14ac:dyDescent="0.25">
      <c r="A8" s="37" t="s">
        <v>170</v>
      </c>
      <c r="B8" s="37" t="s">
        <v>171</v>
      </c>
      <c r="C8" s="40"/>
      <c r="D8" s="38" t="s">
        <v>172</v>
      </c>
      <c r="E8" s="40"/>
      <c r="F8" s="37" t="s">
        <v>88</v>
      </c>
      <c r="G8" s="39">
        <v>46146</v>
      </c>
      <c r="H8" s="75">
        <v>46136</v>
      </c>
      <c r="I8" s="105" t="s">
        <v>173</v>
      </c>
      <c r="J8" s="40"/>
      <c r="K8" s="37" t="str">
        <f>IF(LEN(D8)=10,"OK","Check")</f>
        <v>OK</v>
      </c>
      <c r="L8" s="37" t="str">
        <f>IF(ISNUMBER(SEARCH("not interested",LOWER(I8&amp;" "&amp;J8))),"Hold","Send")</f>
        <v>Send</v>
      </c>
      <c r="M8" s="37" t="str">
        <f>IF(L8="Hold","Hold",IF(IFERROR(E8,0)&gt;=200,"High",IF(IFERROR(E8,0)&gt;=100,"Medium","Normal")))</f>
        <v>Normal</v>
      </c>
      <c r="N8" s="37" t="s">
        <v>90</v>
      </c>
      <c r="O8" s="37" t="s">
        <v>91</v>
      </c>
      <c r="P8" s="37" t="s">
        <v>92</v>
      </c>
      <c r="Q8" s="41" t="s">
        <v>93</v>
      </c>
      <c r="R8" s="42"/>
      <c r="S8" s="40"/>
      <c r="T8" s="37" t="s">
        <v>31</v>
      </c>
      <c r="U8" s="37" t="s">
        <v>94</v>
      </c>
      <c r="V8" s="37" t="s">
        <v>94</v>
      </c>
      <c r="W8" s="37" t="s">
        <v>95</v>
      </c>
      <c r="X8" s="39" t="str">
        <f>IF(AND(R8&lt;&gt;"",OR(U8="No reply",U8="Unknown")),R8+2,"")</f>
        <v/>
      </c>
      <c r="Y8" s="42"/>
      <c r="Z8" s="37" t="s">
        <v>96</v>
      </c>
      <c r="AA8" s="37" t="str">
        <f>IF(L8="Hold","Do not send",IF(T8="Not sent","Send WhatsApp",IF(U8="Demo booked","Prepare demo",IF(W8="Booked","Prepare demo",IF(AND(X8&lt;&gt;"",Y8=""),"Send follow-up","Review")))))</f>
        <v>Send WhatsApp</v>
      </c>
      <c r="AB8" s="40"/>
      <c r="AC8" s="40"/>
      <c r="AD8" s="28">
        <f>IF(AA8="Prepare demo",1,IF(AA8="Send follow-up",2,IF(AA8="Send WhatsApp",3,IF(AA8="Review",4,IF(AA8="Do not send",9,5)))))</f>
        <v>3</v>
      </c>
      <c r="AE8" s="28">
        <f>IF(M8="High",1,IF(M8="Medium",2,IF(M8="Normal",3,IF(M8="Hold",9,4))))</f>
        <v>3</v>
      </c>
      <c r="AF8" s="28">
        <f>IF(T8="Read",1,IF(T8="Delivered",2,IF(T8="Sent",3,IF(T8="Not sent",4,IF(T8="Failed",9,5)))))</f>
        <v>4</v>
      </c>
      <c r="AG8" s="28">
        <f>IF(U8="Demo booked",1,IF(U8="Interested",2,IF(U8="Replied",3,IF(U8="No reply",5,IF(U8="Not interested",8,IF(U8="Bad number",9,6))))))</f>
        <v>6</v>
      </c>
      <c r="AH8" s="36">
        <f>AD8*1000+AN8*100+AE8*10+AG8</f>
        <v>3136</v>
      </c>
      <c r="AI8" s="29">
        <f>MAX(IF(R8="",0,R8),IF(Y8="",0,Y8))</f>
        <v>0</v>
      </c>
      <c r="AJ8" s="28" t="str">
        <f ca="1">IF(AND(X8&lt;&gt;"",Y8="",X8&lt;TODAY()),"Overdue",IF(AND(X8&lt;&gt;"",Y8="",X8=TODAY()),"Due today",IF(Y8&lt;&gt;"","Follow-up sent","")))</f>
        <v/>
      </c>
      <c r="AK8" s="50" t="s">
        <v>97</v>
      </c>
      <c r="AL8" s="50" t="s">
        <v>98</v>
      </c>
      <c r="AM8" s="50" t="s">
        <v>99</v>
      </c>
      <c r="AN8" s="50">
        <v>1</v>
      </c>
      <c r="AO8" s="54" t="s">
        <v>174</v>
      </c>
      <c r="AP8" s="59" t="s">
        <v>101</v>
      </c>
      <c r="AQ8" s="60">
        <v>46161.628101851849</v>
      </c>
      <c r="AR8" s="59" t="s">
        <v>102</v>
      </c>
    </row>
    <row r="9" spans="1:44" ht="42" customHeight="1" x14ac:dyDescent="0.25">
      <c r="A9" s="30" t="s">
        <v>183</v>
      </c>
      <c r="B9" s="30" t="s">
        <v>184</v>
      </c>
      <c r="C9" s="33"/>
      <c r="D9" s="31" t="s">
        <v>185</v>
      </c>
      <c r="E9" s="33"/>
      <c r="F9" s="30" t="s">
        <v>88</v>
      </c>
      <c r="G9" s="32">
        <v>46146</v>
      </c>
      <c r="H9" s="76">
        <v>46136</v>
      </c>
      <c r="I9" s="105" t="s">
        <v>107</v>
      </c>
      <c r="J9" s="33"/>
      <c r="K9" s="30" t="str">
        <f>IF(LEN(D9)=10,"OK","Check")</f>
        <v>OK</v>
      </c>
      <c r="L9" s="30" t="str">
        <f>IF(ISNUMBER(SEARCH("not interested",LOWER(I9&amp;" "&amp;J9))),"Hold","Send")</f>
        <v>Send</v>
      </c>
      <c r="M9" s="30" t="str">
        <f>IF(L9="Hold","Hold",IF(IFERROR(E9,0)&gt;=200,"High",IF(IFERROR(E9,0)&gt;=100,"Medium","Normal")))</f>
        <v>Normal</v>
      </c>
      <c r="N9" s="30" t="s">
        <v>90</v>
      </c>
      <c r="O9" s="30" t="s">
        <v>91</v>
      </c>
      <c r="P9" s="30" t="s">
        <v>92</v>
      </c>
      <c r="Q9" s="34" t="s">
        <v>93</v>
      </c>
      <c r="R9" s="35"/>
      <c r="S9" s="33"/>
      <c r="T9" s="30" t="s">
        <v>31</v>
      </c>
      <c r="U9" s="30" t="s">
        <v>94</v>
      </c>
      <c r="V9" s="30" t="s">
        <v>94</v>
      </c>
      <c r="W9" s="30" t="s">
        <v>95</v>
      </c>
      <c r="X9" s="32" t="str">
        <f>IF(AND(R9&lt;&gt;"",OR(U9="No reply",U9="Unknown")),R9+2,"")</f>
        <v/>
      </c>
      <c r="Y9" s="35"/>
      <c r="Z9" s="30" t="s">
        <v>96</v>
      </c>
      <c r="AA9" s="30" t="str">
        <f>IF(L9="Hold","Do not send",IF(T9="Not sent","Send WhatsApp",IF(U9="Demo booked","Prepare demo",IF(W9="Booked","Prepare demo",IF(AND(X9&lt;&gt;"",Y9=""),"Send follow-up","Review")))))</f>
        <v>Send WhatsApp</v>
      </c>
      <c r="AB9" s="33"/>
      <c r="AC9" s="33"/>
      <c r="AD9" s="28">
        <f>IF(AA9="Prepare demo",1,IF(AA9="Send follow-up",2,IF(AA9="Send WhatsApp",3,IF(AA9="Review",4,IF(AA9="Do not send",9,5)))))</f>
        <v>3</v>
      </c>
      <c r="AE9" s="28">
        <f>IF(M9="High",1,IF(M9="Medium",2,IF(M9="Normal",3,IF(M9="Hold",9,4))))</f>
        <v>3</v>
      </c>
      <c r="AF9" s="28">
        <f>IF(T9="Read",1,IF(T9="Delivered",2,IF(T9="Sent",3,IF(T9="Not sent",4,IF(T9="Failed",9,5)))))</f>
        <v>4</v>
      </c>
      <c r="AG9" s="28">
        <f>IF(U9="Demo booked",1,IF(U9="Interested",2,IF(U9="Replied",3,IF(U9="No reply",5,IF(U9="Not interested",8,IF(U9="Bad number",9,6))))))</f>
        <v>6</v>
      </c>
      <c r="AH9" s="36">
        <f>AD9*1000+AN9*100+AE9*10+AG9</f>
        <v>3136</v>
      </c>
      <c r="AI9" s="29">
        <f>MAX(IF(R9="",0,R9),IF(Y9="",0,Y9))</f>
        <v>0</v>
      </c>
      <c r="AJ9" s="28" t="str">
        <f ca="1">IF(AND(X9&lt;&gt;"",Y9="",X9&lt;TODAY()),"Overdue",IF(AND(X9&lt;&gt;"",Y9="",X9=TODAY()),"Due today",IF(Y9&lt;&gt;"","Follow-up sent","")))</f>
        <v/>
      </c>
      <c r="AK9" s="50" t="s">
        <v>97</v>
      </c>
      <c r="AL9" s="50" t="s">
        <v>98</v>
      </c>
      <c r="AM9" s="50" t="s">
        <v>99</v>
      </c>
      <c r="AN9" s="50">
        <v>1</v>
      </c>
      <c r="AO9" s="54" t="s">
        <v>186</v>
      </c>
      <c r="AP9" s="59" t="s">
        <v>101</v>
      </c>
      <c r="AQ9" s="60">
        <v>46161.627870370372</v>
      </c>
      <c r="AR9" s="59" t="s">
        <v>102</v>
      </c>
    </row>
    <row r="10" spans="1:44" ht="42" customHeight="1" x14ac:dyDescent="0.25">
      <c r="A10" s="37" t="s">
        <v>187</v>
      </c>
      <c r="B10" s="37" t="s">
        <v>188</v>
      </c>
      <c r="C10" s="40"/>
      <c r="D10" s="38" t="s">
        <v>172</v>
      </c>
      <c r="E10" s="40"/>
      <c r="F10" s="37" t="s">
        <v>88</v>
      </c>
      <c r="G10" s="39">
        <v>46146</v>
      </c>
      <c r="H10" s="39">
        <v>46136</v>
      </c>
      <c r="I10" s="105" t="s">
        <v>173</v>
      </c>
      <c r="J10" s="40"/>
      <c r="K10" s="37" t="str">
        <f>IF(LEN(D10)=10,"OK","Check")</f>
        <v>OK</v>
      </c>
      <c r="L10" s="37" t="str">
        <f>IF(ISNUMBER(SEARCH("not interested",LOWER(I10&amp;" "&amp;J10))),"Hold","Send")</f>
        <v>Send</v>
      </c>
      <c r="M10" s="37" t="str">
        <f>IF(L10="Hold","Hold",IF(IFERROR(E10,0)&gt;=200,"High",IF(IFERROR(E10,0)&gt;=100,"Medium","Normal")))</f>
        <v>Normal</v>
      </c>
      <c r="N10" s="37" t="s">
        <v>90</v>
      </c>
      <c r="O10" s="37" t="s">
        <v>91</v>
      </c>
      <c r="P10" s="37" t="s">
        <v>92</v>
      </c>
      <c r="Q10" s="41" t="s">
        <v>93</v>
      </c>
      <c r="R10" s="42"/>
      <c r="S10" s="40"/>
      <c r="T10" s="37" t="s">
        <v>31</v>
      </c>
      <c r="U10" s="37" t="s">
        <v>94</v>
      </c>
      <c r="V10" s="37" t="s">
        <v>94</v>
      </c>
      <c r="W10" s="37" t="s">
        <v>95</v>
      </c>
      <c r="X10" s="39" t="str">
        <f>IF(AND(R10&lt;&gt;"",OR(U10="No reply",U10="Unknown")),R10+2,"")</f>
        <v/>
      </c>
      <c r="Y10" s="42"/>
      <c r="Z10" s="37" t="s">
        <v>96</v>
      </c>
      <c r="AA10" s="37" t="str">
        <f>IF(L10="Hold","Do not send",IF(T10="Not sent","Send WhatsApp",IF(U10="Demo booked","Prepare demo",IF(W10="Booked","Prepare demo",IF(AND(X10&lt;&gt;"",Y10=""),"Send follow-up","Review")))))</f>
        <v>Send WhatsApp</v>
      </c>
      <c r="AB10" s="40"/>
      <c r="AC10" s="40"/>
      <c r="AD10" s="28">
        <f>IF(AA10="Prepare demo",1,IF(AA10="Send follow-up",2,IF(AA10="Send WhatsApp",3,IF(AA10="Review",4,IF(AA10="Do not send",9,5)))))</f>
        <v>3</v>
      </c>
      <c r="AE10" s="28">
        <f>IF(M10="High",1,IF(M10="Medium",2,IF(M10="Normal",3,IF(M10="Hold",9,4))))</f>
        <v>3</v>
      </c>
      <c r="AF10" s="28">
        <f>IF(T10="Read",1,IF(T10="Delivered",2,IF(T10="Sent",3,IF(T10="Not sent",4,IF(T10="Failed",9,5)))))</f>
        <v>4</v>
      </c>
      <c r="AG10" s="28">
        <f>IF(U10="Demo booked",1,IF(U10="Interested",2,IF(U10="Replied",3,IF(U10="No reply",5,IF(U10="Not interested",8,IF(U10="Bad number",9,6))))))</f>
        <v>6</v>
      </c>
      <c r="AH10" s="36">
        <f>AD10*1000+AN10*100+AE10*10+AG10</f>
        <v>3136</v>
      </c>
      <c r="AI10" s="29">
        <f>MAX(IF(R10="",0,R10),IF(Y10="",0,Y10))</f>
        <v>0</v>
      </c>
      <c r="AJ10" s="28" t="str">
        <f ca="1">IF(AND(X10&lt;&gt;"",Y10="",X10&lt;TODAY()),"Overdue",IF(AND(X10&lt;&gt;"",Y10="",X10=TODAY()),"Due today",IF(Y10&lt;&gt;"","Follow-up sent","")))</f>
        <v/>
      </c>
      <c r="AK10" s="50" t="s">
        <v>97</v>
      </c>
      <c r="AL10" s="50" t="s">
        <v>98</v>
      </c>
      <c r="AM10" s="50" t="s">
        <v>99</v>
      </c>
      <c r="AN10" s="50">
        <v>1</v>
      </c>
      <c r="AO10" s="54" t="s">
        <v>174</v>
      </c>
      <c r="AP10" s="101" t="s">
        <v>127</v>
      </c>
      <c r="AQ10" s="103"/>
      <c r="AR10" s="101"/>
    </row>
    <row r="11" spans="1:44" ht="42" customHeight="1" x14ac:dyDescent="0.25">
      <c r="A11" s="37" t="s">
        <v>208</v>
      </c>
      <c r="B11" s="37" t="s">
        <v>209</v>
      </c>
      <c r="C11" s="40"/>
      <c r="D11" s="38" t="s">
        <v>210</v>
      </c>
      <c r="E11" s="40"/>
      <c r="F11" s="37" t="s">
        <v>88</v>
      </c>
      <c r="G11" s="39">
        <v>46148</v>
      </c>
      <c r="H11" s="39">
        <v>46139</v>
      </c>
      <c r="I11" s="105" t="s">
        <v>107</v>
      </c>
      <c r="J11" s="40"/>
      <c r="K11" s="37" t="str">
        <f>IF(LEN(D11)=10,"OK","Check")</f>
        <v>OK</v>
      </c>
      <c r="L11" s="37" t="str">
        <f>IF(ISNUMBER(SEARCH("not interested",LOWER(I11&amp;" "&amp;J11))),"Hold","Send")</f>
        <v>Send</v>
      </c>
      <c r="M11" s="37" t="str">
        <f>IF(L11="Hold","Hold",IF(IFERROR(E11,0)&gt;=200,"High",IF(IFERROR(E11,0)&gt;=100,"Medium","Normal")))</f>
        <v>Normal</v>
      </c>
      <c r="N11" s="37" t="s">
        <v>90</v>
      </c>
      <c r="O11" s="37" t="s">
        <v>91</v>
      </c>
      <c r="P11" s="37" t="s">
        <v>92</v>
      </c>
      <c r="Q11" s="41" t="s">
        <v>93</v>
      </c>
      <c r="R11" s="42"/>
      <c r="S11" s="40"/>
      <c r="T11" s="37" t="s">
        <v>31</v>
      </c>
      <c r="U11" s="37" t="s">
        <v>94</v>
      </c>
      <c r="V11" s="37" t="s">
        <v>94</v>
      </c>
      <c r="W11" s="37" t="s">
        <v>95</v>
      </c>
      <c r="X11" s="39" t="str">
        <f>IF(AND(R11&lt;&gt;"",OR(U11="No reply",U11="Unknown")),R11+2,"")</f>
        <v/>
      </c>
      <c r="Y11" s="42"/>
      <c r="Z11" s="37" t="s">
        <v>96</v>
      </c>
      <c r="AA11" s="37" t="str">
        <f>IF(L11="Hold","Do not send",IF(T11="Not sent","Send WhatsApp",IF(U11="Demo booked","Prepare demo",IF(W11="Booked","Prepare demo",IF(AND(X11&lt;&gt;"",Y11=""),"Send follow-up","Review")))))</f>
        <v>Send WhatsApp</v>
      </c>
      <c r="AB11" s="40"/>
      <c r="AC11" s="40"/>
      <c r="AD11" s="28">
        <f>IF(AA11="Prepare demo",1,IF(AA11="Send follow-up",2,IF(AA11="Send WhatsApp",3,IF(AA11="Review",4,IF(AA11="Do not send",9,5)))))</f>
        <v>3</v>
      </c>
      <c r="AE11" s="28">
        <f>IF(M11="High",1,IF(M11="Medium",2,IF(M11="Normal",3,IF(M11="Hold",9,4))))</f>
        <v>3</v>
      </c>
      <c r="AF11" s="28">
        <f>IF(T11="Read",1,IF(T11="Delivered",2,IF(T11="Sent",3,IF(T11="Not sent",4,IF(T11="Failed",9,5)))))</f>
        <v>4</v>
      </c>
      <c r="AG11" s="28">
        <f>IF(U11="Demo booked",1,IF(U11="Interested",2,IF(U11="Replied",3,IF(U11="No reply",5,IF(U11="Not interested",8,IF(U11="Bad number",9,6))))))</f>
        <v>6</v>
      </c>
      <c r="AH11" s="36">
        <f>AD11*1000+AN11*100+AE11*10+AG11</f>
        <v>3136</v>
      </c>
      <c r="AI11" s="29">
        <f>MAX(IF(R11="",0,R11),IF(Y11="",0,Y11))</f>
        <v>0</v>
      </c>
      <c r="AJ11" s="28" t="str">
        <f ca="1">IF(AND(X11&lt;&gt;"",Y11="",X11&lt;TODAY()),"Overdue",IF(AND(X11&lt;&gt;"",Y11="",X11=TODAY()),"Due today",IF(Y11&lt;&gt;"","Follow-up sent","")))</f>
        <v/>
      </c>
      <c r="AK11" s="50" t="s">
        <v>97</v>
      </c>
      <c r="AL11" s="50" t="s">
        <v>98</v>
      </c>
      <c r="AM11" s="50" t="s">
        <v>99</v>
      </c>
      <c r="AN11" s="50">
        <v>1</v>
      </c>
      <c r="AO11" s="54" t="s">
        <v>211</v>
      </c>
      <c r="AP11" s="59" t="s">
        <v>101</v>
      </c>
      <c r="AQ11" s="60">
        <v>46161.629340277781</v>
      </c>
      <c r="AR11" s="59" t="s">
        <v>102</v>
      </c>
    </row>
    <row r="12" spans="1:44" ht="42" customHeight="1" x14ac:dyDescent="0.25">
      <c r="A12" s="30" t="s">
        <v>212</v>
      </c>
      <c r="B12" s="30" t="s">
        <v>213</v>
      </c>
      <c r="C12" s="33"/>
      <c r="D12" s="31" t="s">
        <v>214</v>
      </c>
      <c r="E12" s="33"/>
      <c r="F12" s="30" t="s">
        <v>88</v>
      </c>
      <c r="G12" s="32">
        <v>46148</v>
      </c>
      <c r="H12" s="32">
        <v>46139</v>
      </c>
      <c r="I12" s="105" t="s">
        <v>107</v>
      </c>
      <c r="J12" s="33"/>
      <c r="K12" s="30" t="str">
        <f>IF(LEN(D12)=10,"OK","Check")</f>
        <v>OK</v>
      </c>
      <c r="L12" s="30" t="str">
        <f>IF(ISNUMBER(SEARCH("not interested",LOWER(I12&amp;" "&amp;J12))),"Hold","Send")</f>
        <v>Send</v>
      </c>
      <c r="M12" s="30" t="str">
        <f>IF(L12="Hold","Hold",IF(IFERROR(E12,0)&gt;=200,"High",IF(IFERROR(E12,0)&gt;=100,"Medium","Normal")))</f>
        <v>Normal</v>
      </c>
      <c r="N12" s="30" t="s">
        <v>90</v>
      </c>
      <c r="O12" s="30" t="s">
        <v>91</v>
      </c>
      <c r="P12" s="30" t="s">
        <v>92</v>
      </c>
      <c r="Q12" s="34" t="s">
        <v>93</v>
      </c>
      <c r="R12" s="35"/>
      <c r="S12" s="33"/>
      <c r="T12" s="30" t="s">
        <v>31</v>
      </c>
      <c r="U12" s="30" t="s">
        <v>94</v>
      </c>
      <c r="V12" s="30" t="s">
        <v>94</v>
      </c>
      <c r="W12" s="30" t="s">
        <v>95</v>
      </c>
      <c r="X12" s="32" t="str">
        <f>IF(AND(R12&lt;&gt;"",OR(U12="No reply",U12="Unknown")),R12+2,"")</f>
        <v/>
      </c>
      <c r="Y12" s="35"/>
      <c r="Z12" s="30" t="s">
        <v>96</v>
      </c>
      <c r="AA12" s="30" t="str">
        <f>IF(L12="Hold","Do not send",IF(T12="Not sent","Send WhatsApp",IF(U12="Demo booked","Prepare demo",IF(W12="Booked","Prepare demo",IF(AND(X12&lt;&gt;"",Y12=""),"Send follow-up","Review")))))</f>
        <v>Send WhatsApp</v>
      </c>
      <c r="AB12" s="33"/>
      <c r="AC12" s="33"/>
      <c r="AD12" s="28">
        <f>IF(AA12="Prepare demo",1,IF(AA12="Send follow-up",2,IF(AA12="Send WhatsApp",3,IF(AA12="Review",4,IF(AA12="Do not send",9,5)))))</f>
        <v>3</v>
      </c>
      <c r="AE12" s="28">
        <f>IF(M12="High",1,IF(M12="Medium",2,IF(M12="Normal",3,IF(M12="Hold",9,4))))</f>
        <v>3</v>
      </c>
      <c r="AF12" s="28">
        <f>IF(T12="Read",1,IF(T12="Delivered",2,IF(T12="Sent",3,IF(T12="Not sent",4,IF(T12="Failed",9,5)))))</f>
        <v>4</v>
      </c>
      <c r="AG12" s="28">
        <f>IF(U12="Demo booked",1,IF(U12="Interested",2,IF(U12="Replied",3,IF(U12="No reply",5,IF(U12="Not interested",8,IF(U12="Bad number",9,6))))))</f>
        <v>6</v>
      </c>
      <c r="AH12" s="36">
        <f>AD12*1000+AN12*100+AE12*10+AG12</f>
        <v>3136</v>
      </c>
      <c r="AI12" s="29">
        <f>MAX(IF(R12="",0,R12),IF(Y12="",0,Y12))</f>
        <v>0</v>
      </c>
      <c r="AJ12" s="28" t="str">
        <f ca="1">IF(AND(X12&lt;&gt;"",Y12="",X12&lt;TODAY()),"Overdue",IF(AND(X12&lt;&gt;"",Y12="",X12=TODAY()),"Due today",IF(Y12&lt;&gt;"","Follow-up sent","")))</f>
        <v/>
      </c>
      <c r="AK12" s="50" t="s">
        <v>97</v>
      </c>
      <c r="AL12" s="50" t="s">
        <v>98</v>
      </c>
      <c r="AM12" s="50" t="s">
        <v>99</v>
      </c>
      <c r="AN12" s="50">
        <v>1</v>
      </c>
      <c r="AO12" s="54" t="s">
        <v>215</v>
      </c>
      <c r="AP12" s="59" t="s">
        <v>101</v>
      </c>
      <c r="AQ12" s="60">
        <v>46161.629560185182</v>
      </c>
      <c r="AR12" s="59" t="s">
        <v>102</v>
      </c>
    </row>
    <row r="13" spans="1:44" ht="42" customHeight="1" x14ac:dyDescent="0.25">
      <c r="A13" s="30" t="s">
        <v>220</v>
      </c>
      <c r="B13" s="30" t="s">
        <v>221</v>
      </c>
      <c r="C13" s="33"/>
      <c r="D13" s="31" t="s">
        <v>159</v>
      </c>
      <c r="E13" s="33"/>
      <c r="F13" s="30" t="s">
        <v>88</v>
      </c>
      <c r="G13" s="32">
        <v>46149</v>
      </c>
      <c r="H13" s="32">
        <v>46143</v>
      </c>
      <c r="I13" s="105" t="s">
        <v>107</v>
      </c>
      <c r="J13" s="33"/>
      <c r="K13" s="30" t="str">
        <f>IF(LEN(D13)=10,"OK","Check")</f>
        <v>OK</v>
      </c>
      <c r="L13" s="30" t="str">
        <f>IF(ISNUMBER(SEARCH("not interested",LOWER(I13&amp;" "&amp;J13))),"Hold","Send")</f>
        <v>Send</v>
      </c>
      <c r="M13" s="30" t="str">
        <f>IF(L13="Hold","Hold",IF(IFERROR(E13,0)&gt;=200,"High",IF(IFERROR(E13,0)&gt;=100,"Medium","Normal")))</f>
        <v>Normal</v>
      </c>
      <c r="N13" s="30" t="s">
        <v>90</v>
      </c>
      <c r="O13" s="30" t="s">
        <v>91</v>
      </c>
      <c r="P13" s="30" t="s">
        <v>92</v>
      </c>
      <c r="Q13" s="34" t="s">
        <v>93</v>
      </c>
      <c r="R13" s="35"/>
      <c r="S13" s="33"/>
      <c r="T13" s="30" t="s">
        <v>31</v>
      </c>
      <c r="U13" s="30" t="s">
        <v>94</v>
      </c>
      <c r="V13" s="30" t="s">
        <v>94</v>
      </c>
      <c r="W13" s="30" t="s">
        <v>95</v>
      </c>
      <c r="X13" s="32" t="str">
        <f>IF(AND(R13&lt;&gt;"",OR(U13="No reply",U13="Unknown")),R13+2,"")</f>
        <v/>
      </c>
      <c r="Y13" s="35"/>
      <c r="Z13" s="30" t="s">
        <v>96</v>
      </c>
      <c r="AA13" s="30" t="str">
        <f>IF(L13="Hold","Do not send",IF(T13="Not sent","Send WhatsApp",IF(U13="Demo booked","Prepare demo",IF(W13="Booked","Prepare demo",IF(AND(X13&lt;&gt;"",Y13=""),"Send follow-up","Review")))))</f>
        <v>Send WhatsApp</v>
      </c>
      <c r="AB13" s="33"/>
      <c r="AC13" s="33"/>
      <c r="AD13" s="28">
        <f>IF(AA13="Prepare demo",1,IF(AA13="Send follow-up",2,IF(AA13="Send WhatsApp",3,IF(AA13="Review",4,IF(AA13="Do not send",9,5)))))</f>
        <v>3</v>
      </c>
      <c r="AE13" s="28">
        <f>IF(M13="High",1,IF(M13="Medium",2,IF(M13="Normal",3,IF(M13="Hold",9,4))))</f>
        <v>3</v>
      </c>
      <c r="AF13" s="28">
        <f>IF(T13="Read",1,IF(T13="Delivered",2,IF(T13="Sent",3,IF(T13="Not sent",4,IF(T13="Failed",9,5)))))</f>
        <v>4</v>
      </c>
      <c r="AG13" s="28">
        <f>IF(U13="Demo booked",1,IF(U13="Interested",2,IF(U13="Replied",3,IF(U13="No reply",5,IF(U13="Not interested",8,IF(U13="Bad number",9,6))))))</f>
        <v>6</v>
      </c>
      <c r="AH13" s="36">
        <f>AD13*1000+AN13*100+AE13*10+AG13</f>
        <v>3136</v>
      </c>
      <c r="AI13" s="29">
        <f>MAX(IF(R13="",0,R13),IF(Y13="",0,Y13))</f>
        <v>0</v>
      </c>
      <c r="AJ13" s="28" t="str">
        <f ca="1">IF(AND(X13&lt;&gt;"",Y13="",X13&lt;TODAY()),"Overdue",IF(AND(X13&lt;&gt;"",Y13="",X13=TODAY()),"Due today",IF(Y13&lt;&gt;"","Follow-up sent","")))</f>
        <v/>
      </c>
      <c r="AK13" s="50" t="s">
        <v>97</v>
      </c>
      <c r="AL13" s="50" t="s">
        <v>98</v>
      </c>
      <c r="AM13" s="50" t="s">
        <v>99</v>
      </c>
      <c r="AN13" s="50">
        <v>1</v>
      </c>
      <c r="AO13" s="54" t="s">
        <v>160</v>
      </c>
      <c r="AP13" s="101" t="s">
        <v>127</v>
      </c>
      <c r="AQ13" s="103"/>
      <c r="AR13" s="101"/>
    </row>
    <row r="14" spans="1:44" ht="42" customHeight="1" x14ac:dyDescent="0.25">
      <c r="A14" s="37" t="s">
        <v>222</v>
      </c>
      <c r="B14" s="37" t="s">
        <v>223</v>
      </c>
      <c r="C14" s="40"/>
      <c r="D14" s="38" t="s">
        <v>224</v>
      </c>
      <c r="E14" s="40"/>
      <c r="F14" s="37" t="s">
        <v>88</v>
      </c>
      <c r="G14" s="39">
        <v>46150</v>
      </c>
      <c r="H14" s="39">
        <v>46143</v>
      </c>
      <c r="I14" s="105" t="s">
        <v>107</v>
      </c>
      <c r="J14" s="40"/>
      <c r="K14" s="37" t="str">
        <f>IF(LEN(D14)=10,"OK","Check")</f>
        <v>OK</v>
      </c>
      <c r="L14" s="37" t="str">
        <f>IF(ISNUMBER(SEARCH("not interested",LOWER(I14&amp;" "&amp;J14))),"Hold","Send")</f>
        <v>Send</v>
      </c>
      <c r="M14" s="37" t="str">
        <f>IF(L14="Hold","Hold",IF(IFERROR(E14,0)&gt;=200,"High",IF(IFERROR(E14,0)&gt;=100,"Medium","Normal")))</f>
        <v>Normal</v>
      </c>
      <c r="N14" s="37" t="s">
        <v>90</v>
      </c>
      <c r="O14" s="37" t="s">
        <v>91</v>
      </c>
      <c r="P14" s="37" t="s">
        <v>92</v>
      </c>
      <c r="Q14" s="41" t="s">
        <v>93</v>
      </c>
      <c r="R14" s="42"/>
      <c r="S14" s="40"/>
      <c r="T14" s="37" t="s">
        <v>31</v>
      </c>
      <c r="U14" s="37" t="s">
        <v>94</v>
      </c>
      <c r="V14" s="37" t="s">
        <v>94</v>
      </c>
      <c r="W14" s="37" t="s">
        <v>95</v>
      </c>
      <c r="X14" s="39" t="str">
        <f>IF(AND(R14&lt;&gt;"",OR(U14="No reply",U14="Unknown")),R14+2,"")</f>
        <v/>
      </c>
      <c r="Y14" s="42"/>
      <c r="Z14" s="37" t="s">
        <v>96</v>
      </c>
      <c r="AA14" s="37" t="str">
        <f>IF(L14="Hold","Do not send",IF(T14="Not sent","Send WhatsApp",IF(U14="Demo booked","Prepare demo",IF(W14="Booked","Prepare demo",IF(AND(X14&lt;&gt;"",Y14=""),"Send follow-up","Review")))))</f>
        <v>Send WhatsApp</v>
      </c>
      <c r="AB14" s="40"/>
      <c r="AC14" s="40"/>
      <c r="AD14" s="28">
        <f>IF(AA14="Prepare demo",1,IF(AA14="Send follow-up",2,IF(AA14="Send WhatsApp",3,IF(AA14="Review",4,IF(AA14="Do not send",9,5)))))</f>
        <v>3</v>
      </c>
      <c r="AE14" s="28">
        <f>IF(M14="High",1,IF(M14="Medium",2,IF(M14="Normal",3,IF(M14="Hold",9,4))))</f>
        <v>3</v>
      </c>
      <c r="AF14" s="28">
        <f>IF(T14="Read",1,IF(T14="Delivered",2,IF(T14="Sent",3,IF(T14="Not sent",4,IF(T14="Failed",9,5)))))</f>
        <v>4</v>
      </c>
      <c r="AG14" s="28">
        <f>IF(U14="Demo booked",1,IF(U14="Interested",2,IF(U14="Replied",3,IF(U14="No reply",5,IF(U14="Not interested",8,IF(U14="Bad number",9,6))))))</f>
        <v>6</v>
      </c>
      <c r="AH14" s="36">
        <f>AD14*1000+AN14*100+AE14*10+AG14</f>
        <v>3136</v>
      </c>
      <c r="AI14" s="29">
        <f>MAX(IF(R14="",0,R14),IF(Y14="",0,Y14))</f>
        <v>0</v>
      </c>
      <c r="AJ14" s="28" t="str">
        <f ca="1">IF(AND(X14&lt;&gt;"",Y14="",X14&lt;TODAY()),"Overdue",IF(AND(X14&lt;&gt;"",Y14="",X14=TODAY()),"Due today",IF(Y14&lt;&gt;"","Follow-up sent","")))</f>
        <v/>
      </c>
      <c r="AK14" s="50" t="s">
        <v>97</v>
      </c>
      <c r="AL14" s="50" t="s">
        <v>98</v>
      </c>
      <c r="AM14" s="50" t="s">
        <v>99</v>
      </c>
      <c r="AN14" s="50">
        <v>1</v>
      </c>
      <c r="AO14" s="54" t="s">
        <v>225</v>
      </c>
      <c r="AP14" s="101" t="s">
        <v>127</v>
      </c>
      <c r="AQ14" s="103"/>
      <c r="AR14" s="101"/>
    </row>
    <row r="15" spans="1:44" ht="42" customHeight="1" x14ac:dyDescent="0.25">
      <c r="A15" s="30" t="s">
        <v>226</v>
      </c>
      <c r="B15" s="30" t="s">
        <v>227</v>
      </c>
      <c r="C15" s="33"/>
      <c r="D15" s="31" t="s">
        <v>224</v>
      </c>
      <c r="E15" s="33"/>
      <c r="F15" s="30" t="s">
        <v>88</v>
      </c>
      <c r="G15" s="32">
        <v>46150</v>
      </c>
      <c r="H15" s="32">
        <v>46143</v>
      </c>
      <c r="I15" s="105" t="s">
        <v>107</v>
      </c>
      <c r="J15" s="33"/>
      <c r="K15" s="30" t="str">
        <f>IF(LEN(D15)=10,"OK","Check")</f>
        <v>OK</v>
      </c>
      <c r="L15" s="30" t="str">
        <f>IF(ISNUMBER(SEARCH("not interested",LOWER(I15&amp;" "&amp;J15))),"Hold","Send")</f>
        <v>Send</v>
      </c>
      <c r="M15" s="30" t="str">
        <f>IF(L15="Hold","Hold",IF(IFERROR(E15,0)&gt;=200,"High",IF(IFERROR(E15,0)&gt;=100,"Medium","Normal")))</f>
        <v>Normal</v>
      </c>
      <c r="N15" s="30" t="s">
        <v>90</v>
      </c>
      <c r="O15" s="30" t="s">
        <v>91</v>
      </c>
      <c r="P15" s="30" t="s">
        <v>92</v>
      </c>
      <c r="Q15" s="34" t="s">
        <v>93</v>
      </c>
      <c r="R15" s="35"/>
      <c r="S15" s="33"/>
      <c r="T15" s="30" t="s">
        <v>31</v>
      </c>
      <c r="U15" s="30" t="s">
        <v>94</v>
      </c>
      <c r="V15" s="30" t="s">
        <v>94</v>
      </c>
      <c r="W15" s="30" t="s">
        <v>95</v>
      </c>
      <c r="X15" s="32" t="str">
        <f>IF(AND(R15&lt;&gt;"",OR(U15="No reply",U15="Unknown")),R15+2,"")</f>
        <v/>
      </c>
      <c r="Y15" s="35"/>
      <c r="Z15" s="30" t="s">
        <v>96</v>
      </c>
      <c r="AA15" s="30" t="str">
        <f>IF(L15="Hold","Do not send",IF(T15="Not sent","Send WhatsApp",IF(U15="Demo booked","Prepare demo",IF(W15="Booked","Prepare demo",IF(AND(X15&lt;&gt;"",Y15=""),"Send follow-up","Review")))))</f>
        <v>Send WhatsApp</v>
      </c>
      <c r="AB15" s="33"/>
      <c r="AC15" s="33"/>
      <c r="AD15" s="28">
        <f>IF(AA15="Prepare demo",1,IF(AA15="Send follow-up",2,IF(AA15="Send WhatsApp",3,IF(AA15="Review",4,IF(AA15="Do not send",9,5)))))</f>
        <v>3</v>
      </c>
      <c r="AE15" s="28">
        <f>IF(M15="High",1,IF(M15="Medium",2,IF(M15="Normal",3,IF(M15="Hold",9,4))))</f>
        <v>3</v>
      </c>
      <c r="AF15" s="28">
        <f>IF(T15="Read",1,IF(T15="Delivered",2,IF(T15="Sent",3,IF(T15="Not sent",4,IF(T15="Failed",9,5)))))</f>
        <v>4</v>
      </c>
      <c r="AG15" s="28">
        <f>IF(U15="Demo booked",1,IF(U15="Interested",2,IF(U15="Replied",3,IF(U15="No reply",5,IF(U15="Not interested",8,IF(U15="Bad number",9,6))))))</f>
        <v>6</v>
      </c>
      <c r="AH15" s="36">
        <f>AD15*1000+AN15*100+AE15*10+AG15</f>
        <v>3136</v>
      </c>
      <c r="AI15" s="29">
        <f>MAX(IF(R15="",0,R15),IF(Y15="",0,Y15))</f>
        <v>0</v>
      </c>
      <c r="AJ15" s="28" t="str">
        <f ca="1">IF(AND(X15&lt;&gt;"",Y15="",X15&lt;TODAY()),"Overdue",IF(AND(X15&lt;&gt;"",Y15="",X15=TODAY()),"Due today",IF(Y15&lt;&gt;"","Follow-up sent","")))</f>
        <v/>
      </c>
      <c r="AK15" s="50" t="s">
        <v>97</v>
      </c>
      <c r="AL15" s="50" t="s">
        <v>98</v>
      </c>
      <c r="AM15" s="50" t="s">
        <v>99</v>
      </c>
      <c r="AN15" s="50">
        <v>1</v>
      </c>
      <c r="AO15" s="54" t="s">
        <v>225</v>
      </c>
      <c r="AP15" s="101" t="s">
        <v>127</v>
      </c>
      <c r="AQ15" s="103"/>
      <c r="AR15" s="101"/>
    </row>
    <row r="16" spans="1:44" ht="42" customHeight="1" x14ac:dyDescent="0.25">
      <c r="A16" s="77" t="s">
        <v>256</v>
      </c>
      <c r="B16" s="77" t="s">
        <v>257</v>
      </c>
      <c r="C16" s="77" t="s">
        <v>257</v>
      </c>
      <c r="D16" s="82" t="s">
        <v>258</v>
      </c>
      <c r="E16" s="77"/>
      <c r="F16" s="77" t="s">
        <v>259</v>
      </c>
      <c r="G16" s="85"/>
      <c r="H16" s="85">
        <v>46161</v>
      </c>
      <c r="I16" s="77" t="s">
        <v>260</v>
      </c>
      <c r="J16" s="77" t="s">
        <v>261</v>
      </c>
      <c r="K16" s="77" t="str">
        <f>IF(LEN(D16)=10,"OK","Check")</f>
        <v>OK</v>
      </c>
      <c r="L16" s="77" t="s">
        <v>262</v>
      </c>
      <c r="M16" s="77" t="str">
        <f>IF(L16="Hold","Hold",IF(IFERROR(E16,0)&gt;=200,"High",IF(IFERROR(E16,0)&gt;=100,"Medium","Normal")))</f>
        <v>Normal</v>
      </c>
      <c r="N16" s="77" t="s">
        <v>90</v>
      </c>
      <c r="O16" s="77" t="s">
        <v>91</v>
      </c>
      <c r="P16" s="77" t="s">
        <v>92</v>
      </c>
      <c r="Q16" s="90" t="s">
        <v>93</v>
      </c>
      <c r="R16" s="85"/>
      <c r="S16" s="77"/>
      <c r="T16" s="77" t="s">
        <v>36</v>
      </c>
      <c r="U16" s="77" t="s">
        <v>94</v>
      </c>
      <c r="V16" s="77" t="s">
        <v>94</v>
      </c>
      <c r="W16" s="77" t="s">
        <v>95</v>
      </c>
      <c r="X16" s="85" t="str">
        <f>IF(AND(R16&lt;&gt;"",OR(U16="No reply",U16="Unknown")),R16+2,"")</f>
        <v/>
      </c>
      <c r="Y16" s="85"/>
      <c r="Z16" s="77" t="s">
        <v>96</v>
      </c>
      <c r="AA16" s="77" t="str">
        <f>IF(L16="Hold","Do not send",IF(T16="Not sent","Send WhatsApp",IF(U16="Demo booked","Prepare demo",IF(W16="Booked","Prepare demo",IF(AND(X16&lt;&gt;"",Y16=""),"Send follow-up","Review")))))</f>
        <v>Review</v>
      </c>
      <c r="AB16" s="77"/>
      <c r="AC16" s="77" t="s">
        <v>263</v>
      </c>
      <c r="AD16" s="77">
        <f>IF(AA16="Prepare demo",1,IF(AA16="Send follow-up",2,IF(AA16="Send WhatsApp",3,IF(AA16="Review",4,IF(AA16="Do not send",9,5)))))</f>
        <v>4</v>
      </c>
      <c r="AE16" s="77">
        <f>IF(M16="High",1,IF(M16="Medium",2,IF(M16="Normal",3,IF(M16="Hold",9,4))))</f>
        <v>3</v>
      </c>
      <c r="AF16" s="77">
        <f>IF(T16="Read",1,IF(T16="Delivered",2,IF(T16="Sent",3,IF(T16="Not sent",4,IF(T16="Failed",9,5)))))</f>
        <v>2</v>
      </c>
      <c r="AG16" s="77">
        <f>IF(U16="Demo booked",1,IF(U16="Interested",2,IF(U16="Replied",3,IF(U16="No reply",5,IF(U16="Not interested",8,IF(U16="Bad number",9,6))))))</f>
        <v>6</v>
      </c>
      <c r="AH16" s="98">
        <f>AD16*1000+AN16*100+AE16*10+AG16</f>
        <v>4436</v>
      </c>
      <c r="AI16" s="85">
        <f>MAX(IF(R16="",0,R16),IF(Y16="",0,Y16))</f>
        <v>0</v>
      </c>
      <c r="AJ16" s="77" t="str">
        <f ca="1">IF(AND(X16&lt;&gt;"",Y16="",X16&lt;TODAY()),"Overdue",IF(AND(X16&lt;&gt;"",Y16="",X16=TODAY()),"Due today",IF(Y16&lt;&gt;"","Follow-up sent","")))</f>
        <v/>
      </c>
      <c r="AK16" s="50" t="s">
        <v>264</v>
      </c>
      <c r="AL16" s="50" t="s">
        <v>265</v>
      </c>
      <c r="AM16" s="50" t="s">
        <v>266</v>
      </c>
      <c r="AN16" s="50">
        <v>4</v>
      </c>
      <c r="AO16" s="54" t="s">
        <v>267</v>
      </c>
      <c r="AP16" s="101" t="s">
        <v>127</v>
      </c>
      <c r="AQ16" s="103"/>
      <c r="AR16" s="101"/>
    </row>
    <row r="17" spans="1:44" ht="42" customHeight="1" x14ac:dyDescent="0.25">
      <c r="A17" s="77" t="s">
        <v>268</v>
      </c>
      <c r="B17" s="77" t="s">
        <v>269</v>
      </c>
      <c r="C17" s="77" t="s">
        <v>269</v>
      </c>
      <c r="D17" s="82" t="s">
        <v>270</v>
      </c>
      <c r="E17" s="77"/>
      <c r="F17" s="77" t="s">
        <v>259</v>
      </c>
      <c r="G17" s="85"/>
      <c r="H17" s="85">
        <v>46161</v>
      </c>
      <c r="I17" s="77" t="s">
        <v>271</v>
      </c>
      <c r="J17" s="77" t="s">
        <v>272</v>
      </c>
      <c r="K17" s="77" t="str">
        <f>IF(LEN(D17)=10,"OK","Check")</f>
        <v>OK</v>
      </c>
      <c r="L17" s="77" t="s">
        <v>262</v>
      </c>
      <c r="M17" s="77" t="str">
        <f>IF(L17="Hold","Hold",IF(IFERROR(E17,0)&gt;=200,"High",IF(IFERROR(E17,0)&gt;=100,"Medium","Normal")))</f>
        <v>Normal</v>
      </c>
      <c r="N17" s="77" t="s">
        <v>90</v>
      </c>
      <c r="O17" s="77" t="s">
        <v>91</v>
      </c>
      <c r="P17" s="77" t="s">
        <v>92</v>
      </c>
      <c r="Q17" s="90" t="s">
        <v>93</v>
      </c>
      <c r="R17" s="85"/>
      <c r="S17" s="77"/>
      <c r="T17" s="77" t="s">
        <v>36</v>
      </c>
      <c r="U17" s="77" t="s">
        <v>94</v>
      </c>
      <c r="V17" s="77" t="s">
        <v>94</v>
      </c>
      <c r="W17" s="77" t="s">
        <v>95</v>
      </c>
      <c r="X17" s="85" t="str">
        <f>IF(AND(R17&lt;&gt;"",OR(U17="No reply",U17="Unknown")),R17+2,"")</f>
        <v/>
      </c>
      <c r="Y17" s="85"/>
      <c r="Z17" s="77" t="s">
        <v>96</v>
      </c>
      <c r="AA17" s="77" t="str">
        <f>IF(L17="Hold","Do not send",IF(T17="Not sent","Send WhatsApp",IF(U17="Demo booked","Prepare demo",IF(W17="Booked","Prepare demo",IF(AND(X17&lt;&gt;"",Y17=""),"Send follow-up","Review")))))</f>
        <v>Review</v>
      </c>
      <c r="AB17" s="77"/>
      <c r="AC17" s="77" t="s">
        <v>273</v>
      </c>
      <c r="AD17" s="77">
        <f>IF(AA17="Prepare demo",1,IF(AA17="Send follow-up",2,IF(AA17="Send WhatsApp",3,IF(AA17="Review",4,IF(AA17="Do not send",9,5)))))</f>
        <v>4</v>
      </c>
      <c r="AE17" s="77">
        <f>IF(M17="High",1,IF(M17="Medium",2,IF(M17="Normal",3,IF(M17="Hold",9,4))))</f>
        <v>3</v>
      </c>
      <c r="AF17" s="77">
        <f>IF(T17="Read",1,IF(T17="Delivered",2,IF(T17="Sent",3,IF(T17="Not sent",4,IF(T17="Failed",9,5)))))</f>
        <v>2</v>
      </c>
      <c r="AG17" s="77">
        <f>IF(U17="Demo booked",1,IF(U17="Interested",2,IF(U17="Replied",3,IF(U17="No reply",5,IF(U17="Not interested",8,IF(U17="Bad number",9,6))))))</f>
        <v>6</v>
      </c>
      <c r="AH17" s="98">
        <f>AD17*1000+AN17*100+AE17*10+AG17</f>
        <v>4436</v>
      </c>
      <c r="AI17" s="85">
        <f>MAX(IF(R17="",0,R17),IF(Y17="",0,Y17))</f>
        <v>0</v>
      </c>
      <c r="AJ17" s="77" t="str">
        <f ca="1">IF(AND(X17&lt;&gt;"",Y17="",X17&lt;TODAY()),"Overdue",IF(AND(X17&lt;&gt;"",Y17="",X17=TODAY()),"Due today",IF(Y17&lt;&gt;"","Follow-up sent","")))</f>
        <v/>
      </c>
      <c r="AK17" s="50" t="s">
        <v>264</v>
      </c>
      <c r="AL17" s="50" t="s">
        <v>265</v>
      </c>
      <c r="AM17" s="50" t="s">
        <v>266</v>
      </c>
      <c r="AN17" s="50">
        <v>4</v>
      </c>
      <c r="AO17" s="54" t="s">
        <v>274</v>
      </c>
      <c r="AP17" s="101" t="s">
        <v>127</v>
      </c>
      <c r="AQ17" s="103"/>
      <c r="AR17" s="101"/>
    </row>
    <row r="18" spans="1:44" ht="42" customHeight="1" x14ac:dyDescent="0.25">
      <c r="A18" s="77" t="s">
        <v>275</v>
      </c>
      <c r="B18" s="77" t="s">
        <v>276</v>
      </c>
      <c r="C18" s="77" t="s">
        <v>276</v>
      </c>
      <c r="D18" s="82" t="s">
        <v>277</v>
      </c>
      <c r="E18" s="77"/>
      <c r="F18" s="77" t="s">
        <v>259</v>
      </c>
      <c r="G18" s="85"/>
      <c r="H18" s="85">
        <v>46161</v>
      </c>
      <c r="I18" s="77" t="s">
        <v>260</v>
      </c>
      <c r="J18" s="77" t="s">
        <v>272</v>
      </c>
      <c r="K18" s="77" t="str">
        <f>IF(LEN(D18)=10,"OK","Check")</f>
        <v>OK</v>
      </c>
      <c r="L18" s="77" t="s">
        <v>262</v>
      </c>
      <c r="M18" s="77" t="str">
        <f>IF(L18="Hold","Hold",IF(IFERROR(E18,0)&gt;=200,"High",IF(IFERROR(E18,0)&gt;=100,"Medium","Normal")))</f>
        <v>Normal</v>
      </c>
      <c r="N18" s="77" t="s">
        <v>90</v>
      </c>
      <c r="O18" s="77" t="s">
        <v>91</v>
      </c>
      <c r="P18" s="77" t="s">
        <v>92</v>
      </c>
      <c r="Q18" s="90" t="s">
        <v>93</v>
      </c>
      <c r="R18" s="85"/>
      <c r="S18" s="77"/>
      <c r="T18" s="77" t="s">
        <v>36</v>
      </c>
      <c r="U18" s="77" t="s">
        <v>94</v>
      </c>
      <c r="V18" s="77" t="s">
        <v>94</v>
      </c>
      <c r="W18" s="77" t="s">
        <v>95</v>
      </c>
      <c r="X18" s="85" t="str">
        <f>IF(AND(R18&lt;&gt;"",OR(U18="No reply",U18="Unknown")),R18+2,"")</f>
        <v/>
      </c>
      <c r="Y18" s="85"/>
      <c r="Z18" s="77" t="s">
        <v>96</v>
      </c>
      <c r="AA18" s="77" t="str">
        <f>IF(L18="Hold","Do not send",IF(T18="Not sent","Send WhatsApp",IF(U18="Demo booked","Prepare demo",IF(W18="Booked","Prepare demo",IF(AND(X18&lt;&gt;"",Y18=""),"Send follow-up","Review")))))</f>
        <v>Review</v>
      </c>
      <c r="AB18" s="77"/>
      <c r="AC18" s="77" t="s">
        <v>263</v>
      </c>
      <c r="AD18" s="77">
        <f>IF(AA18="Prepare demo",1,IF(AA18="Send follow-up",2,IF(AA18="Send WhatsApp",3,IF(AA18="Review",4,IF(AA18="Do not send",9,5)))))</f>
        <v>4</v>
      </c>
      <c r="AE18" s="77">
        <f>IF(M18="High",1,IF(M18="Medium",2,IF(M18="Normal",3,IF(M18="Hold",9,4))))</f>
        <v>3</v>
      </c>
      <c r="AF18" s="77">
        <f>IF(T18="Read",1,IF(T18="Delivered",2,IF(T18="Sent",3,IF(T18="Not sent",4,IF(T18="Failed",9,5)))))</f>
        <v>2</v>
      </c>
      <c r="AG18" s="77">
        <f>IF(U18="Demo booked",1,IF(U18="Interested",2,IF(U18="Replied",3,IF(U18="No reply",5,IF(U18="Not interested",8,IF(U18="Bad number",9,6))))))</f>
        <v>6</v>
      </c>
      <c r="AH18" s="98">
        <f>AD18*1000+AN18*100+AE18*10+AG18</f>
        <v>4436</v>
      </c>
      <c r="AI18" s="85">
        <f>MAX(IF(R18="",0,R18),IF(Y18="",0,Y18))</f>
        <v>0</v>
      </c>
      <c r="AJ18" s="77" t="str">
        <f ca="1">IF(AND(X18&lt;&gt;"",Y18="",X18&lt;TODAY()),"Overdue",IF(AND(X18&lt;&gt;"",Y18="",X18=TODAY()),"Due today",IF(Y18&lt;&gt;"","Follow-up sent","")))</f>
        <v/>
      </c>
      <c r="AK18" s="50" t="s">
        <v>264</v>
      </c>
      <c r="AL18" s="50" t="s">
        <v>265</v>
      </c>
      <c r="AM18" s="50" t="s">
        <v>266</v>
      </c>
      <c r="AN18" s="50">
        <v>4</v>
      </c>
      <c r="AO18" s="54" t="s">
        <v>278</v>
      </c>
      <c r="AP18" s="101" t="s">
        <v>127</v>
      </c>
      <c r="AQ18" s="103"/>
      <c r="AR18" s="101"/>
    </row>
    <row r="19" spans="1:44" ht="42" customHeight="1" x14ac:dyDescent="0.25">
      <c r="A19" s="77" t="s">
        <v>279</v>
      </c>
      <c r="B19" s="77" t="s">
        <v>280</v>
      </c>
      <c r="C19" s="77" t="s">
        <v>280</v>
      </c>
      <c r="D19" s="110" t="s">
        <v>281</v>
      </c>
      <c r="E19" s="77"/>
      <c r="F19" s="77" t="s">
        <v>259</v>
      </c>
      <c r="G19" s="85"/>
      <c r="H19" s="85">
        <v>46161</v>
      </c>
      <c r="I19" s="77" t="s">
        <v>260</v>
      </c>
      <c r="J19" s="77" t="s">
        <v>272</v>
      </c>
      <c r="K19" s="77" t="str">
        <f>IF(LEN(D19)=10,"OK","Check")</f>
        <v>OK</v>
      </c>
      <c r="L19" s="77" t="s">
        <v>262</v>
      </c>
      <c r="M19" s="77" t="str">
        <f>IF(L19="Hold","Hold",IF(IFERROR(E19,0)&gt;=200,"High",IF(IFERROR(E19,0)&gt;=100,"Medium","Normal")))</f>
        <v>Normal</v>
      </c>
      <c r="N19" s="77" t="s">
        <v>90</v>
      </c>
      <c r="O19" s="77" t="s">
        <v>91</v>
      </c>
      <c r="P19" s="77" t="s">
        <v>92</v>
      </c>
      <c r="Q19" s="90" t="s">
        <v>93</v>
      </c>
      <c r="R19" s="85"/>
      <c r="S19" s="77"/>
      <c r="T19" s="77" t="s">
        <v>40</v>
      </c>
      <c r="U19" s="77" t="s">
        <v>94</v>
      </c>
      <c r="V19" s="77" t="s">
        <v>94</v>
      </c>
      <c r="W19" s="77" t="s">
        <v>95</v>
      </c>
      <c r="X19" s="85" t="str">
        <f>IF(AND(R19&lt;&gt;"",OR(U19="No reply",U19="Unknown")),R19+2,"")</f>
        <v/>
      </c>
      <c r="Y19" s="85"/>
      <c r="Z19" s="77" t="s">
        <v>96</v>
      </c>
      <c r="AA19" s="77" t="str">
        <f>IF(L19="Hold","Do not send",IF(T19="Not sent","Send WhatsApp",IF(U19="Demo booked","Prepare demo",IF(W19="Booked","Prepare demo",IF(AND(X19&lt;&gt;"",Y19=""),"Send follow-up","Review")))))</f>
        <v>Review</v>
      </c>
      <c r="AB19" s="77"/>
      <c r="AC19" s="105" t="s">
        <v>107</v>
      </c>
      <c r="AD19" s="77">
        <f>IF(AA19="Prepare demo",1,IF(AA19="Send follow-up",2,IF(AA19="Send WhatsApp",3,IF(AA19="Review",4,IF(AA19="Do not send",9,5)))))</f>
        <v>4</v>
      </c>
      <c r="AE19" s="77">
        <f>IF(M19="High",1,IF(M19="Medium",2,IF(M19="Normal",3,IF(M19="Hold",9,4))))</f>
        <v>3</v>
      </c>
      <c r="AF19" s="77">
        <f>IF(T19="Read",1,IF(T19="Delivered",2,IF(T19="Sent",3,IF(T19="Not sent",4,IF(T19="Failed",9,5)))))</f>
        <v>9</v>
      </c>
      <c r="AG19" s="77">
        <f>IF(U19="Demo booked",1,IF(U19="Interested",2,IF(U19="Replied",3,IF(U19="No reply",5,IF(U19="Not interested",8,IF(U19="Bad number",9,6))))))</f>
        <v>6</v>
      </c>
      <c r="AH19" s="98">
        <f>AD19*1000+AN19*100+AE19*10+AG19</f>
        <v>4436</v>
      </c>
      <c r="AI19" s="85">
        <f>MAX(IF(R19="",0,R19),IF(Y19="",0,Y19))</f>
        <v>0</v>
      </c>
      <c r="AJ19" s="77" t="str">
        <f ca="1">IF(AND(X19&lt;&gt;"",Y19="",X19&lt;TODAY()),"Overdue",IF(AND(X19&lt;&gt;"",Y19="",X19=TODAY()),"Due today",IF(Y19&lt;&gt;"","Follow-up sent","")))</f>
        <v/>
      </c>
      <c r="AK19" s="50" t="s">
        <v>264</v>
      </c>
      <c r="AL19" s="50" t="s">
        <v>265</v>
      </c>
      <c r="AM19" s="50" t="s">
        <v>266</v>
      </c>
      <c r="AN19" s="50">
        <v>4</v>
      </c>
      <c r="AO19" s="54" t="s">
        <v>282</v>
      </c>
      <c r="AP19" s="101" t="s">
        <v>127</v>
      </c>
      <c r="AQ19" s="103"/>
      <c r="AR19" s="101"/>
    </row>
    <row r="20" spans="1:44" ht="42" customHeight="1" x14ac:dyDescent="0.25">
      <c r="A20" s="77" t="s">
        <v>283</v>
      </c>
      <c r="B20" s="77" t="s">
        <v>284</v>
      </c>
      <c r="C20" s="77" t="s">
        <v>284</v>
      </c>
      <c r="D20" s="110" t="s">
        <v>285</v>
      </c>
      <c r="E20" s="77"/>
      <c r="F20" s="77" t="s">
        <v>259</v>
      </c>
      <c r="G20" s="85"/>
      <c r="H20" s="85">
        <v>46161</v>
      </c>
      <c r="I20" s="77" t="s">
        <v>260</v>
      </c>
      <c r="J20" s="77" t="s">
        <v>272</v>
      </c>
      <c r="K20" s="77" t="str">
        <f>IF(LEN(D20)=10,"OK","Check")</f>
        <v>OK</v>
      </c>
      <c r="L20" s="77" t="s">
        <v>262</v>
      </c>
      <c r="M20" s="77" t="str">
        <f>IF(L20="Hold","Hold",IF(IFERROR(E20,0)&gt;=200,"High",IF(IFERROR(E20,0)&gt;=100,"Medium","Normal")))</f>
        <v>Normal</v>
      </c>
      <c r="N20" s="77" t="s">
        <v>90</v>
      </c>
      <c r="O20" s="77" t="s">
        <v>91</v>
      </c>
      <c r="P20" s="77" t="s">
        <v>92</v>
      </c>
      <c r="Q20" s="90" t="s">
        <v>93</v>
      </c>
      <c r="R20" s="85"/>
      <c r="S20" s="77"/>
      <c r="T20" s="77" t="s">
        <v>40</v>
      </c>
      <c r="U20" s="77" t="s">
        <v>94</v>
      </c>
      <c r="V20" s="77" t="s">
        <v>94</v>
      </c>
      <c r="W20" s="77" t="s">
        <v>95</v>
      </c>
      <c r="X20" s="85" t="str">
        <f>IF(AND(R20&lt;&gt;"",OR(U20="No reply",U20="Unknown")),R20+2,"")</f>
        <v/>
      </c>
      <c r="Y20" s="85"/>
      <c r="Z20" s="77" t="s">
        <v>96</v>
      </c>
      <c r="AA20" s="77" t="str">
        <f>IF(L20="Hold","Do not send",IF(T20="Not sent","Send WhatsApp",IF(U20="Demo booked","Prepare demo",IF(W20="Booked","Prepare demo",IF(AND(X20&lt;&gt;"",Y20=""),"Send follow-up","Review")))))</f>
        <v>Review</v>
      </c>
      <c r="AB20" s="77"/>
      <c r="AC20" s="105" t="s">
        <v>107</v>
      </c>
      <c r="AD20" s="77">
        <f>IF(AA20="Prepare demo",1,IF(AA20="Send follow-up",2,IF(AA20="Send WhatsApp",3,IF(AA20="Review",4,IF(AA20="Do not send",9,5)))))</f>
        <v>4</v>
      </c>
      <c r="AE20" s="77">
        <f>IF(M20="High",1,IF(M20="Medium",2,IF(M20="Normal",3,IF(M20="Hold",9,4))))</f>
        <v>3</v>
      </c>
      <c r="AF20" s="77">
        <f>IF(T20="Read",1,IF(T20="Delivered",2,IF(T20="Sent",3,IF(T20="Not sent",4,IF(T20="Failed",9,5)))))</f>
        <v>9</v>
      </c>
      <c r="AG20" s="77">
        <f>IF(U20="Demo booked",1,IF(U20="Interested",2,IF(U20="Replied",3,IF(U20="No reply",5,IF(U20="Not interested",8,IF(U20="Bad number",9,6))))))</f>
        <v>6</v>
      </c>
      <c r="AH20" s="98">
        <f>AD20*1000+AN20*100+AE20*10+AG20</f>
        <v>4436</v>
      </c>
      <c r="AI20" s="85">
        <f>MAX(IF(R20="",0,R20),IF(Y20="",0,Y20))</f>
        <v>0</v>
      </c>
      <c r="AJ20" s="77" t="str">
        <f ca="1">IF(AND(X20&lt;&gt;"",Y20="",X20&lt;TODAY()),"Overdue",IF(AND(X20&lt;&gt;"",Y20="",X20=TODAY()),"Due today",IF(Y20&lt;&gt;"","Follow-up sent","")))</f>
        <v/>
      </c>
      <c r="AK20" s="50" t="s">
        <v>264</v>
      </c>
      <c r="AL20" s="50" t="s">
        <v>265</v>
      </c>
      <c r="AM20" s="50" t="s">
        <v>266</v>
      </c>
      <c r="AN20" s="50">
        <v>4</v>
      </c>
      <c r="AO20" s="54" t="s">
        <v>286</v>
      </c>
      <c r="AP20" s="57" t="s">
        <v>127</v>
      </c>
      <c r="AQ20" s="58"/>
      <c r="AR20" s="57"/>
    </row>
    <row r="21" spans="1:44" ht="42" customHeight="1" x14ac:dyDescent="0.25">
      <c r="A21" s="77" t="s">
        <v>287</v>
      </c>
      <c r="B21" s="77" t="s">
        <v>288</v>
      </c>
      <c r="C21" s="77" t="s">
        <v>288</v>
      </c>
      <c r="D21" s="82" t="s">
        <v>289</v>
      </c>
      <c r="E21" s="77"/>
      <c r="F21" s="77" t="s">
        <v>259</v>
      </c>
      <c r="G21" s="85"/>
      <c r="H21" s="85">
        <v>46161</v>
      </c>
      <c r="I21" s="77" t="s">
        <v>290</v>
      </c>
      <c r="J21" s="77" t="s">
        <v>272</v>
      </c>
      <c r="K21" s="77" t="str">
        <f>IF(LEN(D21)=10,"OK","Check")</f>
        <v>OK</v>
      </c>
      <c r="L21" s="77" t="s">
        <v>262</v>
      </c>
      <c r="M21" s="77" t="str">
        <f>IF(L21="Hold","Hold",IF(IFERROR(E21,0)&gt;=200,"High",IF(IFERROR(E21,0)&gt;=100,"Medium","Normal")))</f>
        <v>Normal</v>
      </c>
      <c r="N21" s="77" t="s">
        <v>90</v>
      </c>
      <c r="O21" s="77" t="s">
        <v>91</v>
      </c>
      <c r="P21" s="77" t="s">
        <v>92</v>
      </c>
      <c r="Q21" s="90" t="s">
        <v>93</v>
      </c>
      <c r="R21" s="85"/>
      <c r="S21" s="77"/>
      <c r="T21" s="77" t="s">
        <v>36</v>
      </c>
      <c r="U21" s="77" t="s">
        <v>94</v>
      </c>
      <c r="V21" s="77" t="s">
        <v>94</v>
      </c>
      <c r="W21" s="77" t="s">
        <v>95</v>
      </c>
      <c r="X21" s="85" t="str">
        <f>IF(AND(R21&lt;&gt;"",OR(U21="No reply",U21="Unknown")),R21+2,"")</f>
        <v/>
      </c>
      <c r="Y21" s="85"/>
      <c r="Z21" s="77" t="s">
        <v>96</v>
      </c>
      <c r="AA21" s="77" t="str">
        <f>IF(L21="Hold","Do not send",IF(T21="Not sent","Send WhatsApp",IF(U21="Demo booked","Prepare demo",IF(W21="Booked","Prepare demo",IF(AND(X21&lt;&gt;"",Y21=""),"Send follow-up","Review")))))</f>
        <v>Review</v>
      </c>
      <c r="AB21" s="77"/>
      <c r="AC21" s="77" t="s">
        <v>291</v>
      </c>
      <c r="AD21" s="77">
        <f>IF(AA21="Prepare demo",1,IF(AA21="Send follow-up",2,IF(AA21="Send WhatsApp",3,IF(AA21="Review",4,IF(AA21="Do not send",9,5)))))</f>
        <v>4</v>
      </c>
      <c r="AE21" s="77">
        <f>IF(M21="High",1,IF(M21="Medium",2,IF(M21="Normal",3,IF(M21="Hold",9,4))))</f>
        <v>3</v>
      </c>
      <c r="AF21" s="77">
        <f>IF(T21="Read",1,IF(T21="Delivered",2,IF(T21="Sent",3,IF(T21="Not sent",4,IF(T21="Failed",9,5)))))</f>
        <v>2</v>
      </c>
      <c r="AG21" s="77">
        <f>IF(U21="Demo booked",1,IF(U21="Interested",2,IF(U21="Replied",3,IF(U21="No reply",5,IF(U21="Not interested",8,IF(U21="Bad number",9,6))))))</f>
        <v>6</v>
      </c>
      <c r="AH21" s="98">
        <f>AD21*1000+AN21*100+AE21*10+AG21</f>
        <v>4436</v>
      </c>
      <c r="AI21" s="85">
        <f>MAX(IF(R21="",0,R21),IF(Y21="",0,Y21))</f>
        <v>0</v>
      </c>
      <c r="AJ21" s="77" t="str">
        <f ca="1">IF(AND(X21&lt;&gt;"",Y21="",X21&lt;TODAY()),"Overdue",IF(AND(X21&lt;&gt;"",Y21="",X21=TODAY()),"Due today",IF(Y21&lt;&gt;"","Follow-up sent","")))</f>
        <v/>
      </c>
      <c r="AK21" s="50" t="s">
        <v>264</v>
      </c>
      <c r="AL21" s="50" t="s">
        <v>265</v>
      </c>
      <c r="AM21" s="50" t="s">
        <v>266</v>
      </c>
      <c r="AN21" s="50">
        <v>4</v>
      </c>
      <c r="AO21" s="54" t="s">
        <v>292</v>
      </c>
      <c r="AP21" s="101" t="s">
        <v>127</v>
      </c>
      <c r="AQ21" s="103"/>
      <c r="AR21" s="101"/>
    </row>
    <row r="22" spans="1:44" ht="42" customHeight="1" x14ac:dyDescent="0.25">
      <c r="A22" s="77" t="s">
        <v>293</v>
      </c>
      <c r="B22" s="77" t="s">
        <v>294</v>
      </c>
      <c r="C22" s="77" t="s">
        <v>294</v>
      </c>
      <c r="D22" s="82" t="s">
        <v>295</v>
      </c>
      <c r="E22" s="77"/>
      <c r="F22" s="77" t="s">
        <v>259</v>
      </c>
      <c r="G22" s="85"/>
      <c r="H22" s="85">
        <v>46161</v>
      </c>
      <c r="I22" s="77" t="s">
        <v>290</v>
      </c>
      <c r="J22" s="77" t="s">
        <v>272</v>
      </c>
      <c r="K22" s="77" t="str">
        <f>IF(LEN(D22)=10,"OK","Check")</f>
        <v>OK</v>
      </c>
      <c r="L22" s="77" t="s">
        <v>262</v>
      </c>
      <c r="M22" s="77" t="str">
        <f>IF(L22="Hold","Hold",IF(IFERROR(E22,0)&gt;=200,"High",IF(IFERROR(E22,0)&gt;=100,"Medium","Normal")))</f>
        <v>Normal</v>
      </c>
      <c r="N22" s="77" t="s">
        <v>90</v>
      </c>
      <c r="O22" s="77" t="s">
        <v>91</v>
      </c>
      <c r="P22" s="77" t="s">
        <v>92</v>
      </c>
      <c r="Q22" s="90" t="s">
        <v>93</v>
      </c>
      <c r="R22" s="85"/>
      <c r="S22" s="77"/>
      <c r="T22" s="77" t="s">
        <v>36</v>
      </c>
      <c r="U22" s="77" t="s">
        <v>94</v>
      </c>
      <c r="V22" s="77" t="s">
        <v>94</v>
      </c>
      <c r="W22" s="77" t="s">
        <v>95</v>
      </c>
      <c r="X22" s="85" t="str">
        <f>IF(AND(R22&lt;&gt;"",OR(U22="No reply",U22="Unknown")),R22+2,"")</f>
        <v/>
      </c>
      <c r="Y22" s="85"/>
      <c r="Z22" s="77" t="s">
        <v>96</v>
      </c>
      <c r="AA22" s="77" t="str">
        <f>IF(L22="Hold","Do not send",IF(T22="Not sent","Send WhatsApp",IF(U22="Demo booked","Prepare demo",IF(W22="Booked","Prepare demo",IF(AND(X22&lt;&gt;"",Y22=""),"Send follow-up","Review")))))</f>
        <v>Review</v>
      </c>
      <c r="AB22" s="77"/>
      <c r="AC22" s="77" t="s">
        <v>291</v>
      </c>
      <c r="AD22" s="77">
        <f>IF(AA22="Prepare demo",1,IF(AA22="Send follow-up",2,IF(AA22="Send WhatsApp",3,IF(AA22="Review",4,IF(AA22="Do not send",9,5)))))</f>
        <v>4</v>
      </c>
      <c r="AE22" s="77">
        <f>IF(M22="High",1,IF(M22="Medium",2,IF(M22="Normal",3,IF(M22="Hold",9,4))))</f>
        <v>3</v>
      </c>
      <c r="AF22" s="77">
        <f>IF(T22="Read",1,IF(T22="Delivered",2,IF(T22="Sent",3,IF(T22="Not sent",4,IF(T22="Failed",9,5)))))</f>
        <v>2</v>
      </c>
      <c r="AG22" s="77">
        <f>IF(U22="Demo booked",1,IF(U22="Interested",2,IF(U22="Replied",3,IF(U22="No reply",5,IF(U22="Not interested",8,IF(U22="Bad number",9,6))))))</f>
        <v>6</v>
      </c>
      <c r="AH22" s="98">
        <f>AD22*1000+AN22*100+AE22*10+AG22</f>
        <v>4436</v>
      </c>
      <c r="AI22" s="85">
        <f>MAX(IF(R22="",0,R22),IF(Y22="",0,Y22))</f>
        <v>0</v>
      </c>
      <c r="AJ22" s="77" t="str">
        <f ca="1">IF(AND(X22&lt;&gt;"",Y22="",X22&lt;TODAY()),"Overdue",IF(AND(X22&lt;&gt;"",Y22="",X22=TODAY()),"Due today",IF(Y22&lt;&gt;"","Follow-up sent","")))</f>
        <v/>
      </c>
      <c r="AK22" s="50" t="s">
        <v>264</v>
      </c>
      <c r="AL22" s="50" t="s">
        <v>265</v>
      </c>
      <c r="AM22" s="50" t="s">
        <v>266</v>
      </c>
      <c r="AN22" s="50">
        <v>4</v>
      </c>
      <c r="AO22" s="54" t="s">
        <v>296</v>
      </c>
      <c r="AP22" s="57" t="s">
        <v>127</v>
      </c>
      <c r="AQ22" s="58"/>
      <c r="AR22" s="57"/>
    </row>
    <row r="23" spans="1:44" ht="42" customHeight="1" x14ac:dyDescent="0.25">
      <c r="A23" s="77" t="s">
        <v>297</v>
      </c>
      <c r="B23" s="77" t="s">
        <v>298</v>
      </c>
      <c r="C23" s="77" t="s">
        <v>298</v>
      </c>
      <c r="D23" s="82" t="s">
        <v>299</v>
      </c>
      <c r="E23" s="77"/>
      <c r="F23" s="77" t="s">
        <v>259</v>
      </c>
      <c r="G23" s="85"/>
      <c r="H23" s="85">
        <v>46161</v>
      </c>
      <c r="I23" s="77" t="s">
        <v>300</v>
      </c>
      <c r="J23" s="77" t="s">
        <v>272</v>
      </c>
      <c r="K23" s="77" t="str">
        <f>IF(LEN(D23)=10,"OK","Check")</f>
        <v>OK</v>
      </c>
      <c r="L23" s="77" t="s">
        <v>262</v>
      </c>
      <c r="M23" s="77" t="str">
        <f>IF(L23="Hold","Hold",IF(IFERROR(E23,0)&gt;=200,"High",IF(IFERROR(E23,0)&gt;=100,"Medium","Normal")))</f>
        <v>Normal</v>
      </c>
      <c r="N23" s="77" t="s">
        <v>90</v>
      </c>
      <c r="O23" s="77" t="s">
        <v>91</v>
      </c>
      <c r="P23" s="77" t="s">
        <v>92</v>
      </c>
      <c r="Q23" s="90" t="s">
        <v>93</v>
      </c>
      <c r="R23" s="85"/>
      <c r="S23" s="77"/>
      <c r="T23" s="77" t="s">
        <v>36</v>
      </c>
      <c r="U23" s="77" t="s">
        <v>94</v>
      </c>
      <c r="V23" s="77" t="s">
        <v>94</v>
      </c>
      <c r="W23" s="77" t="s">
        <v>95</v>
      </c>
      <c r="X23" s="85" t="str">
        <f>IF(AND(R23&lt;&gt;"",OR(U23="No reply",U23="Unknown")),R23+2,"")</f>
        <v/>
      </c>
      <c r="Y23" s="85"/>
      <c r="Z23" s="77" t="s">
        <v>96</v>
      </c>
      <c r="AA23" s="77" t="str">
        <f>IF(L23="Hold","Do not send",IF(T23="Not sent","Send WhatsApp",IF(U23="Demo booked","Prepare demo",IF(W23="Booked","Prepare demo",IF(AND(X23&lt;&gt;"",Y23=""),"Send follow-up","Review")))))</f>
        <v>Review</v>
      </c>
      <c r="AB23" s="77"/>
      <c r="AC23" s="77" t="s">
        <v>301</v>
      </c>
      <c r="AD23" s="77">
        <f>IF(AA23="Prepare demo",1,IF(AA23="Send follow-up",2,IF(AA23="Send WhatsApp",3,IF(AA23="Review",4,IF(AA23="Do not send",9,5)))))</f>
        <v>4</v>
      </c>
      <c r="AE23" s="77">
        <f>IF(M23="High",1,IF(M23="Medium",2,IF(M23="Normal",3,IF(M23="Hold",9,4))))</f>
        <v>3</v>
      </c>
      <c r="AF23" s="77">
        <f>IF(T23="Read",1,IF(T23="Delivered",2,IF(T23="Sent",3,IF(T23="Not sent",4,IF(T23="Failed",9,5)))))</f>
        <v>2</v>
      </c>
      <c r="AG23" s="77">
        <f>IF(U23="Demo booked",1,IF(U23="Interested",2,IF(U23="Replied",3,IF(U23="No reply",5,IF(U23="Not interested",8,IF(U23="Bad number",9,6))))))</f>
        <v>6</v>
      </c>
      <c r="AH23" s="98">
        <f>AD23*1000+AN23*100+AE23*10+AG23</f>
        <v>4436</v>
      </c>
      <c r="AI23" s="85">
        <f>MAX(IF(R23="",0,R23),IF(Y23="",0,Y23))</f>
        <v>0</v>
      </c>
      <c r="AJ23" s="77" t="str">
        <f ca="1">IF(AND(X23&lt;&gt;"",Y23="",X23&lt;TODAY()),"Overdue",IF(AND(X23&lt;&gt;"",Y23="",X23=TODAY()),"Due today",IF(Y23&lt;&gt;"","Follow-up sent","")))</f>
        <v/>
      </c>
      <c r="AK23" s="50" t="s">
        <v>264</v>
      </c>
      <c r="AL23" s="50" t="s">
        <v>265</v>
      </c>
      <c r="AM23" s="50" t="s">
        <v>266</v>
      </c>
      <c r="AN23" s="50">
        <v>4</v>
      </c>
      <c r="AO23" s="54" t="s">
        <v>302</v>
      </c>
      <c r="AP23" s="101" t="s">
        <v>127</v>
      </c>
      <c r="AQ23" s="103"/>
      <c r="AR23" s="101"/>
    </row>
    <row r="24" spans="1:44" ht="42" customHeight="1" x14ac:dyDescent="0.25">
      <c r="A24" s="77" t="s">
        <v>303</v>
      </c>
      <c r="B24" s="77" t="s">
        <v>304</v>
      </c>
      <c r="C24" s="77" t="s">
        <v>304</v>
      </c>
      <c r="D24" s="82" t="s">
        <v>305</v>
      </c>
      <c r="E24" s="77"/>
      <c r="F24" s="77" t="s">
        <v>259</v>
      </c>
      <c r="G24" s="85"/>
      <c r="H24" s="85">
        <v>46161</v>
      </c>
      <c r="I24" s="77" t="s">
        <v>271</v>
      </c>
      <c r="J24" s="77" t="s">
        <v>272</v>
      </c>
      <c r="K24" s="77" t="str">
        <f>IF(LEN(D24)=10,"OK","Check")</f>
        <v>OK</v>
      </c>
      <c r="L24" s="77" t="s">
        <v>262</v>
      </c>
      <c r="M24" s="77" t="str">
        <f>IF(L24="Hold","Hold",IF(IFERROR(E24,0)&gt;=200,"High",IF(IFERROR(E24,0)&gt;=100,"Medium","Normal")))</f>
        <v>Normal</v>
      </c>
      <c r="N24" s="77" t="s">
        <v>90</v>
      </c>
      <c r="O24" s="77" t="s">
        <v>91</v>
      </c>
      <c r="P24" s="77" t="s">
        <v>92</v>
      </c>
      <c r="Q24" s="90" t="s">
        <v>93</v>
      </c>
      <c r="R24" s="85"/>
      <c r="S24" s="77"/>
      <c r="T24" s="77" t="s">
        <v>36</v>
      </c>
      <c r="U24" s="77" t="s">
        <v>94</v>
      </c>
      <c r="V24" s="77" t="s">
        <v>94</v>
      </c>
      <c r="W24" s="77" t="s">
        <v>95</v>
      </c>
      <c r="X24" s="85" t="str">
        <f>IF(AND(R24&lt;&gt;"",OR(U24="No reply",U24="Unknown")),R24+2,"")</f>
        <v/>
      </c>
      <c r="Y24" s="85"/>
      <c r="Z24" s="77" t="s">
        <v>96</v>
      </c>
      <c r="AA24" s="77" t="str">
        <f>IF(L24="Hold","Do not send",IF(T24="Not sent","Send WhatsApp",IF(U24="Demo booked","Prepare demo",IF(W24="Booked","Prepare demo",IF(AND(X24&lt;&gt;"",Y24=""),"Send follow-up","Review")))))</f>
        <v>Review</v>
      </c>
      <c r="AB24" s="77"/>
      <c r="AC24" s="77" t="s">
        <v>273</v>
      </c>
      <c r="AD24" s="77">
        <f>IF(AA24="Prepare demo",1,IF(AA24="Send follow-up",2,IF(AA24="Send WhatsApp",3,IF(AA24="Review",4,IF(AA24="Do not send",9,5)))))</f>
        <v>4</v>
      </c>
      <c r="AE24" s="77">
        <f>IF(M24="High",1,IF(M24="Medium",2,IF(M24="Normal",3,IF(M24="Hold",9,4))))</f>
        <v>3</v>
      </c>
      <c r="AF24" s="77">
        <f>IF(T24="Read",1,IF(T24="Delivered",2,IF(T24="Sent",3,IF(T24="Not sent",4,IF(T24="Failed",9,5)))))</f>
        <v>2</v>
      </c>
      <c r="AG24" s="77">
        <f>IF(U24="Demo booked",1,IF(U24="Interested",2,IF(U24="Replied",3,IF(U24="No reply",5,IF(U24="Not interested",8,IF(U24="Bad number",9,6))))))</f>
        <v>6</v>
      </c>
      <c r="AH24" s="98">
        <f>AD24*1000+AN24*100+AE24*10+AG24</f>
        <v>4436</v>
      </c>
      <c r="AI24" s="85">
        <f>MAX(IF(R24="",0,R24),IF(Y24="",0,Y24))</f>
        <v>0</v>
      </c>
      <c r="AJ24" s="77" t="str">
        <f ca="1">IF(AND(X24&lt;&gt;"",Y24="",X24&lt;TODAY()),"Overdue",IF(AND(X24&lt;&gt;"",Y24="",X24=TODAY()),"Due today",IF(Y24&lt;&gt;"","Follow-up sent","")))</f>
        <v/>
      </c>
      <c r="AK24" s="50" t="s">
        <v>264</v>
      </c>
      <c r="AL24" s="50" t="s">
        <v>265</v>
      </c>
      <c r="AM24" s="50" t="s">
        <v>266</v>
      </c>
      <c r="AN24" s="50">
        <v>4</v>
      </c>
      <c r="AO24" s="54" t="s">
        <v>306</v>
      </c>
      <c r="AP24" s="101" t="s">
        <v>127</v>
      </c>
      <c r="AQ24" s="103"/>
      <c r="AR24" s="101"/>
    </row>
    <row r="25" spans="1:44" ht="42" customHeight="1" x14ac:dyDescent="0.25">
      <c r="A25" s="77" t="s">
        <v>307</v>
      </c>
      <c r="B25" s="77" t="s">
        <v>308</v>
      </c>
      <c r="C25" s="77" t="s">
        <v>308</v>
      </c>
      <c r="D25" s="82" t="s">
        <v>309</v>
      </c>
      <c r="E25" s="77"/>
      <c r="F25" s="77" t="s">
        <v>259</v>
      </c>
      <c r="G25" s="85"/>
      <c r="H25" s="85">
        <v>46161</v>
      </c>
      <c r="I25" s="77" t="s">
        <v>271</v>
      </c>
      <c r="J25" s="77" t="s">
        <v>272</v>
      </c>
      <c r="K25" s="77" t="str">
        <f>IF(LEN(D25)=10,"OK","Check")</f>
        <v>OK</v>
      </c>
      <c r="L25" s="77" t="s">
        <v>262</v>
      </c>
      <c r="M25" s="77" t="str">
        <f>IF(L25="Hold","Hold",IF(IFERROR(E25,0)&gt;=200,"High",IF(IFERROR(E25,0)&gt;=100,"Medium","Normal")))</f>
        <v>Normal</v>
      </c>
      <c r="N25" s="77" t="s">
        <v>90</v>
      </c>
      <c r="O25" s="77" t="s">
        <v>91</v>
      </c>
      <c r="P25" s="77" t="s">
        <v>92</v>
      </c>
      <c r="Q25" s="90" t="s">
        <v>93</v>
      </c>
      <c r="R25" s="85"/>
      <c r="S25" s="77"/>
      <c r="T25" s="77" t="s">
        <v>36</v>
      </c>
      <c r="U25" s="77" t="s">
        <v>94</v>
      </c>
      <c r="V25" s="77" t="s">
        <v>94</v>
      </c>
      <c r="W25" s="77" t="s">
        <v>95</v>
      </c>
      <c r="X25" s="85" t="str">
        <f>IF(AND(R25&lt;&gt;"",OR(U25="No reply",U25="Unknown")),R25+2,"")</f>
        <v/>
      </c>
      <c r="Y25" s="85"/>
      <c r="Z25" s="77" t="s">
        <v>96</v>
      </c>
      <c r="AA25" s="77" t="str">
        <f>IF(L25="Hold","Do not send",IF(T25="Not sent","Send WhatsApp",IF(U25="Demo booked","Prepare demo",IF(W25="Booked","Prepare demo",IF(AND(X25&lt;&gt;"",Y25=""),"Send follow-up","Review")))))</f>
        <v>Review</v>
      </c>
      <c r="AB25" s="77"/>
      <c r="AC25" s="77" t="s">
        <v>273</v>
      </c>
      <c r="AD25" s="77">
        <f>IF(AA25="Prepare demo",1,IF(AA25="Send follow-up",2,IF(AA25="Send WhatsApp",3,IF(AA25="Review",4,IF(AA25="Do not send",9,5)))))</f>
        <v>4</v>
      </c>
      <c r="AE25" s="77">
        <f>IF(M25="High",1,IF(M25="Medium",2,IF(M25="Normal",3,IF(M25="Hold",9,4))))</f>
        <v>3</v>
      </c>
      <c r="AF25" s="77">
        <f>IF(T25="Read",1,IF(T25="Delivered",2,IF(T25="Sent",3,IF(T25="Not sent",4,IF(T25="Failed",9,5)))))</f>
        <v>2</v>
      </c>
      <c r="AG25" s="77">
        <f>IF(U25="Demo booked",1,IF(U25="Interested",2,IF(U25="Replied",3,IF(U25="No reply",5,IF(U25="Not interested",8,IF(U25="Bad number",9,6))))))</f>
        <v>6</v>
      </c>
      <c r="AH25" s="98">
        <f>AD25*1000+AN25*100+AE25*10+AG25</f>
        <v>4436</v>
      </c>
      <c r="AI25" s="85">
        <f>MAX(IF(R25="",0,R25),IF(Y25="",0,Y25))</f>
        <v>0</v>
      </c>
      <c r="AJ25" s="77" t="str">
        <f ca="1">IF(AND(X25&lt;&gt;"",Y25="",X25&lt;TODAY()),"Overdue",IF(AND(X25&lt;&gt;"",Y25="",X25=TODAY()),"Due today",IF(Y25&lt;&gt;"","Follow-up sent","")))</f>
        <v/>
      </c>
      <c r="AK25" s="50" t="s">
        <v>264</v>
      </c>
      <c r="AL25" s="50" t="s">
        <v>265</v>
      </c>
      <c r="AM25" s="50" t="s">
        <v>266</v>
      </c>
      <c r="AN25" s="50">
        <v>4</v>
      </c>
      <c r="AO25" s="54" t="s">
        <v>310</v>
      </c>
      <c r="AP25" s="101" t="s">
        <v>127</v>
      </c>
      <c r="AQ25" s="103"/>
      <c r="AR25" s="101"/>
    </row>
    <row r="26" spans="1:44" ht="42" customHeight="1" x14ac:dyDescent="0.25">
      <c r="A26" s="77" t="s">
        <v>311</v>
      </c>
      <c r="B26" s="77" t="s">
        <v>312</v>
      </c>
      <c r="C26" s="77" t="s">
        <v>312</v>
      </c>
      <c r="D26" s="82" t="s">
        <v>313</v>
      </c>
      <c r="E26" s="77"/>
      <c r="F26" s="77" t="s">
        <v>259</v>
      </c>
      <c r="G26" s="85"/>
      <c r="H26" s="85">
        <v>46161</v>
      </c>
      <c r="I26" s="77" t="s">
        <v>260</v>
      </c>
      <c r="J26" s="77" t="s">
        <v>272</v>
      </c>
      <c r="K26" s="77" t="str">
        <f>IF(LEN(D26)=10,"OK","Check")</f>
        <v>OK</v>
      </c>
      <c r="L26" s="77" t="s">
        <v>262</v>
      </c>
      <c r="M26" s="77" t="str">
        <f>IF(L26="Hold","Hold",IF(IFERROR(E26,0)&gt;=200,"High",IF(IFERROR(E26,0)&gt;=100,"Medium","Normal")))</f>
        <v>Normal</v>
      </c>
      <c r="N26" s="77" t="s">
        <v>90</v>
      </c>
      <c r="O26" s="77" t="s">
        <v>91</v>
      </c>
      <c r="P26" s="77" t="s">
        <v>92</v>
      </c>
      <c r="Q26" s="90" t="s">
        <v>93</v>
      </c>
      <c r="R26" s="85"/>
      <c r="S26" s="77"/>
      <c r="T26" s="77" t="s">
        <v>38</v>
      </c>
      <c r="U26" s="77" t="s">
        <v>23</v>
      </c>
      <c r="V26" s="77" t="s">
        <v>94</v>
      </c>
      <c r="W26" s="77" t="s">
        <v>1954</v>
      </c>
      <c r="X26" s="85" t="str">
        <f>IF(AND(R26&lt;&gt;"",OR(U26="No reply",U26="Unknown")),R26+2,"")</f>
        <v/>
      </c>
      <c r="Y26" s="85"/>
      <c r="Z26" s="77" t="s">
        <v>96</v>
      </c>
      <c r="AA26" s="77" t="str">
        <f>IF(L26="Hold","Do not send",IF(T26="Not sent","Send WhatsApp",IF(U26="Demo booked","Prepare demo",IF(W26="Booked","Prepare demo",IF(AND(X26&lt;&gt;"",Y26=""),"Send follow-up","Review")))))</f>
        <v>Prepare demo</v>
      </c>
      <c r="AB26" s="77"/>
      <c r="AC26" s="77" t="s">
        <v>263</v>
      </c>
      <c r="AD26" s="77">
        <f>IF(AA26="Prepare demo",1,IF(AA26="Send follow-up",2,IF(AA26="Send WhatsApp",3,IF(AA26="Review",4,IF(AA26="Do not send",9,5)))))</f>
        <v>1</v>
      </c>
      <c r="AE26" s="77">
        <f>IF(M26="High",1,IF(M26="Medium",2,IF(M26="Normal",3,IF(M26="Hold",9,4))))</f>
        <v>3</v>
      </c>
      <c r="AF26" s="77">
        <f>IF(T26="Read",1,IF(T26="Delivered",2,IF(T26="Sent",3,IF(T26="Not sent",4,IF(T26="Failed",9,5)))))</f>
        <v>1</v>
      </c>
      <c r="AG26" s="77">
        <f>IF(U26="Demo booked",1,IF(U26="Interested",2,IF(U26="Replied",3,IF(U26="No reply",5,IF(U26="Not interested",8,IF(U26="Bad number",9,6))))))</f>
        <v>1</v>
      </c>
      <c r="AH26" s="98">
        <f>AD26*1000+AN26*100+AE26*10+AG26</f>
        <v>1431</v>
      </c>
      <c r="AI26" s="85">
        <f>MAX(IF(R26="",0,R26),IF(Y26="",0,Y26))</f>
        <v>0</v>
      </c>
      <c r="AJ26" s="77" t="str">
        <f ca="1">IF(AND(X26&lt;&gt;"",Y26="",X26&lt;TODAY()),"Overdue",IF(AND(X26&lt;&gt;"",Y26="",X26=TODAY()),"Due today",IF(Y26&lt;&gt;"","Follow-up sent","")))</f>
        <v/>
      </c>
      <c r="AK26" s="50" t="s">
        <v>264</v>
      </c>
      <c r="AL26" s="50" t="s">
        <v>265</v>
      </c>
      <c r="AM26" s="50" t="s">
        <v>266</v>
      </c>
      <c r="AN26" s="50">
        <v>4</v>
      </c>
      <c r="AO26" s="54" t="s">
        <v>314</v>
      </c>
      <c r="AP26" s="101" t="s">
        <v>127</v>
      </c>
      <c r="AQ26" s="103"/>
      <c r="AR26" s="101"/>
    </row>
    <row r="27" spans="1:44" ht="42" customHeight="1" x14ac:dyDescent="0.25">
      <c r="A27" s="77" t="s">
        <v>315</v>
      </c>
      <c r="B27" s="77" t="s">
        <v>316</v>
      </c>
      <c r="C27" s="77" t="s">
        <v>316</v>
      </c>
      <c r="D27" s="110" t="s">
        <v>317</v>
      </c>
      <c r="E27" s="77"/>
      <c r="F27" s="77" t="s">
        <v>259</v>
      </c>
      <c r="G27" s="85"/>
      <c r="H27" s="85">
        <v>46161</v>
      </c>
      <c r="I27" s="77" t="s">
        <v>260</v>
      </c>
      <c r="J27" s="77" t="s">
        <v>272</v>
      </c>
      <c r="K27" s="77" t="str">
        <f>IF(LEN(D27)=10,"OK","Check")</f>
        <v>OK</v>
      </c>
      <c r="L27" s="77" t="s">
        <v>262</v>
      </c>
      <c r="M27" s="77" t="str">
        <f>IF(L27="Hold","Hold",IF(IFERROR(E27,0)&gt;=200,"High",IF(IFERROR(E27,0)&gt;=100,"Medium","Normal")))</f>
        <v>Normal</v>
      </c>
      <c r="N27" s="77" t="s">
        <v>90</v>
      </c>
      <c r="O27" s="77" t="s">
        <v>91</v>
      </c>
      <c r="P27" s="77" t="s">
        <v>92</v>
      </c>
      <c r="Q27" s="90" t="s">
        <v>93</v>
      </c>
      <c r="R27" s="85"/>
      <c r="S27" s="77"/>
      <c r="T27" s="77" t="s">
        <v>40</v>
      </c>
      <c r="U27" s="77" t="s">
        <v>94</v>
      </c>
      <c r="V27" s="77" t="s">
        <v>94</v>
      </c>
      <c r="W27" s="77" t="s">
        <v>95</v>
      </c>
      <c r="X27" s="85" t="str">
        <f>IF(AND(R27&lt;&gt;"",OR(U27="No reply",U27="Unknown")),R27+2,"")</f>
        <v/>
      </c>
      <c r="Y27" s="85"/>
      <c r="Z27" s="77" t="s">
        <v>96</v>
      </c>
      <c r="AA27" s="77" t="str">
        <f>IF(L27="Hold","Do not send",IF(T27="Not sent","Send WhatsApp",IF(U27="Demo booked","Prepare demo",IF(W27="Booked","Prepare demo",IF(AND(X27&lt;&gt;"",Y27=""),"Send follow-up","Review")))))</f>
        <v>Review</v>
      </c>
      <c r="AB27" s="77"/>
      <c r="AC27" s="77" t="s">
        <v>263</v>
      </c>
      <c r="AD27" s="77">
        <f>IF(AA27="Prepare demo",1,IF(AA27="Send follow-up",2,IF(AA27="Send WhatsApp",3,IF(AA27="Review",4,IF(AA27="Do not send",9,5)))))</f>
        <v>4</v>
      </c>
      <c r="AE27" s="77">
        <f>IF(M27="High",1,IF(M27="Medium",2,IF(M27="Normal",3,IF(M27="Hold",9,4))))</f>
        <v>3</v>
      </c>
      <c r="AF27" s="77">
        <f>IF(T27="Read",1,IF(T27="Delivered",2,IF(T27="Sent",3,IF(T27="Not sent",4,IF(T27="Failed",9,5)))))</f>
        <v>9</v>
      </c>
      <c r="AG27" s="77">
        <f>IF(U27="Demo booked",1,IF(U27="Interested",2,IF(U27="Replied",3,IF(U27="No reply",5,IF(U27="Not interested",8,IF(U27="Bad number",9,6))))))</f>
        <v>6</v>
      </c>
      <c r="AH27" s="98">
        <f>AD27*1000+AN27*100+AE27*10+AG27</f>
        <v>4436</v>
      </c>
      <c r="AI27" s="85">
        <f>MAX(IF(R27="",0,R27),IF(Y27="",0,Y27))</f>
        <v>0</v>
      </c>
      <c r="AJ27" s="77" t="str">
        <f ca="1">IF(AND(X27&lt;&gt;"",Y27="",X27&lt;TODAY()),"Overdue",IF(AND(X27&lt;&gt;"",Y27="",X27=TODAY()),"Due today",IF(Y27&lt;&gt;"","Follow-up sent","")))</f>
        <v/>
      </c>
      <c r="AK27" s="50" t="s">
        <v>264</v>
      </c>
      <c r="AL27" s="50" t="s">
        <v>265</v>
      </c>
      <c r="AM27" s="50" t="s">
        <v>266</v>
      </c>
      <c r="AN27" s="50">
        <v>4</v>
      </c>
      <c r="AO27" s="54" t="s">
        <v>318</v>
      </c>
      <c r="AP27" s="101" t="s">
        <v>127</v>
      </c>
      <c r="AQ27" s="103"/>
      <c r="AR27" s="101"/>
    </row>
    <row r="28" spans="1:44" ht="42" customHeight="1" x14ac:dyDescent="0.25">
      <c r="A28" s="77" t="s">
        <v>319</v>
      </c>
      <c r="B28" s="77" t="s">
        <v>320</v>
      </c>
      <c r="C28" s="77" t="s">
        <v>320</v>
      </c>
      <c r="D28" s="82" t="s">
        <v>321</v>
      </c>
      <c r="E28" s="77"/>
      <c r="F28" s="77" t="s">
        <v>259</v>
      </c>
      <c r="G28" s="85"/>
      <c r="H28" s="85">
        <v>46161</v>
      </c>
      <c r="I28" s="77" t="s">
        <v>290</v>
      </c>
      <c r="J28" s="77" t="s">
        <v>272</v>
      </c>
      <c r="K28" s="77" t="str">
        <f>IF(LEN(D28)=10,"OK","Check")</f>
        <v>OK</v>
      </c>
      <c r="L28" s="77" t="s">
        <v>262</v>
      </c>
      <c r="M28" s="77" t="str">
        <f>IF(L28="Hold","Hold",IF(IFERROR(E28,0)&gt;=200,"High",IF(IFERROR(E28,0)&gt;=100,"Medium","Normal")))</f>
        <v>Normal</v>
      </c>
      <c r="N28" s="77" t="s">
        <v>90</v>
      </c>
      <c r="O28" s="77" t="s">
        <v>91</v>
      </c>
      <c r="P28" s="77" t="s">
        <v>92</v>
      </c>
      <c r="Q28" s="90" t="s">
        <v>93</v>
      </c>
      <c r="R28" s="85"/>
      <c r="S28" s="77"/>
      <c r="T28" s="77" t="s">
        <v>36</v>
      </c>
      <c r="U28" s="77" t="s">
        <v>94</v>
      </c>
      <c r="V28" s="77" t="s">
        <v>94</v>
      </c>
      <c r="W28" s="77" t="s">
        <v>95</v>
      </c>
      <c r="X28" s="85" t="str">
        <f>IF(AND(R28&lt;&gt;"",OR(U28="No reply",U28="Unknown")),R28+2,"")</f>
        <v/>
      </c>
      <c r="Y28" s="85"/>
      <c r="Z28" s="77" t="s">
        <v>96</v>
      </c>
      <c r="AA28" s="77" t="str">
        <f>IF(L28="Hold","Do not send",IF(T28="Not sent","Send WhatsApp",IF(U28="Demo booked","Prepare demo",IF(W28="Booked","Prepare demo",IF(AND(X28&lt;&gt;"",Y28=""),"Send follow-up","Review")))))</f>
        <v>Review</v>
      </c>
      <c r="AB28" s="77"/>
      <c r="AC28" s="77" t="s">
        <v>291</v>
      </c>
      <c r="AD28" s="77">
        <f>IF(AA28="Prepare demo",1,IF(AA28="Send follow-up",2,IF(AA28="Send WhatsApp",3,IF(AA28="Review",4,IF(AA28="Do not send",9,5)))))</f>
        <v>4</v>
      </c>
      <c r="AE28" s="77">
        <f>IF(M28="High",1,IF(M28="Medium",2,IF(M28="Normal",3,IF(M28="Hold",9,4))))</f>
        <v>3</v>
      </c>
      <c r="AF28" s="77">
        <f>IF(T28="Read",1,IF(T28="Delivered",2,IF(T28="Sent",3,IF(T28="Not sent",4,IF(T28="Failed",9,5)))))</f>
        <v>2</v>
      </c>
      <c r="AG28" s="77">
        <f>IF(U28="Demo booked",1,IF(U28="Interested",2,IF(U28="Replied",3,IF(U28="No reply",5,IF(U28="Not interested",8,IF(U28="Bad number",9,6))))))</f>
        <v>6</v>
      </c>
      <c r="AH28" s="98">
        <f>AD28*1000+AN28*100+AE28*10+AG28</f>
        <v>4436</v>
      </c>
      <c r="AI28" s="85">
        <f>MAX(IF(R28="",0,R28),IF(Y28="",0,Y28))</f>
        <v>0</v>
      </c>
      <c r="AJ28" s="77" t="str">
        <f ca="1">IF(AND(X28&lt;&gt;"",Y28="",X28&lt;TODAY()),"Overdue",IF(AND(X28&lt;&gt;"",Y28="",X28=TODAY()),"Due today",IF(Y28&lt;&gt;"","Follow-up sent","")))</f>
        <v/>
      </c>
      <c r="AK28" s="50" t="s">
        <v>264</v>
      </c>
      <c r="AL28" s="50" t="s">
        <v>265</v>
      </c>
      <c r="AM28" s="50" t="s">
        <v>266</v>
      </c>
      <c r="AN28" s="50">
        <v>4</v>
      </c>
      <c r="AO28" s="54" t="s">
        <v>322</v>
      </c>
      <c r="AP28" s="101" t="s">
        <v>127</v>
      </c>
      <c r="AQ28" s="103"/>
      <c r="AR28" s="101"/>
    </row>
    <row r="29" spans="1:44" ht="42" customHeight="1" x14ac:dyDescent="0.25">
      <c r="A29" s="77" t="s">
        <v>323</v>
      </c>
      <c r="B29" s="77" t="s">
        <v>324</v>
      </c>
      <c r="C29" s="77" t="s">
        <v>324</v>
      </c>
      <c r="D29" s="82" t="s">
        <v>325</v>
      </c>
      <c r="E29" s="77"/>
      <c r="F29" s="77" t="s">
        <v>259</v>
      </c>
      <c r="G29" s="85"/>
      <c r="H29" s="85">
        <v>46161</v>
      </c>
      <c r="I29" s="77" t="s">
        <v>290</v>
      </c>
      <c r="J29" s="77" t="s">
        <v>272</v>
      </c>
      <c r="K29" s="77" t="str">
        <f>IF(LEN(D29)=10,"OK","Check")</f>
        <v>OK</v>
      </c>
      <c r="L29" s="77" t="s">
        <v>262</v>
      </c>
      <c r="M29" s="77" t="str">
        <f>IF(L29="Hold","Hold",IF(IFERROR(E29,0)&gt;=200,"High",IF(IFERROR(E29,0)&gt;=100,"Medium","Normal")))</f>
        <v>Normal</v>
      </c>
      <c r="N29" s="77" t="s">
        <v>90</v>
      </c>
      <c r="O29" s="77" t="s">
        <v>91</v>
      </c>
      <c r="P29" s="77" t="s">
        <v>92</v>
      </c>
      <c r="Q29" s="90" t="s">
        <v>93</v>
      </c>
      <c r="R29" s="85"/>
      <c r="S29" s="77"/>
      <c r="T29" s="77" t="s">
        <v>36</v>
      </c>
      <c r="U29" s="77" t="s">
        <v>94</v>
      </c>
      <c r="V29" s="77" t="s">
        <v>94</v>
      </c>
      <c r="W29" s="77" t="s">
        <v>95</v>
      </c>
      <c r="X29" s="85" t="str">
        <f>IF(AND(R29&lt;&gt;"",OR(U29="No reply",U29="Unknown")),R29+2,"")</f>
        <v/>
      </c>
      <c r="Y29" s="85"/>
      <c r="Z29" s="77" t="s">
        <v>96</v>
      </c>
      <c r="AA29" s="77" t="str">
        <f>IF(L29="Hold","Do not send",IF(T29="Not sent","Send WhatsApp",IF(U29="Demo booked","Prepare demo",IF(W29="Booked","Prepare demo",IF(AND(X29&lt;&gt;"",Y29=""),"Send follow-up","Review")))))</f>
        <v>Review</v>
      </c>
      <c r="AB29" s="77"/>
      <c r="AC29" s="77" t="s">
        <v>291</v>
      </c>
      <c r="AD29" s="77">
        <f>IF(AA29="Prepare demo",1,IF(AA29="Send follow-up",2,IF(AA29="Send WhatsApp",3,IF(AA29="Review",4,IF(AA29="Do not send",9,5)))))</f>
        <v>4</v>
      </c>
      <c r="AE29" s="77">
        <f>IF(M29="High",1,IF(M29="Medium",2,IF(M29="Normal",3,IF(M29="Hold",9,4))))</f>
        <v>3</v>
      </c>
      <c r="AF29" s="77">
        <f>IF(T29="Read",1,IF(T29="Delivered",2,IF(T29="Sent",3,IF(T29="Not sent",4,IF(T29="Failed",9,5)))))</f>
        <v>2</v>
      </c>
      <c r="AG29" s="77">
        <f>IF(U29="Demo booked",1,IF(U29="Interested",2,IF(U29="Replied",3,IF(U29="No reply",5,IF(U29="Not interested",8,IF(U29="Bad number",9,6))))))</f>
        <v>6</v>
      </c>
      <c r="AH29" s="98">
        <f>AD29*1000+AN29*100+AE29*10+AG29</f>
        <v>4436</v>
      </c>
      <c r="AI29" s="85">
        <f>MAX(IF(R29="",0,R29),IF(Y29="",0,Y29))</f>
        <v>0</v>
      </c>
      <c r="AJ29" s="77" t="str">
        <f ca="1">IF(AND(X29&lt;&gt;"",Y29="",X29&lt;TODAY()),"Overdue",IF(AND(X29&lt;&gt;"",Y29="",X29=TODAY()),"Due today",IF(Y29&lt;&gt;"","Follow-up sent","")))</f>
        <v/>
      </c>
      <c r="AK29" s="50" t="s">
        <v>264</v>
      </c>
      <c r="AL29" s="50" t="s">
        <v>265</v>
      </c>
      <c r="AM29" s="50" t="s">
        <v>266</v>
      </c>
      <c r="AN29" s="50">
        <v>4</v>
      </c>
      <c r="AO29" s="54" t="s">
        <v>326</v>
      </c>
      <c r="AP29" s="57" t="s">
        <v>127</v>
      </c>
      <c r="AQ29" s="58"/>
      <c r="AR29" s="57"/>
    </row>
    <row r="30" spans="1:44" ht="42" customHeight="1" x14ac:dyDescent="0.25">
      <c r="A30" s="77" t="s">
        <v>327</v>
      </c>
      <c r="B30" s="77" t="s">
        <v>328</v>
      </c>
      <c r="C30" s="77" t="s">
        <v>328</v>
      </c>
      <c r="D30" s="82" t="s">
        <v>329</v>
      </c>
      <c r="E30" s="77"/>
      <c r="F30" s="77" t="s">
        <v>259</v>
      </c>
      <c r="G30" s="85"/>
      <c r="H30" s="85">
        <v>46161</v>
      </c>
      <c r="I30" s="77" t="s">
        <v>271</v>
      </c>
      <c r="J30" s="77" t="s">
        <v>272</v>
      </c>
      <c r="K30" s="77" t="str">
        <f>IF(LEN(D30)=10,"OK","Check")</f>
        <v>OK</v>
      </c>
      <c r="L30" s="77" t="s">
        <v>262</v>
      </c>
      <c r="M30" s="77" t="str">
        <f>IF(L30="Hold","Hold",IF(IFERROR(E30,0)&gt;=200,"High",IF(IFERROR(E30,0)&gt;=100,"Medium","Normal")))</f>
        <v>Normal</v>
      </c>
      <c r="N30" s="77" t="s">
        <v>90</v>
      </c>
      <c r="O30" s="77" t="s">
        <v>91</v>
      </c>
      <c r="P30" s="77" t="s">
        <v>92</v>
      </c>
      <c r="Q30" s="90" t="s">
        <v>93</v>
      </c>
      <c r="R30" s="85"/>
      <c r="S30" s="77"/>
      <c r="T30" s="77" t="s">
        <v>21</v>
      </c>
      <c r="U30" s="77" t="s">
        <v>94</v>
      </c>
      <c r="V30" s="77" t="s">
        <v>94</v>
      </c>
      <c r="W30" s="77" t="s">
        <v>95</v>
      </c>
      <c r="X30" s="85" t="str">
        <f>IF(AND(R30&lt;&gt;"",OR(U30="No reply",U30="Unknown")),R30+2,"")</f>
        <v/>
      </c>
      <c r="Y30" s="85"/>
      <c r="Z30" s="77" t="s">
        <v>96</v>
      </c>
      <c r="AA30" s="77" t="str">
        <f>IF(L30="Hold","Do not send",IF(T30="Not sent","Send WhatsApp",IF(U30="Demo booked","Prepare demo",IF(W30="Booked","Prepare demo",IF(AND(X30&lt;&gt;"",Y30=""),"Send follow-up","Review")))))</f>
        <v>Review</v>
      </c>
      <c r="AB30" s="77"/>
      <c r="AC30" s="77" t="s">
        <v>273</v>
      </c>
      <c r="AD30" s="77">
        <f>IF(AA30="Prepare demo",1,IF(AA30="Send follow-up",2,IF(AA30="Send WhatsApp",3,IF(AA30="Review",4,IF(AA30="Do not send",9,5)))))</f>
        <v>4</v>
      </c>
      <c r="AE30" s="77">
        <f>IF(M30="High",1,IF(M30="Medium",2,IF(M30="Normal",3,IF(M30="Hold",9,4))))</f>
        <v>3</v>
      </c>
      <c r="AF30" s="77">
        <f>IF(T30="Read",1,IF(T30="Delivered",2,IF(T30="Sent",3,IF(T30="Not sent",4,IF(T30="Failed",9,5)))))</f>
        <v>3</v>
      </c>
      <c r="AG30" s="77">
        <f>IF(U30="Demo booked",1,IF(U30="Interested",2,IF(U30="Replied",3,IF(U30="No reply",5,IF(U30="Not interested",8,IF(U30="Bad number",9,6))))))</f>
        <v>6</v>
      </c>
      <c r="AH30" s="98">
        <f>AD30*1000+AN30*100+AE30*10+AG30</f>
        <v>4436</v>
      </c>
      <c r="AI30" s="85">
        <f>MAX(IF(R30="",0,R30),IF(Y30="",0,Y30))</f>
        <v>0</v>
      </c>
      <c r="AJ30" s="77" t="str">
        <f ca="1">IF(AND(X30&lt;&gt;"",Y30="",X30&lt;TODAY()),"Overdue",IF(AND(X30&lt;&gt;"",Y30="",X30=TODAY()),"Due today",IF(Y30&lt;&gt;"","Follow-up sent","")))</f>
        <v/>
      </c>
      <c r="AK30" s="50" t="s">
        <v>264</v>
      </c>
      <c r="AL30" s="50" t="s">
        <v>265</v>
      </c>
      <c r="AM30" s="50" t="s">
        <v>266</v>
      </c>
      <c r="AN30" s="50">
        <v>4</v>
      </c>
      <c r="AO30" s="54" t="s">
        <v>330</v>
      </c>
      <c r="AP30" s="57" t="s">
        <v>127</v>
      </c>
      <c r="AQ30" s="58"/>
      <c r="AR30" s="57"/>
    </row>
    <row r="31" spans="1:44" ht="42" customHeight="1" x14ac:dyDescent="0.25">
      <c r="A31" s="77" t="s">
        <v>331</v>
      </c>
      <c r="B31" s="77" t="s">
        <v>332</v>
      </c>
      <c r="C31" s="77" t="s">
        <v>332</v>
      </c>
      <c r="D31" s="82" t="s">
        <v>333</v>
      </c>
      <c r="E31" s="77"/>
      <c r="F31" s="77" t="s">
        <v>259</v>
      </c>
      <c r="G31" s="85"/>
      <c r="H31" s="85">
        <v>46161</v>
      </c>
      <c r="I31" s="77" t="s">
        <v>260</v>
      </c>
      <c r="J31" s="77" t="s">
        <v>272</v>
      </c>
      <c r="K31" s="77" t="str">
        <f>IF(LEN(D31)=10,"OK","Check")</f>
        <v>OK</v>
      </c>
      <c r="L31" s="77" t="s">
        <v>262</v>
      </c>
      <c r="M31" s="77" t="str">
        <f>IF(L31="Hold","Hold",IF(IFERROR(E31,0)&gt;=200,"High",IF(IFERROR(E31,0)&gt;=100,"Medium","Normal")))</f>
        <v>Normal</v>
      </c>
      <c r="N31" s="77" t="s">
        <v>90</v>
      </c>
      <c r="O31" s="77" t="s">
        <v>91</v>
      </c>
      <c r="P31" s="77" t="s">
        <v>92</v>
      </c>
      <c r="Q31" s="90" t="s">
        <v>93</v>
      </c>
      <c r="R31" s="85"/>
      <c r="S31" s="77"/>
      <c r="T31" s="77" t="s">
        <v>36</v>
      </c>
      <c r="U31" s="77" t="s">
        <v>94</v>
      </c>
      <c r="V31" s="77" t="s">
        <v>94</v>
      </c>
      <c r="W31" s="77" t="s">
        <v>95</v>
      </c>
      <c r="X31" s="85" t="str">
        <f>IF(AND(R31&lt;&gt;"",OR(U31="No reply",U31="Unknown")),R31+2,"")</f>
        <v/>
      </c>
      <c r="Y31" s="85"/>
      <c r="Z31" s="77" t="s">
        <v>96</v>
      </c>
      <c r="AA31" s="77" t="str">
        <f>IF(L31="Hold","Do not send",IF(T31="Not sent","Send WhatsApp",IF(U31="Demo booked","Prepare demo",IF(W31="Booked","Prepare demo",IF(AND(X31&lt;&gt;"",Y31=""),"Send follow-up","Review")))))</f>
        <v>Review</v>
      </c>
      <c r="AB31" s="77"/>
      <c r="AC31" s="77" t="s">
        <v>263</v>
      </c>
      <c r="AD31" s="77">
        <f>IF(AA31="Prepare demo",1,IF(AA31="Send follow-up",2,IF(AA31="Send WhatsApp",3,IF(AA31="Review",4,IF(AA31="Do not send",9,5)))))</f>
        <v>4</v>
      </c>
      <c r="AE31" s="77">
        <f>IF(M31="High",1,IF(M31="Medium",2,IF(M31="Normal",3,IF(M31="Hold",9,4))))</f>
        <v>3</v>
      </c>
      <c r="AF31" s="77">
        <f>IF(T31="Read",1,IF(T31="Delivered",2,IF(T31="Sent",3,IF(T31="Not sent",4,IF(T31="Failed",9,5)))))</f>
        <v>2</v>
      </c>
      <c r="AG31" s="77">
        <f>IF(U31="Demo booked",1,IF(U31="Interested",2,IF(U31="Replied",3,IF(U31="No reply",5,IF(U31="Not interested",8,IF(U31="Bad number",9,6))))))</f>
        <v>6</v>
      </c>
      <c r="AH31" s="98">
        <f>AD31*1000+AN31*100+AE31*10+AG31</f>
        <v>4436</v>
      </c>
      <c r="AI31" s="85">
        <f>MAX(IF(R31="",0,R31),IF(Y31="",0,Y31))</f>
        <v>0</v>
      </c>
      <c r="AJ31" s="77" t="str">
        <f ca="1">IF(AND(X31&lt;&gt;"",Y31="",X31&lt;TODAY()),"Overdue",IF(AND(X31&lt;&gt;"",Y31="",X31=TODAY()),"Due today",IF(Y31&lt;&gt;"","Follow-up sent","")))</f>
        <v/>
      </c>
      <c r="AK31" s="50" t="s">
        <v>264</v>
      </c>
      <c r="AL31" s="50" t="s">
        <v>265</v>
      </c>
      <c r="AM31" s="50" t="s">
        <v>266</v>
      </c>
      <c r="AN31" s="50">
        <v>4</v>
      </c>
      <c r="AO31" s="54" t="s">
        <v>334</v>
      </c>
      <c r="AP31" s="57" t="s">
        <v>127</v>
      </c>
      <c r="AQ31" s="58"/>
      <c r="AR31" s="57"/>
    </row>
    <row r="32" spans="1:44" ht="42" customHeight="1" x14ac:dyDescent="0.25">
      <c r="A32" s="77" t="s">
        <v>335</v>
      </c>
      <c r="B32" s="77" t="s">
        <v>336</v>
      </c>
      <c r="C32" s="77" t="s">
        <v>336</v>
      </c>
      <c r="D32" s="82" t="s">
        <v>337</v>
      </c>
      <c r="E32" s="77"/>
      <c r="F32" s="77" t="s">
        <v>259</v>
      </c>
      <c r="G32" s="85"/>
      <c r="H32" s="85">
        <v>46161</v>
      </c>
      <c r="I32" s="77" t="s">
        <v>260</v>
      </c>
      <c r="J32" s="77" t="s">
        <v>272</v>
      </c>
      <c r="K32" s="77" t="str">
        <f>IF(LEN(D32)=10,"OK","Check")</f>
        <v>OK</v>
      </c>
      <c r="L32" s="77" t="s">
        <v>262</v>
      </c>
      <c r="M32" s="77" t="str">
        <f>IF(L32="Hold","Hold",IF(IFERROR(E32,0)&gt;=200,"High",IF(IFERROR(E32,0)&gt;=100,"Medium","Normal")))</f>
        <v>Normal</v>
      </c>
      <c r="N32" s="77" t="s">
        <v>90</v>
      </c>
      <c r="O32" s="77" t="s">
        <v>91</v>
      </c>
      <c r="P32" s="77" t="s">
        <v>92</v>
      </c>
      <c r="Q32" s="90" t="s">
        <v>93</v>
      </c>
      <c r="R32" s="85"/>
      <c r="S32" s="77"/>
      <c r="T32" s="77" t="s">
        <v>36</v>
      </c>
      <c r="U32" s="77" t="s">
        <v>94</v>
      </c>
      <c r="V32" s="77" t="s">
        <v>94</v>
      </c>
      <c r="W32" s="77" t="s">
        <v>95</v>
      </c>
      <c r="X32" s="85" t="str">
        <f>IF(AND(R32&lt;&gt;"",OR(U32="No reply",U32="Unknown")),R32+2,"")</f>
        <v/>
      </c>
      <c r="Y32" s="85"/>
      <c r="Z32" s="77" t="s">
        <v>96</v>
      </c>
      <c r="AA32" s="77" t="str">
        <f>IF(L32="Hold","Do not send",IF(T32="Not sent","Send WhatsApp",IF(U32="Demo booked","Prepare demo",IF(W32="Booked","Prepare demo",IF(AND(X32&lt;&gt;"",Y32=""),"Send follow-up","Review")))))</f>
        <v>Review</v>
      </c>
      <c r="AB32" s="77"/>
      <c r="AC32" s="77" t="s">
        <v>263</v>
      </c>
      <c r="AD32" s="77">
        <f>IF(AA32="Prepare demo",1,IF(AA32="Send follow-up",2,IF(AA32="Send WhatsApp",3,IF(AA32="Review",4,IF(AA32="Do not send",9,5)))))</f>
        <v>4</v>
      </c>
      <c r="AE32" s="77">
        <f>IF(M32="High",1,IF(M32="Medium",2,IF(M32="Normal",3,IF(M32="Hold",9,4))))</f>
        <v>3</v>
      </c>
      <c r="AF32" s="77">
        <f>IF(T32="Read",1,IF(T32="Delivered",2,IF(T32="Sent",3,IF(T32="Not sent",4,IF(T32="Failed",9,5)))))</f>
        <v>2</v>
      </c>
      <c r="AG32" s="77">
        <f>IF(U32="Demo booked",1,IF(U32="Interested",2,IF(U32="Replied",3,IF(U32="No reply",5,IF(U32="Not interested",8,IF(U32="Bad number",9,6))))))</f>
        <v>6</v>
      </c>
      <c r="AH32" s="98">
        <f>AD32*1000+AN32*100+AE32*10+AG32</f>
        <v>4436</v>
      </c>
      <c r="AI32" s="85">
        <f>MAX(IF(R32="",0,R32),IF(Y32="",0,Y32))</f>
        <v>0</v>
      </c>
      <c r="AJ32" s="77" t="str">
        <f ca="1">IF(AND(X32&lt;&gt;"",Y32="",X32&lt;TODAY()),"Overdue",IF(AND(X32&lt;&gt;"",Y32="",X32=TODAY()),"Due today",IF(Y32&lt;&gt;"","Follow-up sent","")))</f>
        <v/>
      </c>
      <c r="AK32" s="50" t="s">
        <v>264</v>
      </c>
      <c r="AL32" s="50" t="s">
        <v>265</v>
      </c>
      <c r="AM32" s="50" t="s">
        <v>266</v>
      </c>
      <c r="AN32" s="50">
        <v>4</v>
      </c>
      <c r="AO32" s="54" t="s">
        <v>338</v>
      </c>
      <c r="AP32" s="57" t="s">
        <v>127</v>
      </c>
      <c r="AQ32" s="58"/>
      <c r="AR32" s="57"/>
    </row>
    <row r="33" spans="1:44" ht="42" customHeight="1" x14ac:dyDescent="0.25">
      <c r="A33" s="77" t="s">
        <v>339</v>
      </c>
      <c r="B33" s="77" t="s">
        <v>340</v>
      </c>
      <c r="C33" s="77" t="s">
        <v>340</v>
      </c>
      <c r="D33" s="82" t="s">
        <v>341</v>
      </c>
      <c r="E33" s="77"/>
      <c r="F33" s="77" t="s">
        <v>259</v>
      </c>
      <c r="G33" s="85"/>
      <c r="H33" s="85">
        <v>46161</v>
      </c>
      <c r="I33" s="77" t="s">
        <v>271</v>
      </c>
      <c r="J33" s="77" t="s">
        <v>272</v>
      </c>
      <c r="K33" s="77" t="str">
        <f>IF(LEN(D33)=10,"OK","Check")</f>
        <v>OK</v>
      </c>
      <c r="L33" s="77" t="s">
        <v>262</v>
      </c>
      <c r="M33" s="77" t="str">
        <f>IF(L33="Hold","Hold",IF(IFERROR(E33,0)&gt;=200,"High",IF(IFERROR(E33,0)&gt;=100,"Medium","Normal")))</f>
        <v>Normal</v>
      </c>
      <c r="N33" s="77" t="s">
        <v>90</v>
      </c>
      <c r="O33" s="77" t="s">
        <v>91</v>
      </c>
      <c r="P33" s="77" t="s">
        <v>92</v>
      </c>
      <c r="Q33" s="90" t="s">
        <v>93</v>
      </c>
      <c r="R33" s="85"/>
      <c r="S33" s="77"/>
      <c r="T33" s="77" t="s">
        <v>36</v>
      </c>
      <c r="U33" s="77" t="s">
        <v>94</v>
      </c>
      <c r="V33" s="77" t="s">
        <v>94</v>
      </c>
      <c r="W33" s="77" t="s">
        <v>95</v>
      </c>
      <c r="X33" s="85" t="str">
        <f>IF(AND(R33&lt;&gt;"",OR(U33="No reply",U33="Unknown")),R33+2,"")</f>
        <v/>
      </c>
      <c r="Y33" s="85"/>
      <c r="Z33" s="77" t="s">
        <v>96</v>
      </c>
      <c r="AA33" s="77" t="str">
        <f>IF(L33="Hold","Do not send",IF(T33="Not sent","Send WhatsApp",IF(U33="Demo booked","Prepare demo",IF(W33="Booked","Prepare demo",IF(AND(X33&lt;&gt;"",Y33=""),"Send follow-up","Review")))))</f>
        <v>Review</v>
      </c>
      <c r="AB33" s="77"/>
      <c r="AC33" s="77" t="s">
        <v>273</v>
      </c>
      <c r="AD33" s="77">
        <f>IF(AA33="Prepare demo",1,IF(AA33="Send follow-up",2,IF(AA33="Send WhatsApp",3,IF(AA33="Review",4,IF(AA33="Do not send",9,5)))))</f>
        <v>4</v>
      </c>
      <c r="AE33" s="77">
        <f>IF(M33="High",1,IF(M33="Medium",2,IF(M33="Normal",3,IF(M33="Hold",9,4))))</f>
        <v>3</v>
      </c>
      <c r="AF33" s="77">
        <f>IF(T33="Read",1,IF(T33="Delivered",2,IF(T33="Sent",3,IF(T33="Not sent",4,IF(T33="Failed",9,5)))))</f>
        <v>2</v>
      </c>
      <c r="AG33" s="77">
        <f>IF(U33="Demo booked",1,IF(U33="Interested",2,IF(U33="Replied",3,IF(U33="No reply",5,IF(U33="Not interested",8,IF(U33="Bad number",9,6))))))</f>
        <v>6</v>
      </c>
      <c r="AH33" s="98">
        <f>AD33*1000+AN33*100+AE33*10+AG33</f>
        <v>4436</v>
      </c>
      <c r="AI33" s="85">
        <f>MAX(IF(R33="",0,R33),IF(Y33="",0,Y33))</f>
        <v>0</v>
      </c>
      <c r="AJ33" s="77" t="str">
        <f ca="1">IF(AND(X33&lt;&gt;"",Y33="",X33&lt;TODAY()),"Overdue",IF(AND(X33&lt;&gt;"",Y33="",X33=TODAY()),"Due today",IF(Y33&lt;&gt;"","Follow-up sent","")))</f>
        <v/>
      </c>
      <c r="AK33" s="50" t="s">
        <v>264</v>
      </c>
      <c r="AL33" s="50" t="s">
        <v>265</v>
      </c>
      <c r="AM33" s="50" t="s">
        <v>266</v>
      </c>
      <c r="AN33" s="50">
        <v>4</v>
      </c>
      <c r="AO33" s="54" t="s">
        <v>342</v>
      </c>
      <c r="AP33" s="57" t="s">
        <v>127</v>
      </c>
      <c r="AQ33" s="58"/>
      <c r="AR33" s="57"/>
    </row>
    <row r="34" spans="1:44" ht="42" customHeight="1" x14ac:dyDescent="0.25">
      <c r="A34" s="77" t="s">
        <v>343</v>
      </c>
      <c r="B34" s="77" t="s">
        <v>344</v>
      </c>
      <c r="C34" s="77" t="s">
        <v>344</v>
      </c>
      <c r="D34" s="82" t="s">
        <v>345</v>
      </c>
      <c r="E34" s="77"/>
      <c r="F34" s="77" t="s">
        <v>259</v>
      </c>
      <c r="G34" s="85"/>
      <c r="H34" s="85">
        <v>46161</v>
      </c>
      <c r="I34" s="77" t="s">
        <v>260</v>
      </c>
      <c r="J34" s="77" t="s">
        <v>272</v>
      </c>
      <c r="K34" s="77" t="str">
        <f>IF(LEN(D34)=10,"OK","Check")</f>
        <v>OK</v>
      </c>
      <c r="L34" s="77" t="s">
        <v>262</v>
      </c>
      <c r="M34" s="77" t="str">
        <f>IF(L34="Hold","Hold",IF(IFERROR(E34,0)&gt;=200,"High",IF(IFERROR(E34,0)&gt;=100,"Medium","Normal")))</f>
        <v>Normal</v>
      </c>
      <c r="N34" s="77" t="s">
        <v>90</v>
      </c>
      <c r="O34" s="77" t="s">
        <v>91</v>
      </c>
      <c r="P34" s="77" t="s">
        <v>92</v>
      </c>
      <c r="Q34" s="90" t="s">
        <v>93</v>
      </c>
      <c r="R34" s="85"/>
      <c r="S34" s="77"/>
      <c r="T34" s="77" t="s">
        <v>36</v>
      </c>
      <c r="U34" s="77" t="s">
        <v>94</v>
      </c>
      <c r="V34" s="77" t="s">
        <v>94</v>
      </c>
      <c r="W34" s="77" t="s">
        <v>95</v>
      </c>
      <c r="X34" s="85" t="str">
        <f>IF(AND(R34&lt;&gt;"",OR(U34="No reply",U34="Unknown")),R34+2,"")</f>
        <v/>
      </c>
      <c r="Y34" s="85"/>
      <c r="Z34" s="77" t="s">
        <v>96</v>
      </c>
      <c r="AA34" s="77" t="str">
        <f>IF(L34="Hold","Do not send",IF(T34="Not sent","Send WhatsApp",IF(U34="Demo booked","Prepare demo",IF(W34="Booked","Prepare demo",IF(AND(X34&lt;&gt;"",Y34=""),"Send follow-up","Review")))))</f>
        <v>Review</v>
      </c>
      <c r="AB34" s="77"/>
      <c r="AC34" s="77" t="s">
        <v>263</v>
      </c>
      <c r="AD34" s="77">
        <f>IF(AA34="Prepare demo",1,IF(AA34="Send follow-up",2,IF(AA34="Send WhatsApp",3,IF(AA34="Review",4,IF(AA34="Do not send",9,5)))))</f>
        <v>4</v>
      </c>
      <c r="AE34" s="77">
        <f>IF(M34="High",1,IF(M34="Medium",2,IF(M34="Normal",3,IF(M34="Hold",9,4))))</f>
        <v>3</v>
      </c>
      <c r="AF34" s="77">
        <f>IF(T34="Read",1,IF(T34="Delivered",2,IF(T34="Sent",3,IF(T34="Not sent",4,IF(T34="Failed",9,5)))))</f>
        <v>2</v>
      </c>
      <c r="AG34" s="77">
        <f>IF(U34="Demo booked",1,IF(U34="Interested",2,IF(U34="Replied",3,IF(U34="No reply",5,IF(U34="Not interested",8,IF(U34="Bad number",9,6))))))</f>
        <v>6</v>
      </c>
      <c r="AH34" s="98">
        <f>AD34*1000+AN34*100+AE34*10+AG34</f>
        <v>4436</v>
      </c>
      <c r="AI34" s="85">
        <f>MAX(IF(R34="",0,R34),IF(Y34="",0,Y34))</f>
        <v>0</v>
      </c>
      <c r="AJ34" s="77" t="str">
        <f ca="1">IF(AND(X34&lt;&gt;"",Y34="",X34&lt;TODAY()),"Overdue",IF(AND(X34&lt;&gt;"",Y34="",X34=TODAY()),"Due today",IF(Y34&lt;&gt;"","Follow-up sent","")))</f>
        <v/>
      </c>
      <c r="AK34" s="50" t="s">
        <v>264</v>
      </c>
      <c r="AL34" s="50" t="s">
        <v>265</v>
      </c>
      <c r="AM34" s="50" t="s">
        <v>266</v>
      </c>
      <c r="AN34" s="50">
        <v>4</v>
      </c>
      <c r="AO34" s="54" t="s">
        <v>346</v>
      </c>
      <c r="AP34" s="57" t="s">
        <v>127</v>
      </c>
      <c r="AQ34" s="58"/>
      <c r="AR34" s="57"/>
    </row>
    <row r="35" spans="1:44" ht="42" customHeight="1" x14ac:dyDescent="0.25">
      <c r="A35" s="77" t="s">
        <v>347</v>
      </c>
      <c r="B35" s="77" t="s">
        <v>348</v>
      </c>
      <c r="C35" s="77" t="s">
        <v>348</v>
      </c>
      <c r="D35" s="82" t="s">
        <v>349</v>
      </c>
      <c r="E35" s="77"/>
      <c r="F35" s="77" t="s">
        <v>259</v>
      </c>
      <c r="G35" s="85"/>
      <c r="H35" s="85">
        <v>46161</v>
      </c>
      <c r="I35" s="77" t="s">
        <v>260</v>
      </c>
      <c r="J35" s="77" t="s">
        <v>272</v>
      </c>
      <c r="K35" s="77" t="str">
        <f>IF(LEN(D35)=10,"OK","Check")</f>
        <v>OK</v>
      </c>
      <c r="L35" s="77" t="s">
        <v>262</v>
      </c>
      <c r="M35" s="77" t="str">
        <f>IF(L35="Hold","Hold",IF(IFERROR(E35,0)&gt;=200,"High",IF(IFERROR(E35,0)&gt;=100,"Medium","Normal")))</f>
        <v>Normal</v>
      </c>
      <c r="N35" s="77" t="s">
        <v>90</v>
      </c>
      <c r="O35" s="77" t="s">
        <v>91</v>
      </c>
      <c r="P35" s="77" t="s">
        <v>92</v>
      </c>
      <c r="Q35" s="90" t="s">
        <v>93</v>
      </c>
      <c r="R35" s="85"/>
      <c r="S35" s="77"/>
      <c r="T35" s="77" t="s">
        <v>36</v>
      </c>
      <c r="U35" s="77" t="s">
        <v>94</v>
      </c>
      <c r="V35" s="77" t="s">
        <v>94</v>
      </c>
      <c r="W35" s="77" t="s">
        <v>95</v>
      </c>
      <c r="X35" s="85" t="str">
        <f>IF(AND(R35&lt;&gt;"",OR(U35="No reply",U35="Unknown")),R35+2,"")</f>
        <v/>
      </c>
      <c r="Y35" s="85"/>
      <c r="Z35" s="77" t="s">
        <v>96</v>
      </c>
      <c r="AA35" s="77" t="str">
        <f>IF(L35="Hold","Do not send",IF(T35="Not sent","Send WhatsApp",IF(U35="Demo booked","Prepare demo",IF(W35="Booked","Prepare demo",IF(AND(X35&lt;&gt;"",Y35=""),"Send follow-up","Review")))))</f>
        <v>Review</v>
      </c>
      <c r="AB35" s="77"/>
      <c r="AC35" s="77" t="s">
        <v>263</v>
      </c>
      <c r="AD35" s="77">
        <f>IF(AA35="Prepare demo",1,IF(AA35="Send follow-up",2,IF(AA35="Send WhatsApp",3,IF(AA35="Review",4,IF(AA35="Do not send",9,5)))))</f>
        <v>4</v>
      </c>
      <c r="AE35" s="77">
        <f>IF(M35="High",1,IF(M35="Medium",2,IF(M35="Normal",3,IF(M35="Hold",9,4))))</f>
        <v>3</v>
      </c>
      <c r="AF35" s="77">
        <f>IF(T35="Read",1,IF(T35="Delivered",2,IF(T35="Sent",3,IF(T35="Not sent",4,IF(T35="Failed",9,5)))))</f>
        <v>2</v>
      </c>
      <c r="AG35" s="77">
        <f>IF(U35="Demo booked",1,IF(U35="Interested",2,IF(U35="Replied",3,IF(U35="No reply",5,IF(U35="Not interested",8,IF(U35="Bad number",9,6))))))</f>
        <v>6</v>
      </c>
      <c r="AH35" s="98">
        <f>AD35*1000+AN35*100+AE35*10+AG35</f>
        <v>4436</v>
      </c>
      <c r="AI35" s="85">
        <f>MAX(IF(R35="",0,R35),IF(Y35="",0,Y35))</f>
        <v>0</v>
      </c>
      <c r="AJ35" s="77" t="str">
        <f ca="1">IF(AND(X35&lt;&gt;"",Y35="",X35&lt;TODAY()),"Overdue",IF(AND(X35&lt;&gt;"",Y35="",X35=TODAY()),"Due today",IF(Y35&lt;&gt;"","Follow-up sent","")))</f>
        <v/>
      </c>
      <c r="AK35" s="50" t="s">
        <v>264</v>
      </c>
      <c r="AL35" s="50" t="s">
        <v>265</v>
      </c>
      <c r="AM35" s="50" t="s">
        <v>266</v>
      </c>
      <c r="AN35" s="50">
        <v>4</v>
      </c>
      <c r="AO35" s="54" t="s">
        <v>350</v>
      </c>
      <c r="AP35" s="57" t="s">
        <v>127</v>
      </c>
      <c r="AQ35" s="58"/>
      <c r="AR35" s="57"/>
    </row>
    <row r="36" spans="1:44" ht="42" customHeight="1" x14ac:dyDescent="0.25">
      <c r="A36" s="77" t="s">
        <v>351</v>
      </c>
      <c r="B36" s="77" t="s">
        <v>352</v>
      </c>
      <c r="C36" s="77" t="s">
        <v>352</v>
      </c>
      <c r="D36" s="110" t="s">
        <v>353</v>
      </c>
      <c r="E36" s="77"/>
      <c r="F36" s="77" t="s">
        <v>259</v>
      </c>
      <c r="G36" s="85"/>
      <c r="H36" s="85">
        <v>46161</v>
      </c>
      <c r="I36" s="77" t="s">
        <v>290</v>
      </c>
      <c r="J36" s="77" t="s">
        <v>272</v>
      </c>
      <c r="K36" s="77" t="str">
        <f>IF(LEN(D36)=10,"OK","Check")</f>
        <v>OK</v>
      </c>
      <c r="L36" s="77" t="s">
        <v>262</v>
      </c>
      <c r="M36" s="77" t="str">
        <f>IF(L36="Hold","Hold",IF(IFERROR(E36,0)&gt;=200,"High",IF(IFERROR(E36,0)&gt;=100,"Medium","Normal")))</f>
        <v>Normal</v>
      </c>
      <c r="N36" s="77" t="s">
        <v>90</v>
      </c>
      <c r="O36" s="77" t="s">
        <v>91</v>
      </c>
      <c r="P36" s="77" t="s">
        <v>92</v>
      </c>
      <c r="Q36" s="90" t="s">
        <v>93</v>
      </c>
      <c r="R36" s="85"/>
      <c r="S36" s="77"/>
      <c r="T36" s="77" t="s">
        <v>40</v>
      </c>
      <c r="U36" s="77" t="s">
        <v>94</v>
      </c>
      <c r="V36" s="77" t="s">
        <v>94</v>
      </c>
      <c r="W36" s="77" t="s">
        <v>95</v>
      </c>
      <c r="X36" s="85" t="str">
        <f>IF(AND(R36&lt;&gt;"",OR(U36="No reply",U36="Unknown")),R36+2,"")</f>
        <v/>
      </c>
      <c r="Y36" s="85"/>
      <c r="Z36" s="77" t="s">
        <v>96</v>
      </c>
      <c r="AA36" s="77" t="str">
        <f>IF(L36="Hold","Do not send",IF(T36="Not sent","Send WhatsApp",IF(U36="Demo booked","Prepare demo",IF(W36="Booked","Prepare demo",IF(AND(X36&lt;&gt;"",Y36=""),"Send follow-up","Review")))))</f>
        <v>Review</v>
      </c>
      <c r="AB36" s="77"/>
      <c r="AC36" s="77" t="s">
        <v>291</v>
      </c>
      <c r="AD36" s="77">
        <f>IF(AA36="Prepare demo",1,IF(AA36="Send follow-up",2,IF(AA36="Send WhatsApp",3,IF(AA36="Review",4,IF(AA36="Do not send",9,5)))))</f>
        <v>4</v>
      </c>
      <c r="AE36" s="77">
        <f>IF(M36="High",1,IF(M36="Medium",2,IF(M36="Normal",3,IF(M36="Hold",9,4))))</f>
        <v>3</v>
      </c>
      <c r="AF36" s="77">
        <f>IF(T36="Read",1,IF(T36="Delivered",2,IF(T36="Sent",3,IF(T36="Not sent",4,IF(T36="Failed",9,5)))))</f>
        <v>9</v>
      </c>
      <c r="AG36" s="77">
        <f>IF(U36="Demo booked",1,IF(U36="Interested",2,IF(U36="Replied",3,IF(U36="No reply",5,IF(U36="Not interested",8,IF(U36="Bad number",9,6))))))</f>
        <v>6</v>
      </c>
      <c r="AH36" s="98">
        <f>AD36*1000+AN36*100+AE36*10+AG36</f>
        <v>4436</v>
      </c>
      <c r="AI36" s="85">
        <f>MAX(IF(R36="",0,R36),IF(Y36="",0,Y36))</f>
        <v>0</v>
      </c>
      <c r="AJ36" s="77" t="str">
        <f ca="1">IF(AND(X36&lt;&gt;"",Y36="",X36&lt;TODAY()),"Overdue",IF(AND(X36&lt;&gt;"",Y36="",X36=TODAY()),"Due today",IF(Y36&lt;&gt;"","Follow-up sent","")))</f>
        <v/>
      </c>
      <c r="AK36" s="50" t="s">
        <v>264</v>
      </c>
      <c r="AL36" s="50" t="s">
        <v>265</v>
      </c>
      <c r="AM36" s="50" t="s">
        <v>266</v>
      </c>
      <c r="AN36" s="50">
        <v>4</v>
      </c>
      <c r="AO36" s="54" t="s">
        <v>354</v>
      </c>
      <c r="AP36" s="57" t="s">
        <v>127</v>
      </c>
      <c r="AQ36" s="58"/>
      <c r="AR36" s="57"/>
    </row>
    <row r="37" spans="1:44" ht="42" customHeight="1" x14ac:dyDescent="0.25">
      <c r="A37" s="77" t="s">
        <v>355</v>
      </c>
      <c r="B37" s="77" t="s">
        <v>356</v>
      </c>
      <c r="C37" s="77" t="s">
        <v>356</v>
      </c>
      <c r="D37" s="82" t="s">
        <v>357</v>
      </c>
      <c r="E37" s="77"/>
      <c r="F37" s="77" t="s">
        <v>259</v>
      </c>
      <c r="G37" s="85"/>
      <c r="H37" s="85">
        <v>46161</v>
      </c>
      <c r="I37" s="77" t="s">
        <v>358</v>
      </c>
      <c r="J37" s="77" t="s">
        <v>359</v>
      </c>
      <c r="K37" s="77" t="str">
        <f>IF(LEN(D37)=10,"OK","Check")</f>
        <v>OK</v>
      </c>
      <c r="L37" s="77" t="s">
        <v>262</v>
      </c>
      <c r="M37" s="77" t="str">
        <f>IF(L37="Hold","Hold",IF(IFERROR(E37,0)&gt;=200,"High",IF(IFERROR(E37,0)&gt;=100,"Medium","Normal")))</f>
        <v>Normal</v>
      </c>
      <c r="N37" s="77" t="s">
        <v>90</v>
      </c>
      <c r="O37" s="77" t="s">
        <v>91</v>
      </c>
      <c r="P37" s="77" t="s">
        <v>92</v>
      </c>
      <c r="Q37" s="90" t="s">
        <v>93</v>
      </c>
      <c r="R37" s="85"/>
      <c r="S37" s="77"/>
      <c r="T37" s="77" t="s">
        <v>36</v>
      </c>
      <c r="U37" s="77" t="s">
        <v>94</v>
      </c>
      <c r="V37" s="77" t="s">
        <v>94</v>
      </c>
      <c r="W37" s="77" t="s">
        <v>95</v>
      </c>
      <c r="X37" s="85" t="str">
        <f>IF(AND(R37&lt;&gt;"",OR(U37="No reply",U37="Unknown")),R37+2,"")</f>
        <v/>
      </c>
      <c r="Y37" s="85"/>
      <c r="Z37" s="77" t="s">
        <v>96</v>
      </c>
      <c r="AA37" s="77" t="str">
        <f>IF(L37="Hold","Do not send",IF(T37="Not sent","Send WhatsApp",IF(U37="Demo booked","Prepare demo",IF(W37="Booked","Prepare demo",IF(AND(X37&lt;&gt;"",Y37=""),"Send follow-up","Review")))))</f>
        <v>Review</v>
      </c>
      <c r="AB37" s="77"/>
      <c r="AC37" s="77" t="s">
        <v>360</v>
      </c>
      <c r="AD37" s="77">
        <f>IF(AA37="Prepare demo",1,IF(AA37="Send follow-up",2,IF(AA37="Send WhatsApp",3,IF(AA37="Review",4,IF(AA37="Do not send",9,5)))))</f>
        <v>4</v>
      </c>
      <c r="AE37" s="77">
        <f>IF(M37="High",1,IF(M37="Medium",2,IF(M37="Normal",3,IF(M37="Hold",9,4))))</f>
        <v>3</v>
      </c>
      <c r="AF37" s="77">
        <f>IF(T37="Read",1,IF(T37="Delivered",2,IF(T37="Sent",3,IF(T37="Not sent",4,IF(T37="Failed",9,5)))))</f>
        <v>2</v>
      </c>
      <c r="AG37" s="77">
        <f>IF(U37="Demo booked",1,IF(U37="Interested",2,IF(U37="Replied",3,IF(U37="No reply",5,IF(U37="Not interested",8,IF(U37="Bad number",9,6))))))</f>
        <v>6</v>
      </c>
      <c r="AH37" s="98">
        <f>AD37*1000+AN37*100+AE37*10+AG37</f>
        <v>4436</v>
      </c>
      <c r="AI37" s="85">
        <f>MAX(IF(R37="",0,R37),IF(Y37="",0,Y37))</f>
        <v>0</v>
      </c>
      <c r="AJ37" s="77" t="str">
        <f ca="1">IF(AND(X37&lt;&gt;"",Y37="",X37&lt;TODAY()),"Overdue",IF(AND(X37&lt;&gt;"",Y37="",X37=TODAY()),"Due today",IF(Y37&lt;&gt;"","Follow-up sent","")))</f>
        <v/>
      </c>
      <c r="AK37" s="50" t="s">
        <v>264</v>
      </c>
      <c r="AL37" s="50" t="s">
        <v>265</v>
      </c>
      <c r="AM37" s="50" t="s">
        <v>266</v>
      </c>
      <c r="AN37" s="50">
        <v>4</v>
      </c>
      <c r="AO37" s="54" t="s">
        <v>361</v>
      </c>
      <c r="AP37" s="57" t="s">
        <v>127</v>
      </c>
      <c r="AQ37" s="58"/>
      <c r="AR37" s="57"/>
    </row>
    <row r="38" spans="1:44" ht="42" customHeight="1" x14ac:dyDescent="0.25">
      <c r="A38" s="77" t="s">
        <v>362</v>
      </c>
      <c r="B38" s="77" t="s">
        <v>363</v>
      </c>
      <c r="C38" s="77" t="s">
        <v>363</v>
      </c>
      <c r="D38" s="82" t="s">
        <v>364</v>
      </c>
      <c r="E38" s="77"/>
      <c r="F38" s="77" t="s">
        <v>259</v>
      </c>
      <c r="G38" s="85"/>
      <c r="H38" s="85">
        <v>46161</v>
      </c>
      <c r="I38" s="77" t="s">
        <v>290</v>
      </c>
      <c r="J38" s="77" t="s">
        <v>272</v>
      </c>
      <c r="K38" s="77" t="str">
        <f>IF(LEN(D38)=10,"OK","Check")</f>
        <v>OK</v>
      </c>
      <c r="L38" s="77" t="s">
        <v>262</v>
      </c>
      <c r="M38" s="77" t="str">
        <f>IF(L38="Hold","Hold",IF(IFERROR(E38,0)&gt;=200,"High",IF(IFERROR(E38,0)&gt;=100,"Medium","Normal")))</f>
        <v>Normal</v>
      </c>
      <c r="N38" s="77" t="s">
        <v>90</v>
      </c>
      <c r="O38" s="77" t="s">
        <v>91</v>
      </c>
      <c r="P38" s="77" t="s">
        <v>92</v>
      </c>
      <c r="Q38" s="90" t="s">
        <v>93</v>
      </c>
      <c r="R38" s="85"/>
      <c r="S38" s="77"/>
      <c r="T38" s="77" t="s">
        <v>36</v>
      </c>
      <c r="U38" s="77" t="s">
        <v>94</v>
      </c>
      <c r="V38" s="77" t="s">
        <v>94</v>
      </c>
      <c r="W38" s="77" t="s">
        <v>95</v>
      </c>
      <c r="X38" s="85" t="str">
        <f>IF(AND(R38&lt;&gt;"",OR(U38="No reply",U38="Unknown")),R38+2,"")</f>
        <v/>
      </c>
      <c r="Y38" s="85"/>
      <c r="Z38" s="77" t="s">
        <v>96</v>
      </c>
      <c r="AA38" s="77" t="str">
        <f>IF(L38="Hold","Do not send",IF(T38="Not sent","Send WhatsApp",IF(U38="Demo booked","Prepare demo",IF(W38="Booked","Prepare demo",IF(AND(X38&lt;&gt;"",Y38=""),"Send follow-up","Review")))))</f>
        <v>Review</v>
      </c>
      <c r="AB38" s="77"/>
      <c r="AC38" s="77" t="s">
        <v>291</v>
      </c>
      <c r="AD38" s="77">
        <f>IF(AA38="Prepare demo",1,IF(AA38="Send follow-up",2,IF(AA38="Send WhatsApp",3,IF(AA38="Review",4,IF(AA38="Do not send",9,5)))))</f>
        <v>4</v>
      </c>
      <c r="AE38" s="77">
        <f>IF(M38="High",1,IF(M38="Medium",2,IF(M38="Normal",3,IF(M38="Hold",9,4))))</f>
        <v>3</v>
      </c>
      <c r="AF38" s="77">
        <f>IF(T38="Read",1,IF(T38="Delivered",2,IF(T38="Sent",3,IF(T38="Not sent",4,IF(T38="Failed",9,5)))))</f>
        <v>2</v>
      </c>
      <c r="AG38" s="77">
        <f>IF(U38="Demo booked",1,IF(U38="Interested",2,IF(U38="Replied",3,IF(U38="No reply",5,IF(U38="Not interested",8,IF(U38="Bad number",9,6))))))</f>
        <v>6</v>
      </c>
      <c r="AH38" s="98">
        <f>AD38*1000+AN38*100+AE38*10+AG38</f>
        <v>4436</v>
      </c>
      <c r="AI38" s="85">
        <f>MAX(IF(R38="",0,R38),IF(Y38="",0,Y38))</f>
        <v>0</v>
      </c>
      <c r="AJ38" s="77" t="str">
        <f ca="1">IF(AND(X38&lt;&gt;"",Y38="",X38&lt;TODAY()),"Overdue",IF(AND(X38&lt;&gt;"",Y38="",X38=TODAY()),"Due today",IF(Y38&lt;&gt;"","Follow-up sent","")))</f>
        <v/>
      </c>
      <c r="AK38" s="50" t="s">
        <v>264</v>
      </c>
      <c r="AL38" s="50" t="s">
        <v>265</v>
      </c>
      <c r="AM38" s="50" t="s">
        <v>266</v>
      </c>
      <c r="AN38" s="50">
        <v>4</v>
      </c>
      <c r="AO38" s="54" t="s">
        <v>365</v>
      </c>
      <c r="AP38" s="57" t="s">
        <v>127</v>
      </c>
      <c r="AQ38" s="58"/>
      <c r="AR38" s="57"/>
    </row>
    <row r="39" spans="1:44" ht="42" customHeight="1" x14ac:dyDescent="0.25">
      <c r="A39" s="43" t="s">
        <v>366</v>
      </c>
      <c r="B39" s="43" t="s">
        <v>367</v>
      </c>
      <c r="C39" s="43" t="s">
        <v>367</v>
      </c>
      <c r="D39" s="44" t="s">
        <v>368</v>
      </c>
      <c r="E39" s="43"/>
      <c r="F39" s="43" t="s">
        <v>259</v>
      </c>
      <c r="G39" s="45"/>
      <c r="H39" s="45">
        <v>46161</v>
      </c>
      <c r="I39" s="43" t="s">
        <v>260</v>
      </c>
      <c r="J39" s="43" t="s">
        <v>261</v>
      </c>
      <c r="K39" s="43" t="str">
        <f>IF(LEN(D39)=10,"OK","Check")</f>
        <v>OK</v>
      </c>
      <c r="L39" s="43" t="s">
        <v>262</v>
      </c>
      <c r="M39" s="43" t="str">
        <f>IF(L39="Hold","Hold",IF(IFERROR(E39,0)&gt;=200,"High",IF(IFERROR(E39,0)&gt;=100,"Medium","Normal")))</f>
        <v>Normal</v>
      </c>
      <c r="N39" s="43" t="s">
        <v>90</v>
      </c>
      <c r="O39" s="43" t="s">
        <v>91</v>
      </c>
      <c r="P39" s="43" t="s">
        <v>92</v>
      </c>
      <c r="Q39" s="94" t="s">
        <v>93</v>
      </c>
      <c r="R39" s="45"/>
      <c r="S39" s="43"/>
      <c r="T39" s="109" t="s">
        <v>36</v>
      </c>
      <c r="U39" s="43" t="s">
        <v>94</v>
      </c>
      <c r="V39" s="43" t="s">
        <v>94</v>
      </c>
      <c r="W39" s="43" t="s">
        <v>95</v>
      </c>
      <c r="X39" s="45" t="str">
        <f>IF(AND(R39&lt;&gt;"",OR(U39="No reply",U39="Unknown")),R39+2,"")</f>
        <v/>
      </c>
      <c r="Y39" s="45"/>
      <c r="Z39" s="43" t="s">
        <v>96</v>
      </c>
      <c r="AA39" s="43" t="str">
        <f>IF(L39="Hold","Do not send",IF(T39="Not sent","Send WhatsApp",IF(U39="Demo booked","Prepare demo",IF(W39="Booked","Prepare demo",IF(AND(X39&lt;&gt;"",Y39=""),"Send follow-up","Review")))))</f>
        <v>Review</v>
      </c>
      <c r="AB39" s="43"/>
      <c r="AC39" s="43" t="s">
        <v>263</v>
      </c>
      <c r="AD39" s="43">
        <f>IF(AA39="Prepare demo",1,IF(AA39="Send follow-up",2,IF(AA39="Send WhatsApp",3,IF(AA39="Review",4,IF(AA39="Do not send",9,5)))))</f>
        <v>4</v>
      </c>
      <c r="AE39" s="43">
        <f>IF(M39="High",1,IF(M39="Medium",2,IF(M39="Normal",3,IF(M39="Hold",9,4))))</f>
        <v>3</v>
      </c>
      <c r="AF39" s="43">
        <f>IF(T39="Read",1,IF(T39="Delivered",2,IF(T39="Sent",3,IF(T39="Not sent",4,IF(T39="Failed",9,5)))))</f>
        <v>2</v>
      </c>
      <c r="AG39" s="43">
        <f>IF(U39="Demo booked",1,IF(U39="Interested",2,IF(U39="Replied",3,IF(U39="No reply",5,IF(U39="Not interested",8,IF(U39="Bad number",9,6))))))</f>
        <v>6</v>
      </c>
      <c r="AH39" s="46">
        <f>AD39*1000+AN39*100+AE39*10+AG39</f>
        <v>4436</v>
      </c>
      <c r="AI39" s="45">
        <f>MAX(IF(R39="",0,R39),IF(Y39="",0,Y39))</f>
        <v>0</v>
      </c>
      <c r="AJ39" s="43" t="str">
        <f ca="1">IF(AND(X39&lt;&gt;"",Y39="",X39&lt;TODAY()),"Overdue",IF(AND(X39&lt;&gt;"",Y39="",X39=TODAY()),"Due today",IF(Y39&lt;&gt;"","Follow-up sent","")))</f>
        <v/>
      </c>
      <c r="AK39" s="50" t="s">
        <v>264</v>
      </c>
      <c r="AL39" s="50" t="s">
        <v>265</v>
      </c>
      <c r="AM39" s="50" t="s">
        <v>266</v>
      </c>
      <c r="AN39" s="50">
        <v>4</v>
      </c>
      <c r="AO39" s="54" t="s">
        <v>369</v>
      </c>
      <c r="AP39" s="57" t="s">
        <v>127</v>
      </c>
      <c r="AQ39" s="58"/>
      <c r="AR39" s="57"/>
    </row>
    <row r="40" spans="1:44" ht="51.75" customHeight="1" x14ac:dyDescent="0.25">
      <c r="A40" s="43" t="s">
        <v>370</v>
      </c>
      <c r="B40" s="43" t="s">
        <v>371</v>
      </c>
      <c r="C40" s="43" t="s">
        <v>371</v>
      </c>
      <c r="D40" s="44" t="s">
        <v>372</v>
      </c>
      <c r="E40" s="43"/>
      <c r="F40" s="43" t="s">
        <v>259</v>
      </c>
      <c r="G40" s="45"/>
      <c r="H40" s="45">
        <v>46161</v>
      </c>
      <c r="I40" s="43" t="s">
        <v>260</v>
      </c>
      <c r="J40" s="43" t="s">
        <v>272</v>
      </c>
      <c r="K40" s="43" t="str">
        <f>IF(LEN(D40)=10,"OK","Check")</f>
        <v>OK</v>
      </c>
      <c r="L40" s="43" t="s">
        <v>262</v>
      </c>
      <c r="M40" s="43" t="str">
        <f>IF(L40="Hold","Hold",IF(IFERROR(E40,0)&gt;=200,"High",IF(IFERROR(E40,0)&gt;=100,"Medium","Normal")))</f>
        <v>Normal</v>
      </c>
      <c r="N40" s="43" t="s">
        <v>90</v>
      </c>
      <c r="O40" s="43" t="s">
        <v>91</v>
      </c>
      <c r="P40" s="43" t="s">
        <v>92</v>
      </c>
      <c r="Q40" s="17" t="s">
        <v>93</v>
      </c>
      <c r="R40" s="45"/>
      <c r="S40" s="43"/>
      <c r="T40" s="109" t="s">
        <v>36</v>
      </c>
      <c r="U40" s="43" t="s">
        <v>94</v>
      </c>
      <c r="V40" s="43" t="s">
        <v>94</v>
      </c>
      <c r="W40" s="43" t="s">
        <v>95</v>
      </c>
      <c r="X40" s="45" t="str">
        <f>IF(AND(R40&lt;&gt;"",OR(U40="No reply",U40="Unknown")),R40+2,"")</f>
        <v/>
      </c>
      <c r="Y40" s="45"/>
      <c r="Z40" s="43" t="s">
        <v>96</v>
      </c>
      <c r="AA40" s="43" t="str">
        <f>IF(L40="Hold","Do not send",IF(T40="Not sent","Send WhatsApp",IF(U40="Demo booked","Prepare demo",IF(W40="Booked","Prepare demo",IF(AND(X40&lt;&gt;"",Y40=""),"Send follow-up","Review")))))</f>
        <v>Review</v>
      </c>
      <c r="AB40" s="43"/>
      <c r="AC40" s="43" t="s">
        <v>263</v>
      </c>
      <c r="AD40" s="43">
        <f>IF(AA40="Prepare demo",1,IF(AA40="Send follow-up",2,IF(AA40="Send WhatsApp",3,IF(AA40="Review",4,IF(AA40="Do not send",9,5)))))</f>
        <v>4</v>
      </c>
      <c r="AE40" s="43">
        <f>IF(M40="High",1,IF(M40="Medium",2,IF(M40="Normal",3,IF(M40="Hold",9,4))))</f>
        <v>3</v>
      </c>
      <c r="AF40" s="43">
        <f>IF(T40="Read",1,IF(T40="Delivered",2,IF(T40="Sent",3,IF(T40="Not sent",4,IF(T40="Failed",9,5)))))</f>
        <v>2</v>
      </c>
      <c r="AG40" s="43">
        <f>IF(U40="Demo booked",1,IF(U40="Interested",2,IF(U40="Replied",3,IF(U40="No reply",5,IF(U40="Not interested",8,IF(U40="Bad number",9,6))))))</f>
        <v>6</v>
      </c>
      <c r="AH40" s="46">
        <f>AD40*1000+AN40*100+AE40*10+AG40</f>
        <v>4436</v>
      </c>
      <c r="AI40" s="45">
        <f>MAX(IF(R40="",0,R40),IF(Y40="",0,Y40))</f>
        <v>0</v>
      </c>
      <c r="AJ40" s="43" t="str">
        <f ca="1">IF(AND(X40&lt;&gt;"",Y40="",X40&lt;TODAY()),"Overdue",IF(AND(X40&lt;&gt;"",Y40="",X40=TODAY()),"Due today",IF(Y40&lt;&gt;"","Follow-up sent","")))</f>
        <v/>
      </c>
      <c r="AK40" s="50" t="s">
        <v>264</v>
      </c>
      <c r="AL40" s="50" t="s">
        <v>265</v>
      </c>
      <c r="AM40" s="50" t="s">
        <v>266</v>
      </c>
      <c r="AN40" s="50">
        <v>4</v>
      </c>
      <c r="AO40" s="54" t="s">
        <v>373</v>
      </c>
      <c r="AP40" s="57" t="s">
        <v>127</v>
      </c>
      <c r="AQ40" s="58"/>
      <c r="AR40" s="57"/>
    </row>
    <row r="41" spans="1:44" ht="121.5" x14ac:dyDescent="0.25">
      <c r="A41" s="43" t="s">
        <v>374</v>
      </c>
      <c r="B41" s="43" t="s">
        <v>375</v>
      </c>
      <c r="C41" s="43" t="s">
        <v>375</v>
      </c>
      <c r="D41" s="44" t="s">
        <v>376</v>
      </c>
      <c r="E41" s="43"/>
      <c r="F41" s="43" t="s">
        <v>259</v>
      </c>
      <c r="G41" s="45"/>
      <c r="H41" s="45">
        <v>46161</v>
      </c>
      <c r="I41" s="43" t="s">
        <v>260</v>
      </c>
      <c r="J41" s="43" t="s">
        <v>272</v>
      </c>
      <c r="K41" s="43" t="str">
        <f>IF(LEN(D41)=10,"OK","Check")</f>
        <v>OK</v>
      </c>
      <c r="L41" s="43" t="s">
        <v>262</v>
      </c>
      <c r="M41" s="43" t="str">
        <f>IF(L41="Hold","Hold",IF(IFERROR(E41,0)&gt;=200,"High",IF(IFERROR(E41,0)&gt;=100,"Medium","Normal")))</f>
        <v>Normal</v>
      </c>
      <c r="N41" s="43" t="s">
        <v>90</v>
      </c>
      <c r="O41" s="43" t="s">
        <v>91</v>
      </c>
      <c r="P41" s="43" t="s">
        <v>92</v>
      </c>
      <c r="Q41" s="17" t="s">
        <v>93</v>
      </c>
      <c r="R41" s="45"/>
      <c r="S41" s="43"/>
      <c r="T41" s="109" t="s">
        <v>36</v>
      </c>
      <c r="U41" s="43" t="s">
        <v>94</v>
      </c>
      <c r="V41" s="43" t="s">
        <v>94</v>
      </c>
      <c r="W41" s="43" t="s">
        <v>95</v>
      </c>
      <c r="X41" s="45" t="str">
        <f>IF(AND(R41&lt;&gt;"",OR(U41="No reply",U41="Unknown")),R41+2,"")</f>
        <v/>
      </c>
      <c r="Y41" s="45"/>
      <c r="Z41" s="43" t="s">
        <v>96</v>
      </c>
      <c r="AA41" s="43" t="str">
        <f>IF(L41="Hold","Do not send",IF(T41="Not sent","Send WhatsApp",IF(U41="Demo booked","Prepare demo",IF(W41="Booked","Prepare demo",IF(AND(X41&lt;&gt;"",Y41=""),"Send follow-up","Review")))))</f>
        <v>Review</v>
      </c>
      <c r="AB41" s="43"/>
      <c r="AC41" s="43" t="s">
        <v>263</v>
      </c>
      <c r="AD41" s="43">
        <f>IF(AA41="Prepare demo",1,IF(AA41="Send follow-up",2,IF(AA41="Send WhatsApp",3,IF(AA41="Review",4,IF(AA41="Do not send",9,5)))))</f>
        <v>4</v>
      </c>
      <c r="AE41" s="43">
        <f>IF(M41="High",1,IF(M41="Medium",2,IF(M41="Normal",3,IF(M41="Hold",9,4))))</f>
        <v>3</v>
      </c>
      <c r="AF41" s="43">
        <f>IF(T41="Read",1,IF(T41="Delivered",2,IF(T41="Sent",3,IF(T41="Not sent",4,IF(T41="Failed",9,5)))))</f>
        <v>2</v>
      </c>
      <c r="AG41" s="43">
        <f>IF(U41="Demo booked",1,IF(U41="Interested",2,IF(U41="Replied",3,IF(U41="No reply",5,IF(U41="Not interested",8,IF(U41="Bad number",9,6))))))</f>
        <v>6</v>
      </c>
      <c r="AH41" s="46">
        <f>AD41*1000+AN41*100+AE41*10+AG41</f>
        <v>4436</v>
      </c>
      <c r="AI41" s="45">
        <f>MAX(IF(R41="",0,R41),IF(Y41="",0,Y41))</f>
        <v>0</v>
      </c>
      <c r="AJ41" s="43" t="str">
        <f ca="1">IF(AND(X41&lt;&gt;"",Y41="",X41&lt;TODAY()),"Overdue",IF(AND(X41&lt;&gt;"",Y41="",X41=TODAY()),"Due today",IF(Y41&lt;&gt;"","Follow-up sent","")))</f>
        <v/>
      </c>
      <c r="AK41" s="50" t="s">
        <v>264</v>
      </c>
      <c r="AL41" s="50" t="s">
        <v>265</v>
      </c>
      <c r="AM41" s="50" t="s">
        <v>266</v>
      </c>
      <c r="AN41" s="50">
        <v>4</v>
      </c>
      <c r="AO41" s="54" t="s">
        <v>377</v>
      </c>
      <c r="AP41" s="57" t="s">
        <v>127</v>
      </c>
      <c r="AQ41" s="58"/>
      <c r="AR41" s="57"/>
    </row>
    <row r="42" spans="1:44" ht="121.5" customHeight="1" x14ac:dyDescent="0.25">
      <c r="A42" s="43" t="s">
        <v>378</v>
      </c>
      <c r="B42" s="43" t="s">
        <v>379</v>
      </c>
      <c r="C42" s="43" t="s">
        <v>379</v>
      </c>
      <c r="D42" s="44" t="s">
        <v>380</v>
      </c>
      <c r="E42" s="43"/>
      <c r="F42" s="43" t="s">
        <v>259</v>
      </c>
      <c r="G42" s="45"/>
      <c r="H42" s="45">
        <v>46161</v>
      </c>
      <c r="I42" s="43" t="s">
        <v>260</v>
      </c>
      <c r="J42" s="43" t="s">
        <v>272</v>
      </c>
      <c r="K42" s="43" t="str">
        <f>IF(LEN(D42)=10,"OK","Check")</f>
        <v>OK</v>
      </c>
      <c r="L42" s="43" t="s">
        <v>262</v>
      </c>
      <c r="M42" s="43" t="str">
        <f>IF(L42="Hold","Hold",IF(IFERROR(E42,0)&gt;=200,"High",IF(IFERROR(E42,0)&gt;=100,"Medium","Normal")))</f>
        <v>Normal</v>
      </c>
      <c r="N42" s="43" t="s">
        <v>90</v>
      </c>
      <c r="O42" s="43" t="s">
        <v>91</v>
      </c>
      <c r="P42" s="43" t="s">
        <v>92</v>
      </c>
      <c r="Q42" s="17" t="s">
        <v>93</v>
      </c>
      <c r="R42" s="45"/>
      <c r="S42" s="43"/>
      <c r="T42" s="109" t="s">
        <v>36</v>
      </c>
      <c r="U42" s="43" t="s">
        <v>94</v>
      </c>
      <c r="V42" s="43" t="s">
        <v>94</v>
      </c>
      <c r="W42" s="43" t="s">
        <v>95</v>
      </c>
      <c r="X42" s="45" t="str">
        <f>IF(AND(R42&lt;&gt;"",OR(U42="No reply",U42="Unknown")),R42+2,"")</f>
        <v/>
      </c>
      <c r="Y42" s="45"/>
      <c r="Z42" s="43" t="s">
        <v>96</v>
      </c>
      <c r="AA42" s="43" t="str">
        <f>IF(L42="Hold","Do not send",IF(T42="Not sent","Send WhatsApp",IF(U42="Demo booked","Prepare demo",IF(W42="Booked","Prepare demo",IF(AND(X42&lt;&gt;"",Y42=""),"Send follow-up","Review")))))</f>
        <v>Review</v>
      </c>
      <c r="AB42" s="43"/>
      <c r="AC42" s="43" t="s">
        <v>263</v>
      </c>
      <c r="AD42" s="43">
        <f>IF(AA42="Prepare demo",1,IF(AA42="Send follow-up",2,IF(AA42="Send WhatsApp",3,IF(AA42="Review",4,IF(AA42="Do not send",9,5)))))</f>
        <v>4</v>
      </c>
      <c r="AE42" s="43">
        <f>IF(M42="High",1,IF(M42="Medium",2,IF(M42="Normal",3,IF(M42="Hold",9,4))))</f>
        <v>3</v>
      </c>
      <c r="AF42" s="43">
        <f>IF(T42="Read",1,IF(T42="Delivered",2,IF(T42="Sent",3,IF(T42="Not sent",4,IF(T42="Failed",9,5)))))</f>
        <v>2</v>
      </c>
      <c r="AG42" s="43">
        <f>IF(U42="Demo booked",1,IF(U42="Interested",2,IF(U42="Replied",3,IF(U42="No reply",5,IF(U42="Not interested",8,IF(U42="Bad number",9,6))))))</f>
        <v>6</v>
      </c>
      <c r="AH42" s="46">
        <f>AD42*1000+AN42*100+AE42*10+AG42</f>
        <v>4436</v>
      </c>
      <c r="AI42" s="45">
        <f>MAX(IF(R42="",0,R42),IF(Y42="",0,Y42))</f>
        <v>0</v>
      </c>
      <c r="AJ42" s="43" t="str">
        <f ca="1">IF(AND(X42&lt;&gt;"",Y42="",X42&lt;TODAY()),"Overdue",IF(AND(X42&lt;&gt;"",Y42="",X42=TODAY()),"Due today",IF(Y42&lt;&gt;"","Follow-up sent","")))</f>
        <v/>
      </c>
      <c r="AK42" s="50" t="s">
        <v>264</v>
      </c>
      <c r="AL42" s="50" t="s">
        <v>265</v>
      </c>
      <c r="AM42" s="50" t="s">
        <v>266</v>
      </c>
      <c r="AN42" s="50">
        <v>4</v>
      </c>
      <c r="AO42" s="54" t="s">
        <v>381</v>
      </c>
      <c r="AP42" s="57" t="s">
        <v>127</v>
      </c>
      <c r="AQ42" s="58"/>
      <c r="AR42" s="57"/>
    </row>
    <row r="43" spans="1:44" ht="121.5" customHeight="1" x14ac:dyDescent="0.25">
      <c r="A43" s="43" t="s">
        <v>382</v>
      </c>
      <c r="B43" s="43" t="s">
        <v>383</v>
      </c>
      <c r="C43" s="43" t="s">
        <v>383</v>
      </c>
      <c r="D43" s="44" t="s">
        <v>384</v>
      </c>
      <c r="E43" s="43"/>
      <c r="F43" s="43" t="s">
        <v>259</v>
      </c>
      <c r="G43" s="45"/>
      <c r="H43" s="45">
        <v>46161</v>
      </c>
      <c r="I43" s="43" t="s">
        <v>260</v>
      </c>
      <c r="J43" s="43" t="s">
        <v>272</v>
      </c>
      <c r="K43" s="43" t="str">
        <f>IF(LEN(D43)=10,"OK","Check")</f>
        <v>OK</v>
      </c>
      <c r="L43" s="43" t="s">
        <v>262</v>
      </c>
      <c r="M43" s="43" t="str">
        <f>IF(L43="Hold","Hold",IF(IFERROR(E43,0)&gt;=200,"High",IF(IFERROR(E43,0)&gt;=100,"Medium","Normal")))</f>
        <v>Normal</v>
      </c>
      <c r="N43" s="43" t="s">
        <v>90</v>
      </c>
      <c r="O43" s="43" t="s">
        <v>91</v>
      </c>
      <c r="P43" s="43" t="s">
        <v>92</v>
      </c>
      <c r="Q43" s="17" t="s">
        <v>93</v>
      </c>
      <c r="R43" s="45"/>
      <c r="S43" s="43"/>
      <c r="T43" s="109" t="s">
        <v>36</v>
      </c>
      <c r="U43" s="43" t="s">
        <v>94</v>
      </c>
      <c r="V43" s="43" t="s">
        <v>94</v>
      </c>
      <c r="W43" s="43" t="s">
        <v>95</v>
      </c>
      <c r="X43" s="45" t="str">
        <f>IF(AND(R43&lt;&gt;"",OR(U43="No reply",U43="Unknown")),R43+2,"")</f>
        <v/>
      </c>
      <c r="Y43" s="45"/>
      <c r="Z43" s="43" t="s">
        <v>96</v>
      </c>
      <c r="AA43" s="43" t="str">
        <f>IF(L43="Hold","Do not send",IF(T43="Not sent","Send WhatsApp",IF(U43="Demo booked","Prepare demo",IF(W43="Booked","Prepare demo",IF(AND(X43&lt;&gt;"",Y43=""),"Send follow-up","Review")))))</f>
        <v>Review</v>
      </c>
      <c r="AB43" s="43"/>
      <c r="AC43" s="43" t="s">
        <v>263</v>
      </c>
      <c r="AD43" s="43">
        <f>IF(AA43="Prepare demo",1,IF(AA43="Send follow-up",2,IF(AA43="Send WhatsApp",3,IF(AA43="Review",4,IF(AA43="Do not send",9,5)))))</f>
        <v>4</v>
      </c>
      <c r="AE43" s="43">
        <f>IF(M43="High",1,IF(M43="Medium",2,IF(M43="Normal",3,IF(M43="Hold",9,4))))</f>
        <v>3</v>
      </c>
      <c r="AF43" s="43">
        <f>IF(T43="Read",1,IF(T43="Delivered",2,IF(T43="Sent",3,IF(T43="Not sent",4,IF(T43="Failed",9,5)))))</f>
        <v>2</v>
      </c>
      <c r="AG43" s="43">
        <f>IF(U43="Demo booked",1,IF(U43="Interested",2,IF(U43="Replied",3,IF(U43="No reply",5,IF(U43="Not interested",8,IF(U43="Bad number",9,6))))))</f>
        <v>6</v>
      </c>
      <c r="AH43" s="46">
        <f>AD43*1000+AN43*100+AE43*10+AG43</f>
        <v>4436</v>
      </c>
      <c r="AI43" s="45">
        <f>MAX(IF(R43="",0,R43),IF(Y43="",0,Y43))</f>
        <v>0</v>
      </c>
      <c r="AJ43" s="43" t="str">
        <f ca="1">IF(AND(X43&lt;&gt;"",Y43="",X43&lt;TODAY()),"Overdue",IF(AND(X43&lt;&gt;"",Y43="",X43=TODAY()),"Due today",IF(Y43&lt;&gt;"","Follow-up sent","")))</f>
        <v/>
      </c>
      <c r="AK43" s="50" t="s">
        <v>264</v>
      </c>
      <c r="AL43" s="50" t="s">
        <v>265</v>
      </c>
      <c r="AM43" s="50" t="s">
        <v>266</v>
      </c>
      <c r="AN43" s="50">
        <v>4</v>
      </c>
      <c r="AO43" s="54" t="s">
        <v>385</v>
      </c>
      <c r="AP43" s="57" t="s">
        <v>127</v>
      </c>
      <c r="AQ43" s="58"/>
      <c r="AR43" s="57"/>
    </row>
    <row r="44" spans="1:44" ht="121.5" customHeight="1" x14ac:dyDescent="0.25">
      <c r="A44" s="43" t="s">
        <v>386</v>
      </c>
      <c r="B44" s="43" t="s">
        <v>387</v>
      </c>
      <c r="C44" s="43" t="s">
        <v>387</v>
      </c>
      <c r="D44" s="44" t="s">
        <v>388</v>
      </c>
      <c r="E44" s="43"/>
      <c r="F44" s="43" t="s">
        <v>259</v>
      </c>
      <c r="G44" s="45"/>
      <c r="H44" s="45">
        <v>46161</v>
      </c>
      <c r="I44" s="43" t="s">
        <v>290</v>
      </c>
      <c r="J44" s="43" t="s">
        <v>272</v>
      </c>
      <c r="K44" s="43" t="str">
        <f>IF(LEN(D44)=10,"OK","Check")</f>
        <v>OK</v>
      </c>
      <c r="L44" s="43" t="s">
        <v>262</v>
      </c>
      <c r="M44" s="43" t="str">
        <f>IF(L44="Hold","Hold",IF(IFERROR(E44,0)&gt;=200,"High",IF(IFERROR(E44,0)&gt;=100,"Medium","Normal")))</f>
        <v>Normal</v>
      </c>
      <c r="N44" s="43" t="s">
        <v>90</v>
      </c>
      <c r="O44" s="43" t="s">
        <v>91</v>
      </c>
      <c r="P44" s="43" t="s">
        <v>92</v>
      </c>
      <c r="Q44" s="17" t="s">
        <v>93</v>
      </c>
      <c r="R44" s="45"/>
      <c r="S44" s="43"/>
      <c r="T44" s="109" t="s">
        <v>21</v>
      </c>
      <c r="U44" s="43" t="s">
        <v>94</v>
      </c>
      <c r="V44" s="43" t="s">
        <v>94</v>
      </c>
      <c r="W44" s="43" t="s">
        <v>95</v>
      </c>
      <c r="X44" s="45" t="str">
        <f>IF(AND(R44&lt;&gt;"",OR(U44="No reply",U44="Unknown")),R44+2,"")</f>
        <v/>
      </c>
      <c r="Y44" s="45"/>
      <c r="Z44" s="43" t="s">
        <v>96</v>
      </c>
      <c r="AA44" s="43" t="str">
        <f>IF(L44="Hold","Do not send",IF(T44="Not sent","Send WhatsApp",IF(U44="Demo booked","Prepare demo",IF(W44="Booked","Prepare demo",IF(AND(X44&lt;&gt;"",Y44=""),"Send follow-up","Review")))))</f>
        <v>Review</v>
      </c>
      <c r="AB44" s="43"/>
      <c r="AC44" s="43" t="s">
        <v>291</v>
      </c>
      <c r="AD44" s="43">
        <f>IF(AA44="Prepare demo",1,IF(AA44="Send follow-up",2,IF(AA44="Send WhatsApp",3,IF(AA44="Review",4,IF(AA44="Do not send",9,5)))))</f>
        <v>4</v>
      </c>
      <c r="AE44" s="43">
        <f>IF(M44="High",1,IF(M44="Medium",2,IF(M44="Normal",3,IF(M44="Hold",9,4))))</f>
        <v>3</v>
      </c>
      <c r="AF44" s="43">
        <f>IF(T44="Read",1,IF(T44="Delivered",2,IF(T44="Sent",3,IF(T44="Not sent",4,IF(T44="Failed",9,5)))))</f>
        <v>3</v>
      </c>
      <c r="AG44" s="43">
        <f>IF(U44="Demo booked",1,IF(U44="Interested",2,IF(U44="Replied",3,IF(U44="No reply",5,IF(U44="Not interested",8,IF(U44="Bad number",9,6))))))</f>
        <v>6</v>
      </c>
      <c r="AH44" s="46">
        <f>AD44*1000+AN44*100+AE44*10+AG44</f>
        <v>4436</v>
      </c>
      <c r="AI44" s="45">
        <f>MAX(IF(R44="",0,R44),IF(Y44="",0,Y44))</f>
        <v>0</v>
      </c>
      <c r="AJ44" s="43" t="str">
        <f ca="1">IF(AND(X44&lt;&gt;"",Y44="",X44&lt;TODAY()),"Overdue",IF(AND(X44&lt;&gt;"",Y44="",X44=TODAY()),"Due today",IF(Y44&lt;&gt;"","Follow-up sent","")))</f>
        <v/>
      </c>
      <c r="AK44" s="50" t="s">
        <v>264</v>
      </c>
      <c r="AL44" s="50" t="s">
        <v>265</v>
      </c>
      <c r="AM44" s="50" t="s">
        <v>266</v>
      </c>
      <c r="AN44" s="50">
        <v>4</v>
      </c>
      <c r="AO44" s="54" t="s">
        <v>389</v>
      </c>
      <c r="AP44" s="57" t="s">
        <v>127</v>
      </c>
      <c r="AQ44" s="58"/>
      <c r="AR44" s="57"/>
    </row>
    <row r="45" spans="1:44" ht="121.5" customHeight="1" x14ac:dyDescent="0.25">
      <c r="A45" s="43" t="s">
        <v>390</v>
      </c>
      <c r="B45" s="43" t="s">
        <v>391</v>
      </c>
      <c r="C45" s="43" t="s">
        <v>392</v>
      </c>
      <c r="D45" s="44" t="s">
        <v>393</v>
      </c>
      <c r="E45" s="43"/>
      <c r="F45" s="43" t="s">
        <v>394</v>
      </c>
      <c r="G45" s="45"/>
      <c r="H45" s="45">
        <v>46161</v>
      </c>
      <c r="I45" s="43" t="s">
        <v>395</v>
      </c>
      <c r="J45" s="43" t="s">
        <v>396</v>
      </c>
      <c r="K45" s="43" t="str">
        <f>IF(LEN(D45)=10,"OK","Check")</f>
        <v>OK</v>
      </c>
      <c r="L45" s="43" t="s">
        <v>262</v>
      </c>
      <c r="M45" s="43" t="str">
        <f>IF(L45="Hold","Hold",IF(IFERROR(E45,0)&gt;=200,"High",IF(IFERROR(E45,0)&gt;=100,"Medium","Normal")))</f>
        <v>Normal</v>
      </c>
      <c r="N45" s="43" t="s">
        <v>90</v>
      </c>
      <c r="O45" s="43" t="s">
        <v>91</v>
      </c>
      <c r="P45" s="43" t="s">
        <v>92</v>
      </c>
      <c r="Q45" s="17" t="s">
        <v>93</v>
      </c>
      <c r="R45" s="45"/>
      <c r="S45" s="43"/>
      <c r="T45" s="109" t="s">
        <v>36</v>
      </c>
      <c r="U45" s="43" t="s">
        <v>94</v>
      </c>
      <c r="V45" s="43" t="s">
        <v>94</v>
      </c>
      <c r="W45" s="43" t="s">
        <v>95</v>
      </c>
      <c r="X45" s="45" t="str">
        <f>IF(AND(R45&lt;&gt;"",OR(U45="No reply",U45="Unknown")),R45+2,"")</f>
        <v/>
      </c>
      <c r="Y45" s="45"/>
      <c r="Z45" s="43" t="s">
        <v>96</v>
      </c>
      <c r="AA45" s="43" t="str">
        <f>IF(L45="Hold","Do not send",IF(T45="Not sent","Send WhatsApp",IF(U45="Demo booked","Prepare demo",IF(W45="Booked","Prepare demo",IF(AND(X45&lt;&gt;"",Y45=""),"Send follow-up","Review")))))</f>
        <v>Review</v>
      </c>
      <c r="AB45" s="43"/>
      <c r="AC45" s="43" t="s">
        <v>397</v>
      </c>
      <c r="AD45" s="43">
        <f>IF(AA45="Prepare demo",1,IF(AA45="Send follow-up",2,IF(AA45="Send WhatsApp",3,IF(AA45="Review",4,IF(AA45="Do not send",9,5)))))</f>
        <v>4</v>
      </c>
      <c r="AE45" s="43">
        <f>IF(M45="High",1,IF(M45="Medium",2,IF(M45="Normal",3,IF(M45="Hold",9,4))))</f>
        <v>3</v>
      </c>
      <c r="AF45" s="43">
        <f>IF(T45="Read",1,IF(T45="Delivered",2,IF(T45="Sent",3,IF(T45="Not sent",4,IF(T45="Failed",9,5)))))</f>
        <v>2</v>
      </c>
      <c r="AG45" s="43">
        <f>IF(U45="Demo booked",1,IF(U45="Interested",2,IF(U45="Replied",3,IF(U45="No reply",5,IF(U45="Not interested",8,IF(U45="Bad number",9,6))))))</f>
        <v>6</v>
      </c>
      <c r="AH45" s="46">
        <f>AD45*1000+AN45*100+AE45*10+AG45</f>
        <v>4436</v>
      </c>
      <c r="AI45" s="45">
        <f>MAX(IF(R45="",0,R45),IF(Y45="",0,Y45))</f>
        <v>0</v>
      </c>
      <c r="AJ45" s="43" t="str">
        <f ca="1">IF(AND(X45&lt;&gt;"",Y45="",X45&lt;TODAY()),"Overdue",IF(AND(X45&lt;&gt;"",Y45="",X45=TODAY()),"Due today",IF(Y45&lt;&gt;"","Follow-up sent","")))</f>
        <v/>
      </c>
      <c r="AK45" s="50" t="s">
        <v>264</v>
      </c>
      <c r="AL45" s="50" t="s">
        <v>265</v>
      </c>
      <c r="AM45" s="50" t="s">
        <v>266</v>
      </c>
      <c r="AN45" s="50">
        <v>4</v>
      </c>
      <c r="AO45" s="54" t="s">
        <v>398</v>
      </c>
      <c r="AP45" s="57" t="s">
        <v>127</v>
      </c>
      <c r="AQ45" s="58"/>
      <c r="AR45" s="57"/>
    </row>
    <row r="46" spans="1:44" ht="121.5" customHeight="1" x14ac:dyDescent="0.25">
      <c r="A46" s="43" t="s">
        <v>399</v>
      </c>
      <c r="B46" s="43" t="s">
        <v>400</v>
      </c>
      <c r="C46" s="43" t="s">
        <v>401</v>
      </c>
      <c r="D46" s="44" t="s">
        <v>402</v>
      </c>
      <c r="E46" s="43"/>
      <c r="F46" s="43" t="s">
        <v>394</v>
      </c>
      <c r="G46" s="45"/>
      <c r="H46" s="45">
        <v>46161</v>
      </c>
      <c r="I46" s="43" t="s">
        <v>403</v>
      </c>
      <c r="J46" s="43" t="s">
        <v>396</v>
      </c>
      <c r="K46" s="43" t="str">
        <f>IF(LEN(D46)=10,"OK","Check")</f>
        <v>OK</v>
      </c>
      <c r="L46" s="43" t="s">
        <v>262</v>
      </c>
      <c r="M46" s="43" t="str">
        <f>IF(L46="Hold","Hold",IF(IFERROR(E46,0)&gt;=200,"High",IF(IFERROR(E46,0)&gt;=100,"Medium","Normal")))</f>
        <v>Normal</v>
      </c>
      <c r="N46" s="43" t="s">
        <v>90</v>
      </c>
      <c r="O46" s="43" t="s">
        <v>91</v>
      </c>
      <c r="P46" s="43" t="s">
        <v>92</v>
      </c>
      <c r="Q46" s="17" t="s">
        <v>93</v>
      </c>
      <c r="R46" s="45"/>
      <c r="S46" s="43"/>
      <c r="T46" s="109" t="s">
        <v>21</v>
      </c>
      <c r="U46" s="43" t="s">
        <v>94</v>
      </c>
      <c r="V46" s="43" t="s">
        <v>94</v>
      </c>
      <c r="W46" s="43" t="s">
        <v>95</v>
      </c>
      <c r="X46" s="45" t="str">
        <f>IF(AND(R46&lt;&gt;"",OR(U46="No reply",U46="Unknown")),R46+2,"")</f>
        <v/>
      </c>
      <c r="Y46" s="45"/>
      <c r="Z46" s="43" t="s">
        <v>96</v>
      </c>
      <c r="AA46" s="43" t="str">
        <f>IF(L46="Hold","Do not send",IF(T46="Not sent","Send WhatsApp",IF(U46="Demo booked","Prepare demo",IF(W46="Booked","Prepare demo",IF(AND(X46&lt;&gt;"",Y46=""),"Send follow-up","Review")))))</f>
        <v>Review</v>
      </c>
      <c r="AB46" s="43"/>
      <c r="AC46" s="43" t="s">
        <v>404</v>
      </c>
      <c r="AD46" s="43">
        <f>IF(AA46="Prepare demo",1,IF(AA46="Send follow-up",2,IF(AA46="Send WhatsApp",3,IF(AA46="Review",4,IF(AA46="Do not send",9,5)))))</f>
        <v>4</v>
      </c>
      <c r="AE46" s="43">
        <f>IF(M46="High",1,IF(M46="Medium",2,IF(M46="Normal",3,IF(M46="Hold",9,4))))</f>
        <v>3</v>
      </c>
      <c r="AF46" s="43">
        <f>IF(T46="Read",1,IF(T46="Delivered",2,IF(T46="Sent",3,IF(T46="Not sent",4,IF(T46="Failed",9,5)))))</f>
        <v>3</v>
      </c>
      <c r="AG46" s="43">
        <f>IF(U46="Demo booked",1,IF(U46="Interested",2,IF(U46="Replied",3,IF(U46="No reply",5,IF(U46="Not interested",8,IF(U46="Bad number",9,6))))))</f>
        <v>6</v>
      </c>
      <c r="AH46" s="46">
        <f>AD46*1000+AN46*100+AE46*10+AG46</f>
        <v>4436</v>
      </c>
      <c r="AI46" s="45">
        <f>MAX(IF(R46="",0,R46),IF(Y46="",0,Y46))</f>
        <v>0</v>
      </c>
      <c r="AJ46" s="43" t="str">
        <f ca="1">IF(AND(X46&lt;&gt;"",Y46="",X46&lt;TODAY()),"Overdue",IF(AND(X46&lt;&gt;"",Y46="",X46=TODAY()),"Due today",IF(Y46&lt;&gt;"","Follow-up sent","")))</f>
        <v/>
      </c>
      <c r="AK46" s="50" t="s">
        <v>264</v>
      </c>
      <c r="AL46" s="50" t="s">
        <v>265</v>
      </c>
      <c r="AM46" s="50" t="s">
        <v>266</v>
      </c>
      <c r="AN46" s="50">
        <v>4</v>
      </c>
      <c r="AO46" s="54" t="s">
        <v>405</v>
      </c>
      <c r="AP46" s="57" t="s">
        <v>127</v>
      </c>
      <c r="AQ46" s="58"/>
      <c r="AR46" s="57"/>
    </row>
    <row r="47" spans="1:44" ht="121.5" customHeight="1" x14ac:dyDescent="0.25">
      <c r="A47" s="43" t="s">
        <v>406</v>
      </c>
      <c r="B47" s="43" t="s">
        <v>407</v>
      </c>
      <c r="C47" s="43" t="s">
        <v>276</v>
      </c>
      <c r="D47" s="44" t="s">
        <v>408</v>
      </c>
      <c r="E47" s="43"/>
      <c r="F47" s="43" t="s">
        <v>394</v>
      </c>
      <c r="G47" s="45"/>
      <c r="H47" s="45">
        <v>46161</v>
      </c>
      <c r="I47" s="43" t="s">
        <v>403</v>
      </c>
      <c r="J47" s="43" t="s">
        <v>396</v>
      </c>
      <c r="K47" s="43" t="str">
        <f>IF(LEN(D47)=10,"OK","Check")</f>
        <v>OK</v>
      </c>
      <c r="L47" s="43" t="s">
        <v>262</v>
      </c>
      <c r="M47" s="43" t="str">
        <f>IF(L47="Hold","Hold",IF(IFERROR(E47,0)&gt;=200,"High",IF(IFERROR(E47,0)&gt;=100,"Medium","Normal")))</f>
        <v>Normal</v>
      </c>
      <c r="N47" s="43" t="s">
        <v>90</v>
      </c>
      <c r="O47" s="43" t="s">
        <v>91</v>
      </c>
      <c r="P47" s="43" t="s">
        <v>92</v>
      </c>
      <c r="Q47" s="17" t="s">
        <v>93</v>
      </c>
      <c r="R47" s="45"/>
      <c r="S47" s="43"/>
      <c r="T47" s="109" t="s">
        <v>36</v>
      </c>
      <c r="U47" s="43" t="s">
        <v>94</v>
      </c>
      <c r="V47" s="43" t="s">
        <v>94</v>
      </c>
      <c r="W47" s="43" t="s">
        <v>95</v>
      </c>
      <c r="X47" s="45" t="str">
        <f>IF(AND(R47&lt;&gt;"",OR(U47="No reply",U47="Unknown")),R47+2,"")</f>
        <v/>
      </c>
      <c r="Y47" s="45"/>
      <c r="Z47" s="43" t="s">
        <v>96</v>
      </c>
      <c r="AA47" s="43" t="str">
        <f>IF(L47="Hold","Do not send",IF(T47="Not sent","Send WhatsApp",IF(U47="Demo booked","Prepare demo",IF(W47="Booked","Prepare demo",IF(AND(X47&lt;&gt;"",Y47=""),"Send follow-up","Review")))))</f>
        <v>Review</v>
      </c>
      <c r="AB47" s="43"/>
      <c r="AC47" s="43" t="s">
        <v>404</v>
      </c>
      <c r="AD47" s="43">
        <f>IF(AA47="Prepare demo",1,IF(AA47="Send follow-up",2,IF(AA47="Send WhatsApp",3,IF(AA47="Review",4,IF(AA47="Do not send",9,5)))))</f>
        <v>4</v>
      </c>
      <c r="AE47" s="43">
        <f>IF(M47="High",1,IF(M47="Medium",2,IF(M47="Normal",3,IF(M47="Hold",9,4))))</f>
        <v>3</v>
      </c>
      <c r="AF47" s="43">
        <f>IF(T47="Read",1,IF(T47="Delivered",2,IF(T47="Sent",3,IF(T47="Not sent",4,IF(T47="Failed",9,5)))))</f>
        <v>2</v>
      </c>
      <c r="AG47" s="43">
        <f>IF(U47="Demo booked",1,IF(U47="Interested",2,IF(U47="Replied",3,IF(U47="No reply",5,IF(U47="Not interested",8,IF(U47="Bad number",9,6))))))</f>
        <v>6</v>
      </c>
      <c r="AH47" s="46">
        <f>AD47*1000+AN47*100+AE47*10+AG47</f>
        <v>4436</v>
      </c>
      <c r="AI47" s="45">
        <f>MAX(IF(R47="",0,R47),IF(Y47="",0,Y47))</f>
        <v>0</v>
      </c>
      <c r="AJ47" s="43" t="str">
        <f ca="1">IF(AND(X47&lt;&gt;"",Y47="",X47&lt;TODAY()),"Overdue",IF(AND(X47&lt;&gt;"",Y47="",X47=TODAY()),"Due today",IF(Y47&lt;&gt;"","Follow-up sent","")))</f>
        <v/>
      </c>
      <c r="AK47" s="50" t="s">
        <v>264</v>
      </c>
      <c r="AL47" s="50" t="s">
        <v>265</v>
      </c>
      <c r="AM47" s="50" t="s">
        <v>266</v>
      </c>
      <c r="AN47" s="50">
        <v>4</v>
      </c>
      <c r="AO47" s="54" t="s">
        <v>409</v>
      </c>
      <c r="AP47" s="57" t="s">
        <v>127</v>
      </c>
      <c r="AQ47" s="58"/>
      <c r="AR47" s="57"/>
    </row>
    <row r="48" spans="1:44" ht="121.5" customHeight="1" x14ac:dyDescent="0.25">
      <c r="A48" s="43" t="s">
        <v>410</v>
      </c>
      <c r="B48" s="43" t="s">
        <v>411</v>
      </c>
      <c r="C48" s="43" t="s">
        <v>280</v>
      </c>
      <c r="D48" s="44" t="s">
        <v>412</v>
      </c>
      <c r="E48" s="43"/>
      <c r="F48" s="43" t="s">
        <v>394</v>
      </c>
      <c r="G48" s="45"/>
      <c r="H48" s="45">
        <v>46161</v>
      </c>
      <c r="I48" s="43" t="s">
        <v>413</v>
      </c>
      <c r="J48" s="43" t="s">
        <v>396</v>
      </c>
      <c r="K48" s="43" t="str">
        <f>IF(LEN(D48)=10,"OK","Check")</f>
        <v>OK</v>
      </c>
      <c r="L48" s="43" t="s">
        <v>262</v>
      </c>
      <c r="M48" s="43" t="str">
        <f>IF(L48="Hold","Hold",IF(IFERROR(E48,0)&gt;=200,"High",IF(IFERROR(E48,0)&gt;=100,"Medium","Normal")))</f>
        <v>Normal</v>
      </c>
      <c r="N48" s="43" t="s">
        <v>90</v>
      </c>
      <c r="O48" s="43" t="s">
        <v>91</v>
      </c>
      <c r="P48" s="43" t="s">
        <v>92</v>
      </c>
      <c r="Q48" s="17" t="s">
        <v>93</v>
      </c>
      <c r="R48" s="45"/>
      <c r="S48" s="43"/>
      <c r="T48" s="43" t="s">
        <v>31</v>
      </c>
      <c r="U48" s="43" t="s">
        <v>94</v>
      </c>
      <c r="V48" s="43" t="s">
        <v>94</v>
      </c>
      <c r="W48" s="43" t="s">
        <v>95</v>
      </c>
      <c r="X48" s="45" t="str">
        <f>IF(AND(R48&lt;&gt;"",OR(U48="No reply",U48="Unknown")),R48+2,"")</f>
        <v/>
      </c>
      <c r="Y48" s="45"/>
      <c r="Z48" s="43" t="s">
        <v>96</v>
      </c>
      <c r="AA48" s="43" t="str">
        <f>IF(L48="Hold","Do not send",IF(T48="Not sent","Send WhatsApp",IF(U48="Demo booked","Prepare demo",IF(W48="Booked","Prepare demo",IF(AND(X48&lt;&gt;"",Y48=""),"Send follow-up","Review")))))</f>
        <v>Send WhatsApp</v>
      </c>
      <c r="AB48" s="43"/>
      <c r="AC48" s="43" t="s">
        <v>414</v>
      </c>
      <c r="AD48" s="43">
        <f>IF(AA48="Prepare demo",1,IF(AA48="Send follow-up",2,IF(AA48="Send WhatsApp",3,IF(AA48="Review",4,IF(AA48="Do not send",9,5)))))</f>
        <v>3</v>
      </c>
      <c r="AE48" s="43">
        <f>IF(M48="High",1,IF(M48="Medium",2,IF(M48="Normal",3,IF(M48="Hold",9,4))))</f>
        <v>3</v>
      </c>
      <c r="AF48" s="43">
        <f>IF(T48="Read",1,IF(T48="Delivered",2,IF(T48="Sent",3,IF(T48="Not sent",4,IF(T48="Failed",9,5)))))</f>
        <v>4</v>
      </c>
      <c r="AG48" s="43">
        <f>IF(U48="Demo booked",1,IF(U48="Interested",2,IF(U48="Replied",3,IF(U48="No reply",5,IF(U48="Not interested",8,IF(U48="Bad number",9,6))))))</f>
        <v>6</v>
      </c>
      <c r="AH48" s="46">
        <f>AD48*1000+AN48*100+AE48*10+AG48</f>
        <v>3436</v>
      </c>
      <c r="AI48" s="45">
        <f>MAX(IF(R48="",0,R48),IF(Y48="",0,Y48))</f>
        <v>0</v>
      </c>
      <c r="AJ48" s="43" t="str">
        <f ca="1">IF(AND(X48&lt;&gt;"",Y48="",X48&lt;TODAY()),"Overdue",IF(AND(X48&lt;&gt;"",Y48="",X48=TODAY()),"Due today",IF(Y48&lt;&gt;"","Follow-up sent","")))</f>
        <v/>
      </c>
      <c r="AK48" s="50" t="s">
        <v>264</v>
      </c>
      <c r="AL48" s="50" t="s">
        <v>265</v>
      </c>
      <c r="AM48" s="50" t="s">
        <v>266</v>
      </c>
      <c r="AN48" s="50">
        <v>4</v>
      </c>
      <c r="AO48" s="54" t="s">
        <v>415</v>
      </c>
      <c r="AP48" s="57" t="s">
        <v>127</v>
      </c>
      <c r="AQ48" s="58"/>
      <c r="AR48" s="57"/>
    </row>
    <row r="49" spans="1:44" ht="121.5" customHeight="1" x14ac:dyDescent="0.25">
      <c r="A49" s="43" t="s">
        <v>416</v>
      </c>
      <c r="B49" s="43" t="s">
        <v>417</v>
      </c>
      <c r="C49" s="43" t="s">
        <v>418</v>
      </c>
      <c r="D49" s="44" t="s">
        <v>419</v>
      </c>
      <c r="E49" s="43"/>
      <c r="F49" s="43" t="s">
        <v>394</v>
      </c>
      <c r="G49" s="45"/>
      <c r="H49" s="45">
        <v>46161</v>
      </c>
      <c r="I49" s="43" t="s">
        <v>403</v>
      </c>
      <c r="J49" s="43" t="s">
        <v>396</v>
      </c>
      <c r="K49" s="43" t="str">
        <f>IF(LEN(D49)=10,"OK","Check")</f>
        <v>OK</v>
      </c>
      <c r="L49" s="43" t="s">
        <v>262</v>
      </c>
      <c r="M49" s="43" t="str">
        <f>IF(L49="Hold","Hold",IF(IFERROR(E49,0)&gt;=200,"High",IF(IFERROR(E49,0)&gt;=100,"Medium","Normal")))</f>
        <v>Normal</v>
      </c>
      <c r="N49" s="43" t="s">
        <v>90</v>
      </c>
      <c r="O49" s="43" t="s">
        <v>91</v>
      </c>
      <c r="P49" s="43" t="s">
        <v>92</v>
      </c>
      <c r="Q49" s="17" t="s">
        <v>93</v>
      </c>
      <c r="R49" s="45"/>
      <c r="S49" s="43"/>
      <c r="T49" s="43" t="s">
        <v>31</v>
      </c>
      <c r="U49" s="43" t="s">
        <v>94</v>
      </c>
      <c r="V49" s="43" t="s">
        <v>94</v>
      </c>
      <c r="W49" s="43" t="s">
        <v>95</v>
      </c>
      <c r="X49" s="45" t="str">
        <f>IF(AND(R49&lt;&gt;"",OR(U49="No reply",U49="Unknown")),R49+2,"")</f>
        <v/>
      </c>
      <c r="Y49" s="45"/>
      <c r="Z49" s="43" t="s">
        <v>96</v>
      </c>
      <c r="AA49" s="43" t="str">
        <f>IF(L49="Hold","Do not send",IF(T49="Not sent","Send WhatsApp",IF(U49="Demo booked","Prepare demo",IF(W49="Booked","Prepare demo",IF(AND(X49&lt;&gt;"",Y49=""),"Send follow-up","Review")))))</f>
        <v>Send WhatsApp</v>
      </c>
      <c r="AB49" s="43"/>
      <c r="AC49" s="43" t="s">
        <v>404</v>
      </c>
      <c r="AD49" s="43">
        <f>IF(AA49="Prepare demo",1,IF(AA49="Send follow-up",2,IF(AA49="Send WhatsApp",3,IF(AA49="Review",4,IF(AA49="Do not send",9,5)))))</f>
        <v>3</v>
      </c>
      <c r="AE49" s="43">
        <f>IF(M49="High",1,IF(M49="Medium",2,IF(M49="Normal",3,IF(M49="Hold",9,4))))</f>
        <v>3</v>
      </c>
      <c r="AF49" s="43">
        <f>IF(T49="Read",1,IF(T49="Delivered",2,IF(T49="Sent",3,IF(T49="Not sent",4,IF(T49="Failed",9,5)))))</f>
        <v>4</v>
      </c>
      <c r="AG49" s="43">
        <f>IF(U49="Demo booked",1,IF(U49="Interested",2,IF(U49="Replied",3,IF(U49="No reply",5,IF(U49="Not interested",8,IF(U49="Bad number",9,6))))))</f>
        <v>6</v>
      </c>
      <c r="AH49" s="46">
        <f>AD49*1000+AN49*100+AE49*10+AG49</f>
        <v>3436</v>
      </c>
      <c r="AI49" s="45">
        <f>MAX(IF(R49="",0,R49),IF(Y49="",0,Y49))</f>
        <v>0</v>
      </c>
      <c r="AJ49" s="43" t="str">
        <f ca="1">IF(AND(X49&lt;&gt;"",Y49="",X49&lt;TODAY()),"Overdue",IF(AND(X49&lt;&gt;"",Y49="",X49=TODAY()),"Due today",IF(Y49&lt;&gt;"","Follow-up sent","")))</f>
        <v/>
      </c>
      <c r="AK49" s="50" t="s">
        <v>264</v>
      </c>
      <c r="AL49" s="50" t="s">
        <v>265</v>
      </c>
      <c r="AM49" s="50" t="s">
        <v>266</v>
      </c>
      <c r="AN49" s="50">
        <v>4</v>
      </c>
      <c r="AO49" s="54" t="s">
        <v>420</v>
      </c>
      <c r="AP49" s="57" t="s">
        <v>127</v>
      </c>
      <c r="AQ49" s="58"/>
      <c r="AR49" s="57"/>
    </row>
    <row r="50" spans="1:44" ht="121.5" customHeight="1" x14ac:dyDescent="0.25">
      <c r="A50" s="43" t="s">
        <v>421</v>
      </c>
      <c r="B50" s="43" t="s">
        <v>422</v>
      </c>
      <c r="C50" s="43" t="s">
        <v>423</v>
      </c>
      <c r="D50" s="44" t="s">
        <v>424</v>
      </c>
      <c r="E50" s="43"/>
      <c r="F50" s="43" t="s">
        <v>394</v>
      </c>
      <c r="G50" s="45"/>
      <c r="H50" s="45">
        <v>46161</v>
      </c>
      <c r="I50" s="43" t="s">
        <v>425</v>
      </c>
      <c r="J50" s="43" t="s">
        <v>396</v>
      </c>
      <c r="K50" s="43" t="str">
        <f>IF(LEN(D50)=10,"OK","Check")</f>
        <v>OK</v>
      </c>
      <c r="L50" s="43" t="s">
        <v>262</v>
      </c>
      <c r="M50" s="43" t="str">
        <f>IF(L50="Hold","Hold",IF(IFERROR(E50,0)&gt;=200,"High",IF(IFERROR(E50,0)&gt;=100,"Medium","Normal")))</f>
        <v>Normal</v>
      </c>
      <c r="N50" s="43" t="s">
        <v>90</v>
      </c>
      <c r="O50" s="43" t="s">
        <v>91</v>
      </c>
      <c r="P50" s="43" t="s">
        <v>92</v>
      </c>
      <c r="Q50" s="17" t="s">
        <v>93</v>
      </c>
      <c r="R50" s="45"/>
      <c r="S50" s="43"/>
      <c r="T50" s="43" t="s">
        <v>31</v>
      </c>
      <c r="U50" s="43" t="s">
        <v>94</v>
      </c>
      <c r="V50" s="43" t="s">
        <v>94</v>
      </c>
      <c r="W50" s="43" t="s">
        <v>95</v>
      </c>
      <c r="X50" s="45" t="str">
        <f>IF(AND(R50&lt;&gt;"",OR(U50="No reply",U50="Unknown")),R50+2,"")</f>
        <v/>
      </c>
      <c r="Y50" s="45"/>
      <c r="Z50" s="43" t="s">
        <v>96</v>
      </c>
      <c r="AA50" s="43" t="str">
        <f>IF(L50="Hold","Do not send",IF(T50="Not sent","Send WhatsApp",IF(U50="Demo booked","Prepare demo",IF(W50="Booked","Prepare demo",IF(AND(X50&lt;&gt;"",Y50=""),"Send follow-up","Review")))))</f>
        <v>Send WhatsApp</v>
      </c>
      <c r="AB50" s="43"/>
      <c r="AC50" s="43" t="s">
        <v>426</v>
      </c>
      <c r="AD50" s="43">
        <f>IF(AA50="Prepare demo",1,IF(AA50="Send follow-up",2,IF(AA50="Send WhatsApp",3,IF(AA50="Review",4,IF(AA50="Do not send",9,5)))))</f>
        <v>3</v>
      </c>
      <c r="AE50" s="43">
        <f>IF(M50="High",1,IF(M50="Medium",2,IF(M50="Normal",3,IF(M50="Hold",9,4))))</f>
        <v>3</v>
      </c>
      <c r="AF50" s="43">
        <f>IF(T50="Read",1,IF(T50="Delivered",2,IF(T50="Sent",3,IF(T50="Not sent",4,IF(T50="Failed",9,5)))))</f>
        <v>4</v>
      </c>
      <c r="AG50" s="43">
        <f>IF(U50="Demo booked",1,IF(U50="Interested",2,IF(U50="Replied",3,IF(U50="No reply",5,IF(U50="Not interested",8,IF(U50="Bad number",9,6))))))</f>
        <v>6</v>
      </c>
      <c r="AH50" s="46">
        <f>AD50*1000+AN50*100+AE50*10+AG50</f>
        <v>3436</v>
      </c>
      <c r="AI50" s="45">
        <f>MAX(IF(R50="",0,R50),IF(Y50="",0,Y50))</f>
        <v>0</v>
      </c>
      <c r="AJ50" s="43" t="str">
        <f ca="1">IF(AND(X50&lt;&gt;"",Y50="",X50&lt;TODAY()),"Overdue",IF(AND(X50&lt;&gt;"",Y50="",X50=TODAY()),"Due today",IF(Y50&lt;&gt;"","Follow-up sent","")))</f>
        <v/>
      </c>
      <c r="AK50" s="50" t="s">
        <v>264</v>
      </c>
      <c r="AL50" s="50" t="s">
        <v>265</v>
      </c>
      <c r="AM50" s="50" t="s">
        <v>266</v>
      </c>
      <c r="AN50" s="50">
        <v>4</v>
      </c>
      <c r="AO50" s="54" t="s">
        <v>427</v>
      </c>
      <c r="AP50" s="57" t="s">
        <v>127</v>
      </c>
      <c r="AQ50" s="58"/>
      <c r="AR50" s="57"/>
    </row>
    <row r="51" spans="1:44" ht="121.5" customHeight="1" x14ac:dyDescent="0.25">
      <c r="A51" s="43" t="s">
        <v>428</v>
      </c>
      <c r="B51" s="43" t="s">
        <v>429</v>
      </c>
      <c r="C51" s="43" t="s">
        <v>430</v>
      </c>
      <c r="D51" s="44" t="s">
        <v>431</v>
      </c>
      <c r="E51" s="43"/>
      <c r="F51" s="43" t="s">
        <v>394</v>
      </c>
      <c r="G51" s="45"/>
      <c r="H51" s="45">
        <v>46161</v>
      </c>
      <c r="I51" s="43" t="s">
        <v>425</v>
      </c>
      <c r="J51" s="43" t="s">
        <v>396</v>
      </c>
      <c r="K51" s="43" t="str">
        <f>IF(LEN(D51)=10,"OK","Check")</f>
        <v>OK</v>
      </c>
      <c r="L51" s="43" t="s">
        <v>262</v>
      </c>
      <c r="M51" s="43" t="str">
        <f>IF(L51="Hold","Hold",IF(IFERROR(E51,0)&gt;=200,"High",IF(IFERROR(E51,0)&gt;=100,"Medium","Normal")))</f>
        <v>Normal</v>
      </c>
      <c r="N51" s="43" t="s">
        <v>90</v>
      </c>
      <c r="O51" s="43" t="s">
        <v>91</v>
      </c>
      <c r="P51" s="43" t="s">
        <v>92</v>
      </c>
      <c r="Q51" s="17" t="s">
        <v>93</v>
      </c>
      <c r="R51" s="45"/>
      <c r="S51" s="43"/>
      <c r="T51" s="43" t="s">
        <v>31</v>
      </c>
      <c r="U51" s="43" t="s">
        <v>94</v>
      </c>
      <c r="V51" s="43" t="s">
        <v>94</v>
      </c>
      <c r="W51" s="43" t="s">
        <v>95</v>
      </c>
      <c r="X51" s="45" t="str">
        <f>IF(AND(R51&lt;&gt;"",OR(U51="No reply",U51="Unknown")),R51+2,"")</f>
        <v/>
      </c>
      <c r="Y51" s="45"/>
      <c r="Z51" s="43" t="s">
        <v>96</v>
      </c>
      <c r="AA51" s="43" t="str">
        <f>IF(L51="Hold","Do not send",IF(T51="Not sent","Send WhatsApp",IF(U51="Demo booked","Prepare demo",IF(W51="Booked","Prepare demo",IF(AND(X51&lt;&gt;"",Y51=""),"Send follow-up","Review")))))</f>
        <v>Send WhatsApp</v>
      </c>
      <c r="AB51" s="43"/>
      <c r="AC51" s="43" t="s">
        <v>426</v>
      </c>
      <c r="AD51" s="43">
        <f>IF(AA51="Prepare demo",1,IF(AA51="Send follow-up",2,IF(AA51="Send WhatsApp",3,IF(AA51="Review",4,IF(AA51="Do not send",9,5)))))</f>
        <v>3</v>
      </c>
      <c r="AE51" s="43">
        <f>IF(M51="High",1,IF(M51="Medium",2,IF(M51="Normal",3,IF(M51="Hold",9,4))))</f>
        <v>3</v>
      </c>
      <c r="AF51" s="43">
        <f>IF(T51="Read",1,IF(T51="Delivered",2,IF(T51="Sent",3,IF(T51="Not sent",4,IF(T51="Failed",9,5)))))</f>
        <v>4</v>
      </c>
      <c r="AG51" s="43">
        <f>IF(U51="Demo booked",1,IF(U51="Interested",2,IF(U51="Replied",3,IF(U51="No reply",5,IF(U51="Not interested",8,IF(U51="Bad number",9,6))))))</f>
        <v>6</v>
      </c>
      <c r="AH51" s="46">
        <f>AD51*1000+AN51*100+AE51*10+AG51</f>
        <v>3436</v>
      </c>
      <c r="AI51" s="45">
        <f>MAX(IF(R51="",0,R51),IF(Y51="",0,Y51))</f>
        <v>0</v>
      </c>
      <c r="AJ51" s="43" t="str">
        <f ca="1">IF(AND(X51&lt;&gt;"",Y51="",X51&lt;TODAY()),"Overdue",IF(AND(X51&lt;&gt;"",Y51="",X51=TODAY()),"Due today",IF(Y51&lt;&gt;"","Follow-up sent","")))</f>
        <v/>
      </c>
      <c r="AK51" s="50" t="s">
        <v>264</v>
      </c>
      <c r="AL51" s="50" t="s">
        <v>265</v>
      </c>
      <c r="AM51" s="50" t="s">
        <v>266</v>
      </c>
      <c r="AN51" s="50">
        <v>4</v>
      </c>
      <c r="AO51" s="54" t="s">
        <v>432</v>
      </c>
      <c r="AP51" s="57" t="s">
        <v>127</v>
      </c>
      <c r="AQ51" s="58"/>
      <c r="AR51" s="57"/>
    </row>
    <row r="52" spans="1:44" ht="121.5" customHeight="1" x14ac:dyDescent="0.25">
      <c r="A52" s="43" t="s">
        <v>433</v>
      </c>
      <c r="B52" s="43" t="s">
        <v>434</v>
      </c>
      <c r="C52" s="43" t="s">
        <v>435</v>
      </c>
      <c r="D52" s="44" t="s">
        <v>436</v>
      </c>
      <c r="E52" s="43"/>
      <c r="F52" s="43" t="s">
        <v>394</v>
      </c>
      <c r="G52" s="45"/>
      <c r="H52" s="45">
        <v>46161</v>
      </c>
      <c r="I52" s="43" t="s">
        <v>425</v>
      </c>
      <c r="J52" s="43" t="s">
        <v>396</v>
      </c>
      <c r="K52" s="43" t="str">
        <f>IF(LEN(D52)=10,"OK","Check")</f>
        <v>OK</v>
      </c>
      <c r="L52" s="43" t="s">
        <v>262</v>
      </c>
      <c r="M52" s="43" t="str">
        <f>IF(L52="Hold","Hold",IF(IFERROR(E52,0)&gt;=200,"High",IF(IFERROR(E52,0)&gt;=100,"Medium","Normal")))</f>
        <v>Normal</v>
      </c>
      <c r="N52" s="43" t="s">
        <v>90</v>
      </c>
      <c r="O52" s="43" t="s">
        <v>91</v>
      </c>
      <c r="P52" s="43" t="s">
        <v>92</v>
      </c>
      <c r="Q52" s="17" t="s">
        <v>93</v>
      </c>
      <c r="R52" s="45"/>
      <c r="S52" s="43"/>
      <c r="T52" s="43" t="s">
        <v>31</v>
      </c>
      <c r="U52" s="43" t="s">
        <v>94</v>
      </c>
      <c r="V52" s="43" t="s">
        <v>94</v>
      </c>
      <c r="W52" s="43" t="s">
        <v>95</v>
      </c>
      <c r="X52" s="45" t="str">
        <f>IF(AND(R52&lt;&gt;"",OR(U52="No reply",U52="Unknown")),R52+2,"")</f>
        <v/>
      </c>
      <c r="Y52" s="45"/>
      <c r="Z52" s="43" t="s">
        <v>96</v>
      </c>
      <c r="AA52" s="43" t="str">
        <f>IF(L52="Hold","Do not send",IF(T52="Not sent","Send WhatsApp",IF(U52="Demo booked","Prepare demo",IF(W52="Booked","Prepare demo",IF(AND(X52&lt;&gt;"",Y52=""),"Send follow-up","Review")))))</f>
        <v>Send WhatsApp</v>
      </c>
      <c r="AB52" s="43"/>
      <c r="AC52" s="43" t="s">
        <v>426</v>
      </c>
      <c r="AD52" s="43">
        <f>IF(AA52="Prepare demo",1,IF(AA52="Send follow-up",2,IF(AA52="Send WhatsApp",3,IF(AA52="Review",4,IF(AA52="Do not send",9,5)))))</f>
        <v>3</v>
      </c>
      <c r="AE52" s="43">
        <f>IF(M52="High",1,IF(M52="Medium",2,IF(M52="Normal",3,IF(M52="Hold",9,4))))</f>
        <v>3</v>
      </c>
      <c r="AF52" s="43">
        <f>IF(T52="Read",1,IF(T52="Delivered",2,IF(T52="Sent",3,IF(T52="Not sent",4,IF(T52="Failed",9,5)))))</f>
        <v>4</v>
      </c>
      <c r="AG52" s="43">
        <f>IF(U52="Demo booked",1,IF(U52="Interested",2,IF(U52="Replied",3,IF(U52="No reply",5,IF(U52="Not interested",8,IF(U52="Bad number",9,6))))))</f>
        <v>6</v>
      </c>
      <c r="AH52" s="46">
        <f>AD52*1000+AN52*100+AE52*10+AG52</f>
        <v>3436</v>
      </c>
      <c r="AI52" s="45">
        <f>MAX(IF(R52="",0,R52),IF(Y52="",0,Y52))</f>
        <v>0</v>
      </c>
      <c r="AJ52" s="43" t="str">
        <f ca="1">IF(AND(X52&lt;&gt;"",Y52="",X52&lt;TODAY()),"Overdue",IF(AND(X52&lt;&gt;"",Y52="",X52=TODAY()),"Due today",IF(Y52&lt;&gt;"","Follow-up sent","")))</f>
        <v/>
      </c>
      <c r="AK52" s="50" t="s">
        <v>264</v>
      </c>
      <c r="AL52" s="50" t="s">
        <v>265</v>
      </c>
      <c r="AM52" s="50" t="s">
        <v>266</v>
      </c>
      <c r="AN52" s="50">
        <v>4</v>
      </c>
      <c r="AO52" s="54" t="s">
        <v>437</v>
      </c>
      <c r="AP52" s="57" t="s">
        <v>127</v>
      </c>
      <c r="AQ52" s="58"/>
      <c r="AR52" s="57"/>
    </row>
    <row r="53" spans="1:44" ht="121.5" customHeight="1" x14ac:dyDescent="0.25">
      <c r="A53" s="43" t="s">
        <v>438</v>
      </c>
      <c r="B53" s="43" t="s">
        <v>439</v>
      </c>
      <c r="C53" s="43" t="s">
        <v>440</v>
      </c>
      <c r="D53" s="44" t="s">
        <v>441</v>
      </c>
      <c r="E53" s="43"/>
      <c r="F53" s="43" t="s">
        <v>394</v>
      </c>
      <c r="G53" s="45"/>
      <c r="H53" s="45">
        <v>46161</v>
      </c>
      <c r="I53" s="43" t="s">
        <v>425</v>
      </c>
      <c r="J53" s="43" t="s">
        <v>396</v>
      </c>
      <c r="K53" s="43" t="str">
        <f>IF(LEN(D53)=10,"OK","Check")</f>
        <v>OK</v>
      </c>
      <c r="L53" s="43" t="s">
        <v>262</v>
      </c>
      <c r="M53" s="43" t="str">
        <f>IF(L53="Hold","Hold",IF(IFERROR(E53,0)&gt;=200,"High",IF(IFERROR(E53,0)&gt;=100,"Medium","Normal")))</f>
        <v>Normal</v>
      </c>
      <c r="N53" s="43" t="s">
        <v>90</v>
      </c>
      <c r="O53" s="43" t="s">
        <v>91</v>
      </c>
      <c r="P53" s="43" t="s">
        <v>92</v>
      </c>
      <c r="Q53" s="17" t="s">
        <v>93</v>
      </c>
      <c r="R53" s="45"/>
      <c r="S53" s="43"/>
      <c r="T53" s="43" t="s">
        <v>31</v>
      </c>
      <c r="U53" s="43" t="s">
        <v>94</v>
      </c>
      <c r="V53" s="43" t="s">
        <v>94</v>
      </c>
      <c r="W53" s="43" t="s">
        <v>95</v>
      </c>
      <c r="X53" s="45" t="str">
        <f>IF(AND(R53&lt;&gt;"",OR(U53="No reply",U53="Unknown")),R53+2,"")</f>
        <v/>
      </c>
      <c r="Y53" s="45"/>
      <c r="Z53" s="43" t="s">
        <v>96</v>
      </c>
      <c r="AA53" s="43" t="str">
        <f>IF(L53="Hold","Do not send",IF(T53="Not sent","Send WhatsApp",IF(U53="Demo booked","Prepare demo",IF(W53="Booked","Prepare demo",IF(AND(X53&lt;&gt;"",Y53=""),"Send follow-up","Review")))))</f>
        <v>Send WhatsApp</v>
      </c>
      <c r="AB53" s="43"/>
      <c r="AC53" s="43" t="s">
        <v>426</v>
      </c>
      <c r="AD53" s="43">
        <f>IF(AA53="Prepare demo",1,IF(AA53="Send follow-up",2,IF(AA53="Send WhatsApp",3,IF(AA53="Review",4,IF(AA53="Do not send",9,5)))))</f>
        <v>3</v>
      </c>
      <c r="AE53" s="43">
        <f>IF(M53="High",1,IF(M53="Medium",2,IF(M53="Normal",3,IF(M53="Hold",9,4))))</f>
        <v>3</v>
      </c>
      <c r="AF53" s="43">
        <f>IF(T53="Read",1,IF(T53="Delivered",2,IF(T53="Sent",3,IF(T53="Not sent",4,IF(T53="Failed",9,5)))))</f>
        <v>4</v>
      </c>
      <c r="AG53" s="43">
        <f>IF(U53="Demo booked",1,IF(U53="Interested",2,IF(U53="Replied",3,IF(U53="No reply",5,IF(U53="Not interested",8,IF(U53="Bad number",9,6))))))</f>
        <v>6</v>
      </c>
      <c r="AH53" s="46">
        <f>AD53*1000+AN53*100+AE53*10+AG53</f>
        <v>3436</v>
      </c>
      <c r="AI53" s="45">
        <f>MAX(IF(R53="",0,R53),IF(Y53="",0,Y53))</f>
        <v>0</v>
      </c>
      <c r="AJ53" s="43" t="str">
        <f ca="1">IF(AND(X53&lt;&gt;"",Y53="",X53&lt;TODAY()),"Overdue",IF(AND(X53&lt;&gt;"",Y53="",X53=TODAY()),"Due today",IF(Y53&lt;&gt;"","Follow-up sent","")))</f>
        <v/>
      </c>
      <c r="AK53" s="50" t="s">
        <v>264</v>
      </c>
      <c r="AL53" s="50" t="s">
        <v>265</v>
      </c>
      <c r="AM53" s="50" t="s">
        <v>266</v>
      </c>
      <c r="AN53" s="50">
        <v>4</v>
      </c>
      <c r="AO53" s="54" t="s">
        <v>442</v>
      </c>
      <c r="AP53" s="57" t="s">
        <v>127</v>
      </c>
      <c r="AQ53" s="58"/>
      <c r="AR53" s="57"/>
    </row>
    <row r="54" spans="1:44" ht="121.5" customHeight="1" x14ac:dyDescent="0.25">
      <c r="A54" s="43" t="s">
        <v>443</v>
      </c>
      <c r="B54" s="43" t="s">
        <v>444</v>
      </c>
      <c r="C54" s="43" t="s">
        <v>445</v>
      </c>
      <c r="D54" s="44" t="s">
        <v>446</v>
      </c>
      <c r="E54" s="43"/>
      <c r="F54" s="43" t="s">
        <v>394</v>
      </c>
      <c r="G54" s="45"/>
      <c r="H54" s="45">
        <v>46161</v>
      </c>
      <c r="I54" s="43" t="s">
        <v>403</v>
      </c>
      <c r="J54" s="43" t="s">
        <v>396</v>
      </c>
      <c r="K54" s="43" t="str">
        <f>IF(LEN(D54)=10,"OK","Check")</f>
        <v>OK</v>
      </c>
      <c r="L54" s="43" t="s">
        <v>262</v>
      </c>
      <c r="M54" s="43" t="str">
        <f>IF(L54="Hold","Hold",IF(IFERROR(E54,0)&gt;=200,"High",IF(IFERROR(E54,0)&gt;=100,"Medium","Normal")))</f>
        <v>Normal</v>
      </c>
      <c r="N54" s="43" t="s">
        <v>90</v>
      </c>
      <c r="O54" s="43" t="s">
        <v>91</v>
      </c>
      <c r="P54" s="43" t="s">
        <v>92</v>
      </c>
      <c r="Q54" s="17" t="s">
        <v>93</v>
      </c>
      <c r="R54" s="45"/>
      <c r="S54" s="43"/>
      <c r="T54" s="43" t="s">
        <v>31</v>
      </c>
      <c r="U54" s="43" t="s">
        <v>94</v>
      </c>
      <c r="V54" s="43" t="s">
        <v>94</v>
      </c>
      <c r="W54" s="43" t="s">
        <v>95</v>
      </c>
      <c r="X54" s="45" t="str">
        <f>IF(AND(R54&lt;&gt;"",OR(U54="No reply",U54="Unknown")),R54+2,"")</f>
        <v/>
      </c>
      <c r="Y54" s="45"/>
      <c r="Z54" s="43" t="s">
        <v>96</v>
      </c>
      <c r="AA54" s="43" t="str">
        <f>IF(L54="Hold","Do not send",IF(T54="Not sent","Send WhatsApp",IF(U54="Demo booked","Prepare demo",IF(W54="Booked","Prepare demo",IF(AND(X54&lt;&gt;"",Y54=""),"Send follow-up","Review")))))</f>
        <v>Send WhatsApp</v>
      </c>
      <c r="AB54" s="43"/>
      <c r="AC54" s="43" t="s">
        <v>404</v>
      </c>
      <c r="AD54" s="43">
        <f>IF(AA54="Prepare demo",1,IF(AA54="Send follow-up",2,IF(AA54="Send WhatsApp",3,IF(AA54="Review",4,IF(AA54="Do not send",9,5)))))</f>
        <v>3</v>
      </c>
      <c r="AE54" s="43">
        <f>IF(M54="High",1,IF(M54="Medium",2,IF(M54="Normal",3,IF(M54="Hold",9,4))))</f>
        <v>3</v>
      </c>
      <c r="AF54" s="43">
        <f>IF(T54="Read",1,IF(T54="Delivered",2,IF(T54="Sent",3,IF(T54="Not sent",4,IF(T54="Failed",9,5)))))</f>
        <v>4</v>
      </c>
      <c r="AG54" s="43">
        <f>IF(U54="Demo booked",1,IF(U54="Interested",2,IF(U54="Replied",3,IF(U54="No reply",5,IF(U54="Not interested",8,IF(U54="Bad number",9,6))))))</f>
        <v>6</v>
      </c>
      <c r="AH54" s="46">
        <f>AD54*1000+AN54*100+AE54*10+AG54</f>
        <v>3436</v>
      </c>
      <c r="AI54" s="45">
        <f>MAX(IF(R54="",0,R54),IF(Y54="",0,Y54))</f>
        <v>0</v>
      </c>
      <c r="AJ54" s="43" t="str">
        <f ca="1">IF(AND(X54&lt;&gt;"",Y54="",X54&lt;TODAY()),"Overdue",IF(AND(X54&lt;&gt;"",Y54="",X54=TODAY()),"Due today",IF(Y54&lt;&gt;"","Follow-up sent","")))</f>
        <v/>
      </c>
      <c r="AK54" s="50" t="s">
        <v>264</v>
      </c>
      <c r="AL54" s="50" t="s">
        <v>265</v>
      </c>
      <c r="AM54" s="50" t="s">
        <v>266</v>
      </c>
      <c r="AN54" s="50">
        <v>4</v>
      </c>
      <c r="AO54" s="54" t="s">
        <v>447</v>
      </c>
      <c r="AP54" s="57" t="s">
        <v>127</v>
      </c>
      <c r="AQ54" s="58"/>
      <c r="AR54" s="57"/>
    </row>
    <row r="55" spans="1:44" ht="121.5" customHeight="1" x14ac:dyDescent="0.25">
      <c r="A55" s="43" t="s">
        <v>448</v>
      </c>
      <c r="B55" s="43" t="s">
        <v>449</v>
      </c>
      <c r="C55" s="43" t="s">
        <v>312</v>
      </c>
      <c r="D55" s="44" t="s">
        <v>450</v>
      </c>
      <c r="E55" s="43"/>
      <c r="F55" s="43" t="s">
        <v>394</v>
      </c>
      <c r="G55" s="45"/>
      <c r="H55" s="45">
        <v>46161</v>
      </c>
      <c r="I55" s="43" t="s">
        <v>403</v>
      </c>
      <c r="J55" s="43" t="s">
        <v>396</v>
      </c>
      <c r="K55" s="43" t="str">
        <f>IF(LEN(D55)=10,"OK","Check")</f>
        <v>OK</v>
      </c>
      <c r="L55" s="43" t="s">
        <v>262</v>
      </c>
      <c r="M55" s="43" t="str">
        <f>IF(L55="Hold","Hold",IF(IFERROR(E55,0)&gt;=200,"High",IF(IFERROR(E55,0)&gt;=100,"Medium","Normal")))</f>
        <v>Normal</v>
      </c>
      <c r="N55" s="43" t="s">
        <v>90</v>
      </c>
      <c r="O55" s="43" t="s">
        <v>91</v>
      </c>
      <c r="P55" s="43" t="s">
        <v>92</v>
      </c>
      <c r="Q55" s="17" t="s">
        <v>93</v>
      </c>
      <c r="R55" s="45"/>
      <c r="S55" s="43"/>
      <c r="T55" s="43" t="s">
        <v>31</v>
      </c>
      <c r="U55" s="43" t="s">
        <v>94</v>
      </c>
      <c r="V55" s="43" t="s">
        <v>94</v>
      </c>
      <c r="W55" s="43" t="s">
        <v>95</v>
      </c>
      <c r="X55" s="45" t="str">
        <f>IF(AND(R55&lt;&gt;"",OR(U55="No reply",U55="Unknown")),R55+2,"")</f>
        <v/>
      </c>
      <c r="Y55" s="45"/>
      <c r="Z55" s="43" t="s">
        <v>96</v>
      </c>
      <c r="AA55" s="43" t="str">
        <f>IF(L55="Hold","Do not send",IF(T55="Not sent","Send WhatsApp",IF(U55="Demo booked","Prepare demo",IF(W55="Booked","Prepare demo",IF(AND(X55&lt;&gt;"",Y55=""),"Send follow-up","Review")))))</f>
        <v>Send WhatsApp</v>
      </c>
      <c r="AB55" s="43"/>
      <c r="AC55" s="43" t="s">
        <v>404</v>
      </c>
      <c r="AD55" s="43">
        <f>IF(AA55="Prepare demo",1,IF(AA55="Send follow-up",2,IF(AA55="Send WhatsApp",3,IF(AA55="Review",4,IF(AA55="Do not send",9,5)))))</f>
        <v>3</v>
      </c>
      <c r="AE55" s="43">
        <f>IF(M55="High",1,IF(M55="Medium",2,IF(M55="Normal",3,IF(M55="Hold",9,4))))</f>
        <v>3</v>
      </c>
      <c r="AF55" s="43">
        <f>IF(T55="Read",1,IF(T55="Delivered",2,IF(T55="Sent",3,IF(T55="Not sent",4,IF(T55="Failed",9,5)))))</f>
        <v>4</v>
      </c>
      <c r="AG55" s="43">
        <f>IF(U55="Demo booked",1,IF(U55="Interested",2,IF(U55="Replied",3,IF(U55="No reply",5,IF(U55="Not interested",8,IF(U55="Bad number",9,6))))))</f>
        <v>6</v>
      </c>
      <c r="AH55" s="46">
        <f>AD55*1000+AN55*100+AE55*10+AG55</f>
        <v>3436</v>
      </c>
      <c r="AI55" s="45">
        <f>MAX(IF(R55="",0,R55),IF(Y55="",0,Y55))</f>
        <v>0</v>
      </c>
      <c r="AJ55" s="43" t="str">
        <f ca="1">IF(AND(X55&lt;&gt;"",Y55="",X55&lt;TODAY()),"Overdue",IF(AND(X55&lt;&gt;"",Y55="",X55=TODAY()),"Due today",IF(Y55&lt;&gt;"","Follow-up sent","")))</f>
        <v/>
      </c>
      <c r="AK55" s="50" t="s">
        <v>264</v>
      </c>
      <c r="AL55" s="50" t="s">
        <v>265</v>
      </c>
      <c r="AM55" s="50" t="s">
        <v>266</v>
      </c>
      <c r="AN55" s="50">
        <v>4</v>
      </c>
      <c r="AO55" s="54" t="s">
        <v>451</v>
      </c>
      <c r="AP55" s="57" t="s">
        <v>127</v>
      </c>
      <c r="AQ55" s="58"/>
      <c r="AR55" s="57"/>
    </row>
    <row r="56" spans="1:44" ht="121.5" customHeight="1" x14ac:dyDescent="0.25">
      <c r="A56" s="43" t="s">
        <v>452</v>
      </c>
      <c r="B56" s="43" t="s">
        <v>453</v>
      </c>
      <c r="C56" s="43" t="s">
        <v>454</v>
      </c>
      <c r="D56" s="44" t="s">
        <v>455</v>
      </c>
      <c r="E56" s="43"/>
      <c r="F56" s="43" t="s">
        <v>394</v>
      </c>
      <c r="G56" s="45"/>
      <c r="H56" s="45">
        <v>46161</v>
      </c>
      <c r="I56" s="43" t="s">
        <v>425</v>
      </c>
      <c r="J56" s="43" t="s">
        <v>396</v>
      </c>
      <c r="K56" s="43" t="str">
        <f>IF(LEN(D56)=10,"OK","Check")</f>
        <v>OK</v>
      </c>
      <c r="L56" s="43" t="s">
        <v>262</v>
      </c>
      <c r="M56" s="43" t="str">
        <f>IF(L56="Hold","Hold",IF(IFERROR(E56,0)&gt;=200,"High",IF(IFERROR(E56,0)&gt;=100,"Medium","Normal")))</f>
        <v>Normal</v>
      </c>
      <c r="N56" s="43" t="s">
        <v>90</v>
      </c>
      <c r="O56" s="43" t="s">
        <v>91</v>
      </c>
      <c r="P56" s="43" t="s">
        <v>92</v>
      </c>
      <c r="Q56" s="17" t="s">
        <v>93</v>
      </c>
      <c r="R56" s="45"/>
      <c r="S56" s="43"/>
      <c r="T56" s="43" t="s">
        <v>31</v>
      </c>
      <c r="U56" s="43" t="s">
        <v>94</v>
      </c>
      <c r="V56" s="43" t="s">
        <v>94</v>
      </c>
      <c r="W56" s="43" t="s">
        <v>95</v>
      </c>
      <c r="X56" s="45" t="str">
        <f>IF(AND(R56&lt;&gt;"",OR(U56="No reply",U56="Unknown")),R56+2,"")</f>
        <v/>
      </c>
      <c r="Y56" s="45"/>
      <c r="Z56" s="43" t="s">
        <v>96</v>
      </c>
      <c r="AA56" s="43" t="str">
        <f>IF(L56="Hold","Do not send",IF(T56="Not sent","Send WhatsApp",IF(U56="Demo booked","Prepare demo",IF(W56="Booked","Prepare demo",IF(AND(X56&lt;&gt;"",Y56=""),"Send follow-up","Review")))))</f>
        <v>Send WhatsApp</v>
      </c>
      <c r="AB56" s="43"/>
      <c r="AC56" s="43" t="s">
        <v>426</v>
      </c>
      <c r="AD56" s="43">
        <f>IF(AA56="Prepare demo",1,IF(AA56="Send follow-up",2,IF(AA56="Send WhatsApp",3,IF(AA56="Review",4,IF(AA56="Do not send",9,5)))))</f>
        <v>3</v>
      </c>
      <c r="AE56" s="43">
        <f>IF(M56="High",1,IF(M56="Medium",2,IF(M56="Normal",3,IF(M56="Hold",9,4))))</f>
        <v>3</v>
      </c>
      <c r="AF56" s="43">
        <f>IF(T56="Read",1,IF(T56="Delivered",2,IF(T56="Sent",3,IF(T56="Not sent",4,IF(T56="Failed",9,5)))))</f>
        <v>4</v>
      </c>
      <c r="AG56" s="43">
        <f>IF(U56="Demo booked",1,IF(U56="Interested",2,IF(U56="Replied",3,IF(U56="No reply",5,IF(U56="Not interested",8,IF(U56="Bad number",9,6))))))</f>
        <v>6</v>
      </c>
      <c r="AH56" s="46">
        <f>AD56*1000+AN56*100+AE56*10+AG56</f>
        <v>3436</v>
      </c>
      <c r="AI56" s="45">
        <f>MAX(IF(R56="",0,R56),IF(Y56="",0,Y56))</f>
        <v>0</v>
      </c>
      <c r="AJ56" s="43" t="str">
        <f ca="1">IF(AND(X56&lt;&gt;"",Y56="",X56&lt;TODAY()),"Overdue",IF(AND(X56&lt;&gt;"",Y56="",X56=TODAY()),"Due today",IF(Y56&lt;&gt;"","Follow-up sent","")))</f>
        <v/>
      </c>
      <c r="AK56" s="50" t="s">
        <v>264</v>
      </c>
      <c r="AL56" s="50" t="s">
        <v>265</v>
      </c>
      <c r="AM56" s="50" t="s">
        <v>266</v>
      </c>
      <c r="AN56" s="50">
        <v>4</v>
      </c>
      <c r="AO56" s="54" t="s">
        <v>456</v>
      </c>
      <c r="AP56" s="57" t="s">
        <v>127</v>
      </c>
      <c r="AQ56" s="58"/>
      <c r="AR56" s="57"/>
    </row>
    <row r="57" spans="1:44" ht="121.5" customHeight="1" x14ac:dyDescent="0.25">
      <c r="A57" s="43" t="s">
        <v>457</v>
      </c>
      <c r="B57" s="43" t="s">
        <v>458</v>
      </c>
      <c r="C57" s="43" t="s">
        <v>332</v>
      </c>
      <c r="D57" s="44" t="s">
        <v>459</v>
      </c>
      <c r="E57" s="43"/>
      <c r="F57" s="43" t="s">
        <v>394</v>
      </c>
      <c r="G57" s="45"/>
      <c r="H57" s="45">
        <v>46161</v>
      </c>
      <c r="I57" s="43" t="s">
        <v>403</v>
      </c>
      <c r="J57" s="43" t="s">
        <v>396</v>
      </c>
      <c r="K57" s="43" t="str">
        <f>IF(LEN(D57)=10,"OK","Check")</f>
        <v>OK</v>
      </c>
      <c r="L57" s="43" t="s">
        <v>262</v>
      </c>
      <c r="M57" s="43" t="str">
        <f>IF(L57="Hold","Hold",IF(IFERROR(E57,0)&gt;=200,"High",IF(IFERROR(E57,0)&gt;=100,"Medium","Normal")))</f>
        <v>Normal</v>
      </c>
      <c r="N57" s="43" t="s">
        <v>90</v>
      </c>
      <c r="O57" s="43" t="s">
        <v>91</v>
      </c>
      <c r="P57" s="43" t="s">
        <v>92</v>
      </c>
      <c r="Q57" s="17" t="s">
        <v>93</v>
      </c>
      <c r="R57" s="45"/>
      <c r="S57" s="43"/>
      <c r="T57" s="43" t="s">
        <v>31</v>
      </c>
      <c r="U57" s="43" t="s">
        <v>94</v>
      </c>
      <c r="V57" s="43" t="s">
        <v>94</v>
      </c>
      <c r="W57" s="43" t="s">
        <v>95</v>
      </c>
      <c r="X57" s="45" t="str">
        <f>IF(AND(R57&lt;&gt;"",OR(U57="No reply",U57="Unknown")),R57+2,"")</f>
        <v/>
      </c>
      <c r="Y57" s="45"/>
      <c r="Z57" s="43" t="s">
        <v>96</v>
      </c>
      <c r="AA57" s="43" t="str">
        <f>IF(L57="Hold","Do not send",IF(T57="Not sent","Send WhatsApp",IF(U57="Demo booked","Prepare demo",IF(W57="Booked","Prepare demo",IF(AND(X57&lt;&gt;"",Y57=""),"Send follow-up","Review")))))</f>
        <v>Send WhatsApp</v>
      </c>
      <c r="AB57" s="43"/>
      <c r="AC57" s="43" t="s">
        <v>404</v>
      </c>
      <c r="AD57" s="43">
        <f>IF(AA57="Prepare demo",1,IF(AA57="Send follow-up",2,IF(AA57="Send WhatsApp",3,IF(AA57="Review",4,IF(AA57="Do not send",9,5)))))</f>
        <v>3</v>
      </c>
      <c r="AE57" s="43">
        <f>IF(M57="High",1,IF(M57="Medium",2,IF(M57="Normal",3,IF(M57="Hold",9,4))))</f>
        <v>3</v>
      </c>
      <c r="AF57" s="43">
        <f>IF(T57="Read",1,IF(T57="Delivered",2,IF(T57="Sent",3,IF(T57="Not sent",4,IF(T57="Failed",9,5)))))</f>
        <v>4</v>
      </c>
      <c r="AG57" s="43">
        <f>IF(U57="Demo booked",1,IF(U57="Interested",2,IF(U57="Replied",3,IF(U57="No reply",5,IF(U57="Not interested",8,IF(U57="Bad number",9,6))))))</f>
        <v>6</v>
      </c>
      <c r="AH57" s="46">
        <f>AD57*1000+AN57*100+AE57*10+AG57</f>
        <v>3436</v>
      </c>
      <c r="AI57" s="45">
        <f>MAX(IF(R57="",0,R57),IF(Y57="",0,Y57))</f>
        <v>0</v>
      </c>
      <c r="AJ57" s="43" t="str">
        <f ca="1">IF(AND(X57&lt;&gt;"",Y57="",X57&lt;TODAY()),"Overdue",IF(AND(X57&lt;&gt;"",Y57="",X57=TODAY()),"Due today",IF(Y57&lt;&gt;"","Follow-up sent","")))</f>
        <v/>
      </c>
      <c r="AK57" s="50" t="s">
        <v>264</v>
      </c>
      <c r="AL57" s="50" t="s">
        <v>265</v>
      </c>
      <c r="AM57" s="50" t="s">
        <v>266</v>
      </c>
      <c r="AN57" s="50">
        <v>4</v>
      </c>
      <c r="AO57" s="54" t="s">
        <v>460</v>
      </c>
      <c r="AP57" s="57" t="s">
        <v>127</v>
      </c>
      <c r="AQ57" s="58"/>
      <c r="AR57" s="57"/>
    </row>
    <row r="58" spans="1:44" ht="121.5" customHeight="1" x14ac:dyDescent="0.25">
      <c r="A58" s="43" t="s">
        <v>461</v>
      </c>
      <c r="B58" s="43" t="s">
        <v>462</v>
      </c>
      <c r="C58" s="43" t="s">
        <v>463</v>
      </c>
      <c r="D58" s="44" t="s">
        <v>464</v>
      </c>
      <c r="E58" s="43"/>
      <c r="F58" s="43" t="s">
        <v>394</v>
      </c>
      <c r="G58" s="45"/>
      <c r="H58" s="45">
        <v>46161</v>
      </c>
      <c r="I58" s="43" t="s">
        <v>425</v>
      </c>
      <c r="J58" s="43" t="s">
        <v>396</v>
      </c>
      <c r="K58" s="43" t="str">
        <f>IF(LEN(D58)=10,"OK","Check")</f>
        <v>OK</v>
      </c>
      <c r="L58" s="43" t="s">
        <v>262</v>
      </c>
      <c r="M58" s="43" t="str">
        <f>IF(L58="Hold","Hold",IF(IFERROR(E58,0)&gt;=200,"High",IF(IFERROR(E58,0)&gt;=100,"Medium","Normal")))</f>
        <v>Normal</v>
      </c>
      <c r="N58" s="43" t="s">
        <v>90</v>
      </c>
      <c r="O58" s="43" t="s">
        <v>91</v>
      </c>
      <c r="P58" s="43" t="s">
        <v>92</v>
      </c>
      <c r="Q58" s="17" t="s">
        <v>93</v>
      </c>
      <c r="R58" s="45"/>
      <c r="S58" s="43"/>
      <c r="T58" s="43" t="s">
        <v>31</v>
      </c>
      <c r="U58" s="43" t="s">
        <v>94</v>
      </c>
      <c r="V58" s="43" t="s">
        <v>94</v>
      </c>
      <c r="W58" s="43" t="s">
        <v>95</v>
      </c>
      <c r="X58" s="45" t="str">
        <f>IF(AND(R58&lt;&gt;"",OR(U58="No reply",U58="Unknown")),R58+2,"")</f>
        <v/>
      </c>
      <c r="Y58" s="45"/>
      <c r="Z58" s="43" t="s">
        <v>96</v>
      </c>
      <c r="AA58" s="43" t="str">
        <f>IF(L58="Hold","Do not send",IF(T58="Not sent","Send WhatsApp",IF(U58="Demo booked","Prepare demo",IF(W58="Booked","Prepare demo",IF(AND(X58&lt;&gt;"",Y58=""),"Send follow-up","Review")))))</f>
        <v>Send WhatsApp</v>
      </c>
      <c r="AB58" s="43"/>
      <c r="AC58" s="43" t="s">
        <v>426</v>
      </c>
      <c r="AD58" s="43">
        <f>IF(AA58="Prepare demo",1,IF(AA58="Send follow-up",2,IF(AA58="Send WhatsApp",3,IF(AA58="Review",4,IF(AA58="Do not send",9,5)))))</f>
        <v>3</v>
      </c>
      <c r="AE58" s="43">
        <f>IF(M58="High",1,IF(M58="Medium",2,IF(M58="Normal",3,IF(M58="Hold",9,4))))</f>
        <v>3</v>
      </c>
      <c r="AF58" s="43">
        <f>IF(T58="Read",1,IF(T58="Delivered",2,IF(T58="Sent",3,IF(T58="Not sent",4,IF(T58="Failed",9,5)))))</f>
        <v>4</v>
      </c>
      <c r="AG58" s="43">
        <f>IF(U58="Demo booked",1,IF(U58="Interested",2,IF(U58="Replied",3,IF(U58="No reply",5,IF(U58="Not interested",8,IF(U58="Bad number",9,6))))))</f>
        <v>6</v>
      </c>
      <c r="AH58" s="46">
        <f>AD58*1000+AN58*100+AE58*10+AG58</f>
        <v>3436</v>
      </c>
      <c r="AI58" s="45">
        <f>MAX(IF(R58="",0,R58),IF(Y58="",0,Y58))</f>
        <v>0</v>
      </c>
      <c r="AJ58" s="43" t="str">
        <f ca="1">IF(AND(X58&lt;&gt;"",Y58="",X58&lt;TODAY()),"Overdue",IF(AND(X58&lt;&gt;"",Y58="",X58=TODAY()),"Due today",IF(Y58&lt;&gt;"","Follow-up sent","")))</f>
        <v/>
      </c>
      <c r="AK58" s="50" t="s">
        <v>264</v>
      </c>
      <c r="AL58" s="50" t="s">
        <v>265</v>
      </c>
      <c r="AM58" s="50" t="s">
        <v>266</v>
      </c>
      <c r="AN58" s="50">
        <v>4</v>
      </c>
      <c r="AO58" s="54" t="s">
        <v>465</v>
      </c>
      <c r="AP58" s="57" t="s">
        <v>127</v>
      </c>
      <c r="AQ58" s="58"/>
      <c r="AR58" s="57"/>
    </row>
    <row r="59" spans="1:44" ht="121.5" customHeight="1" x14ac:dyDescent="0.25">
      <c r="A59" s="43" t="s">
        <v>466</v>
      </c>
      <c r="B59" s="43" t="s">
        <v>467</v>
      </c>
      <c r="C59" s="43" t="s">
        <v>468</v>
      </c>
      <c r="D59" s="44" t="s">
        <v>469</v>
      </c>
      <c r="E59" s="43"/>
      <c r="F59" s="43" t="s">
        <v>394</v>
      </c>
      <c r="G59" s="45"/>
      <c r="H59" s="45">
        <v>46161</v>
      </c>
      <c r="I59" s="43" t="s">
        <v>403</v>
      </c>
      <c r="J59" s="43" t="s">
        <v>396</v>
      </c>
      <c r="K59" s="43" t="str">
        <f>IF(LEN(D59)=10,"OK","Check")</f>
        <v>OK</v>
      </c>
      <c r="L59" s="43" t="s">
        <v>262</v>
      </c>
      <c r="M59" s="43" t="str">
        <f>IF(L59="Hold","Hold",IF(IFERROR(E59,0)&gt;=200,"High",IF(IFERROR(E59,0)&gt;=100,"Medium","Normal")))</f>
        <v>Normal</v>
      </c>
      <c r="N59" s="43" t="s">
        <v>90</v>
      </c>
      <c r="O59" s="43" t="s">
        <v>91</v>
      </c>
      <c r="P59" s="43" t="s">
        <v>92</v>
      </c>
      <c r="Q59" s="17" t="s">
        <v>93</v>
      </c>
      <c r="R59" s="45"/>
      <c r="S59" s="43"/>
      <c r="T59" s="43" t="s">
        <v>31</v>
      </c>
      <c r="U59" s="43" t="s">
        <v>94</v>
      </c>
      <c r="V59" s="43" t="s">
        <v>94</v>
      </c>
      <c r="W59" s="43" t="s">
        <v>95</v>
      </c>
      <c r="X59" s="45" t="str">
        <f>IF(AND(R59&lt;&gt;"",OR(U59="No reply",U59="Unknown")),R59+2,"")</f>
        <v/>
      </c>
      <c r="Y59" s="45"/>
      <c r="Z59" s="43" t="s">
        <v>96</v>
      </c>
      <c r="AA59" s="43" t="str">
        <f>IF(L59="Hold","Do not send",IF(T59="Not sent","Send WhatsApp",IF(U59="Demo booked","Prepare demo",IF(W59="Booked","Prepare demo",IF(AND(X59&lt;&gt;"",Y59=""),"Send follow-up","Review")))))</f>
        <v>Send WhatsApp</v>
      </c>
      <c r="AB59" s="43"/>
      <c r="AC59" s="43" t="s">
        <v>404</v>
      </c>
      <c r="AD59" s="43">
        <f>IF(AA59="Prepare demo",1,IF(AA59="Send follow-up",2,IF(AA59="Send WhatsApp",3,IF(AA59="Review",4,IF(AA59="Do not send",9,5)))))</f>
        <v>3</v>
      </c>
      <c r="AE59" s="43">
        <f>IF(M59="High",1,IF(M59="Medium",2,IF(M59="Normal",3,IF(M59="Hold",9,4))))</f>
        <v>3</v>
      </c>
      <c r="AF59" s="43">
        <f>IF(T59="Read",1,IF(T59="Delivered",2,IF(T59="Sent",3,IF(T59="Not sent",4,IF(T59="Failed",9,5)))))</f>
        <v>4</v>
      </c>
      <c r="AG59" s="43">
        <f>IF(U59="Demo booked",1,IF(U59="Interested",2,IF(U59="Replied",3,IF(U59="No reply",5,IF(U59="Not interested",8,IF(U59="Bad number",9,6))))))</f>
        <v>6</v>
      </c>
      <c r="AH59" s="46">
        <f>AD59*1000+AN59*100+AE59*10+AG59</f>
        <v>3436</v>
      </c>
      <c r="AI59" s="45">
        <f>MAX(IF(R59="",0,R59),IF(Y59="",0,Y59))</f>
        <v>0</v>
      </c>
      <c r="AJ59" s="43" t="str">
        <f ca="1">IF(AND(X59&lt;&gt;"",Y59="",X59&lt;TODAY()),"Overdue",IF(AND(X59&lt;&gt;"",Y59="",X59=TODAY()),"Due today",IF(Y59&lt;&gt;"","Follow-up sent","")))</f>
        <v/>
      </c>
      <c r="AK59" s="50" t="s">
        <v>264</v>
      </c>
      <c r="AL59" s="50" t="s">
        <v>265</v>
      </c>
      <c r="AM59" s="50" t="s">
        <v>266</v>
      </c>
      <c r="AN59" s="50">
        <v>4</v>
      </c>
      <c r="AO59" s="54" t="s">
        <v>470</v>
      </c>
      <c r="AP59" s="57" t="s">
        <v>127</v>
      </c>
      <c r="AQ59" s="58"/>
      <c r="AR59" s="57"/>
    </row>
    <row r="60" spans="1:44" ht="121.5" customHeight="1" x14ac:dyDescent="0.25">
      <c r="A60" s="43" t="s">
        <v>471</v>
      </c>
      <c r="B60" s="43" t="s">
        <v>472</v>
      </c>
      <c r="C60" s="43" t="s">
        <v>473</v>
      </c>
      <c r="D60" s="44" t="s">
        <v>474</v>
      </c>
      <c r="E60" s="43"/>
      <c r="F60" s="43" t="s">
        <v>394</v>
      </c>
      <c r="G60" s="45"/>
      <c r="H60" s="45">
        <v>46161</v>
      </c>
      <c r="I60" s="43" t="s">
        <v>425</v>
      </c>
      <c r="J60" s="43" t="s">
        <v>396</v>
      </c>
      <c r="K60" s="43" t="str">
        <f>IF(LEN(D60)=10,"OK","Check")</f>
        <v>OK</v>
      </c>
      <c r="L60" s="43" t="s">
        <v>262</v>
      </c>
      <c r="M60" s="43" t="str">
        <f>IF(L60="Hold","Hold",IF(IFERROR(E60,0)&gt;=200,"High",IF(IFERROR(E60,0)&gt;=100,"Medium","Normal")))</f>
        <v>Normal</v>
      </c>
      <c r="N60" s="43" t="s">
        <v>90</v>
      </c>
      <c r="O60" s="43" t="s">
        <v>91</v>
      </c>
      <c r="P60" s="43" t="s">
        <v>92</v>
      </c>
      <c r="Q60" s="17" t="s">
        <v>93</v>
      </c>
      <c r="R60" s="45"/>
      <c r="S60" s="43"/>
      <c r="T60" s="43" t="s">
        <v>31</v>
      </c>
      <c r="U60" s="43" t="s">
        <v>94</v>
      </c>
      <c r="V60" s="43" t="s">
        <v>94</v>
      </c>
      <c r="W60" s="43" t="s">
        <v>95</v>
      </c>
      <c r="X60" s="45" t="str">
        <f>IF(AND(R60&lt;&gt;"",OR(U60="No reply",U60="Unknown")),R60+2,"")</f>
        <v/>
      </c>
      <c r="Y60" s="45"/>
      <c r="Z60" s="43" t="s">
        <v>96</v>
      </c>
      <c r="AA60" s="43" t="str">
        <f>IF(L60="Hold","Do not send",IF(T60="Not sent","Send WhatsApp",IF(U60="Demo booked","Prepare demo",IF(W60="Booked","Prepare demo",IF(AND(X60&lt;&gt;"",Y60=""),"Send follow-up","Review")))))</f>
        <v>Send WhatsApp</v>
      </c>
      <c r="AB60" s="43"/>
      <c r="AC60" s="43" t="s">
        <v>426</v>
      </c>
      <c r="AD60" s="43">
        <f>IF(AA60="Prepare demo",1,IF(AA60="Send follow-up",2,IF(AA60="Send WhatsApp",3,IF(AA60="Review",4,IF(AA60="Do not send",9,5)))))</f>
        <v>3</v>
      </c>
      <c r="AE60" s="43">
        <f>IF(M60="High",1,IF(M60="Medium",2,IF(M60="Normal",3,IF(M60="Hold",9,4))))</f>
        <v>3</v>
      </c>
      <c r="AF60" s="43">
        <f>IF(T60="Read",1,IF(T60="Delivered",2,IF(T60="Sent",3,IF(T60="Not sent",4,IF(T60="Failed",9,5)))))</f>
        <v>4</v>
      </c>
      <c r="AG60" s="43">
        <f>IF(U60="Demo booked",1,IF(U60="Interested",2,IF(U60="Replied",3,IF(U60="No reply",5,IF(U60="Not interested",8,IF(U60="Bad number",9,6))))))</f>
        <v>6</v>
      </c>
      <c r="AH60" s="46">
        <f>AD60*1000+AN60*100+AE60*10+AG60</f>
        <v>3436</v>
      </c>
      <c r="AI60" s="45">
        <f>MAX(IF(R60="",0,R60),IF(Y60="",0,Y60))</f>
        <v>0</v>
      </c>
      <c r="AJ60" s="43" t="str">
        <f ca="1">IF(AND(X60&lt;&gt;"",Y60="",X60&lt;TODAY()),"Overdue",IF(AND(X60&lt;&gt;"",Y60="",X60=TODAY()),"Due today",IF(Y60&lt;&gt;"","Follow-up sent","")))</f>
        <v/>
      </c>
      <c r="AK60" s="50" t="s">
        <v>264</v>
      </c>
      <c r="AL60" s="50" t="s">
        <v>265</v>
      </c>
      <c r="AM60" s="50" t="s">
        <v>266</v>
      </c>
      <c r="AN60" s="50">
        <v>4</v>
      </c>
      <c r="AO60" s="54" t="s">
        <v>475</v>
      </c>
      <c r="AP60" s="57" t="s">
        <v>127</v>
      </c>
      <c r="AQ60" s="58"/>
      <c r="AR60" s="57"/>
    </row>
    <row r="61" spans="1:44" ht="148.5" customHeight="1" x14ac:dyDescent="0.25">
      <c r="A61" s="43" t="s">
        <v>476</v>
      </c>
      <c r="B61" s="43" t="s">
        <v>477</v>
      </c>
      <c r="C61" s="43" t="s">
        <v>478</v>
      </c>
      <c r="D61" s="44" t="s">
        <v>479</v>
      </c>
      <c r="E61" s="43"/>
      <c r="F61" s="43" t="s">
        <v>394</v>
      </c>
      <c r="G61" s="45"/>
      <c r="H61" s="45">
        <v>46161</v>
      </c>
      <c r="I61" s="43" t="s">
        <v>425</v>
      </c>
      <c r="J61" s="43" t="s">
        <v>396</v>
      </c>
      <c r="K61" s="43" t="str">
        <f>IF(LEN(D61)=10,"OK","Check")</f>
        <v>OK</v>
      </c>
      <c r="L61" s="43" t="s">
        <v>262</v>
      </c>
      <c r="M61" s="43" t="str">
        <f>IF(L61="Hold","Hold",IF(IFERROR(E61,0)&gt;=200,"High",IF(IFERROR(E61,0)&gt;=100,"Medium","Normal")))</f>
        <v>Normal</v>
      </c>
      <c r="N61" s="43" t="s">
        <v>90</v>
      </c>
      <c r="O61" s="43" t="s">
        <v>91</v>
      </c>
      <c r="P61" s="43" t="s">
        <v>92</v>
      </c>
      <c r="Q61" s="17" t="s">
        <v>93</v>
      </c>
      <c r="R61" s="45"/>
      <c r="S61" s="43"/>
      <c r="T61" s="43" t="s">
        <v>31</v>
      </c>
      <c r="U61" s="43" t="s">
        <v>94</v>
      </c>
      <c r="V61" s="43" t="s">
        <v>94</v>
      </c>
      <c r="W61" s="43" t="s">
        <v>95</v>
      </c>
      <c r="X61" s="45" t="str">
        <f>IF(AND(R61&lt;&gt;"",OR(U61="No reply",U61="Unknown")),R61+2,"")</f>
        <v/>
      </c>
      <c r="Y61" s="45"/>
      <c r="Z61" s="43" t="s">
        <v>96</v>
      </c>
      <c r="AA61" s="43" t="str">
        <f>IF(L61="Hold","Do not send",IF(T61="Not sent","Send WhatsApp",IF(U61="Demo booked","Prepare demo",IF(W61="Booked","Prepare demo",IF(AND(X61&lt;&gt;"",Y61=""),"Send follow-up","Review")))))</f>
        <v>Send WhatsApp</v>
      </c>
      <c r="AB61" s="43"/>
      <c r="AC61" s="43" t="s">
        <v>426</v>
      </c>
      <c r="AD61" s="43">
        <f>IF(AA61="Prepare demo",1,IF(AA61="Send follow-up",2,IF(AA61="Send WhatsApp",3,IF(AA61="Review",4,IF(AA61="Do not send",9,5)))))</f>
        <v>3</v>
      </c>
      <c r="AE61" s="43">
        <f>IF(M61="High",1,IF(M61="Medium",2,IF(M61="Normal",3,IF(M61="Hold",9,4))))</f>
        <v>3</v>
      </c>
      <c r="AF61" s="43">
        <f>IF(T61="Read",1,IF(T61="Delivered",2,IF(T61="Sent",3,IF(T61="Not sent",4,IF(T61="Failed",9,5)))))</f>
        <v>4</v>
      </c>
      <c r="AG61" s="43">
        <f>IF(U61="Demo booked",1,IF(U61="Interested",2,IF(U61="Replied",3,IF(U61="No reply",5,IF(U61="Not interested",8,IF(U61="Bad number",9,6))))))</f>
        <v>6</v>
      </c>
      <c r="AH61" s="46">
        <f>AD61*1000+AN61*100+AE61*10+AG61</f>
        <v>3436</v>
      </c>
      <c r="AI61" s="45">
        <f>MAX(IF(R61="",0,R61),IF(Y61="",0,Y61))</f>
        <v>0</v>
      </c>
      <c r="AJ61" s="43" t="str">
        <f ca="1">IF(AND(X61&lt;&gt;"",Y61="",X61&lt;TODAY()),"Overdue",IF(AND(X61&lt;&gt;"",Y61="",X61=TODAY()),"Due today",IF(Y61&lt;&gt;"","Follow-up sent","")))</f>
        <v/>
      </c>
      <c r="AK61" s="50" t="s">
        <v>264</v>
      </c>
      <c r="AL61" s="50" t="s">
        <v>265</v>
      </c>
      <c r="AM61" s="50" t="s">
        <v>266</v>
      </c>
      <c r="AN61" s="50">
        <v>4</v>
      </c>
      <c r="AO61" s="54" t="s">
        <v>480</v>
      </c>
      <c r="AP61" s="57" t="s">
        <v>127</v>
      </c>
      <c r="AQ61" s="58"/>
      <c r="AR61" s="57"/>
    </row>
    <row r="62" spans="1:44" ht="121.5" customHeight="1" x14ac:dyDescent="0.25">
      <c r="A62" s="43" t="s">
        <v>481</v>
      </c>
      <c r="B62" s="43" t="s">
        <v>482</v>
      </c>
      <c r="C62" s="43" t="s">
        <v>483</v>
      </c>
      <c r="D62" s="44" t="s">
        <v>484</v>
      </c>
      <c r="E62" s="43"/>
      <c r="F62" s="43" t="s">
        <v>394</v>
      </c>
      <c r="G62" s="45"/>
      <c r="H62" s="45">
        <v>46161</v>
      </c>
      <c r="I62" s="43" t="s">
        <v>403</v>
      </c>
      <c r="J62" s="43" t="s">
        <v>396</v>
      </c>
      <c r="K62" s="43" t="str">
        <f>IF(LEN(D62)=10,"OK","Check")</f>
        <v>OK</v>
      </c>
      <c r="L62" s="43" t="s">
        <v>262</v>
      </c>
      <c r="M62" s="43" t="str">
        <f>IF(L62="Hold","Hold",IF(IFERROR(E62,0)&gt;=200,"High",IF(IFERROR(E62,0)&gt;=100,"Medium","Normal")))</f>
        <v>Normal</v>
      </c>
      <c r="N62" s="43" t="s">
        <v>90</v>
      </c>
      <c r="O62" s="43" t="s">
        <v>91</v>
      </c>
      <c r="P62" s="43" t="s">
        <v>92</v>
      </c>
      <c r="Q62" s="17" t="s">
        <v>93</v>
      </c>
      <c r="R62" s="45"/>
      <c r="S62" s="43"/>
      <c r="T62" s="43" t="s">
        <v>31</v>
      </c>
      <c r="U62" s="43" t="s">
        <v>94</v>
      </c>
      <c r="V62" s="43" t="s">
        <v>94</v>
      </c>
      <c r="W62" s="43" t="s">
        <v>95</v>
      </c>
      <c r="X62" s="45" t="str">
        <f>IF(AND(R62&lt;&gt;"",OR(U62="No reply",U62="Unknown")),R62+2,"")</f>
        <v/>
      </c>
      <c r="Y62" s="45"/>
      <c r="Z62" s="43" t="s">
        <v>96</v>
      </c>
      <c r="AA62" s="43" t="str">
        <f>IF(L62="Hold","Do not send",IF(T62="Not sent","Send WhatsApp",IF(U62="Demo booked","Prepare demo",IF(W62="Booked","Prepare demo",IF(AND(X62&lt;&gt;"",Y62=""),"Send follow-up","Review")))))</f>
        <v>Send WhatsApp</v>
      </c>
      <c r="AB62" s="43"/>
      <c r="AC62" s="43" t="s">
        <v>404</v>
      </c>
      <c r="AD62" s="43">
        <f>IF(AA62="Prepare demo",1,IF(AA62="Send follow-up",2,IF(AA62="Send WhatsApp",3,IF(AA62="Review",4,IF(AA62="Do not send",9,5)))))</f>
        <v>3</v>
      </c>
      <c r="AE62" s="43">
        <f>IF(M62="High",1,IF(M62="Medium",2,IF(M62="Normal",3,IF(M62="Hold",9,4))))</f>
        <v>3</v>
      </c>
      <c r="AF62" s="43">
        <f>IF(T62="Read",1,IF(T62="Delivered",2,IF(T62="Sent",3,IF(T62="Not sent",4,IF(T62="Failed",9,5)))))</f>
        <v>4</v>
      </c>
      <c r="AG62" s="43">
        <f>IF(U62="Demo booked",1,IF(U62="Interested",2,IF(U62="Replied",3,IF(U62="No reply",5,IF(U62="Not interested",8,IF(U62="Bad number",9,6))))))</f>
        <v>6</v>
      </c>
      <c r="AH62" s="46">
        <f>AD62*1000+AN62*100+AE62*10+AG62</f>
        <v>3436</v>
      </c>
      <c r="AI62" s="45">
        <f>MAX(IF(R62="",0,R62),IF(Y62="",0,Y62))</f>
        <v>0</v>
      </c>
      <c r="AJ62" s="43" t="str">
        <f ca="1">IF(AND(X62&lt;&gt;"",Y62="",X62&lt;TODAY()),"Overdue",IF(AND(X62&lt;&gt;"",Y62="",X62=TODAY()),"Due today",IF(Y62&lt;&gt;"","Follow-up sent","")))</f>
        <v/>
      </c>
      <c r="AK62" s="50" t="s">
        <v>264</v>
      </c>
      <c r="AL62" s="50" t="s">
        <v>265</v>
      </c>
      <c r="AM62" s="50" t="s">
        <v>266</v>
      </c>
      <c r="AN62" s="50">
        <v>4</v>
      </c>
      <c r="AO62" s="54" t="s">
        <v>485</v>
      </c>
      <c r="AP62" s="57" t="s">
        <v>127</v>
      </c>
      <c r="AQ62" s="58"/>
      <c r="AR62" s="57"/>
    </row>
    <row r="63" spans="1:44" ht="189" customHeight="1" x14ac:dyDescent="0.25">
      <c r="A63" s="43" t="s">
        <v>486</v>
      </c>
      <c r="B63" s="43" t="s">
        <v>487</v>
      </c>
      <c r="C63" s="43" t="s">
        <v>348</v>
      </c>
      <c r="D63" s="44" t="s">
        <v>488</v>
      </c>
      <c r="E63" s="43"/>
      <c r="F63" s="43" t="s">
        <v>394</v>
      </c>
      <c r="G63" s="45"/>
      <c r="H63" s="45">
        <v>46161</v>
      </c>
      <c r="I63" s="43" t="s">
        <v>403</v>
      </c>
      <c r="J63" s="43" t="s">
        <v>396</v>
      </c>
      <c r="K63" s="43" t="str">
        <f>IF(LEN(D63)=10,"OK","Check")</f>
        <v>OK</v>
      </c>
      <c r="L63" s="43" t="s">
        <v>262</v>
      </c>
      <c r="M63" s="43" t="str">
        <f>IF(L63="Hold","Hold",IF(IFERROR(E63,0)&gt;=200,"High",IF(IFERROR(E63,0)&gt;=100,"Medium","Normal")))</f>
        <v>Normal</v>
      </c>
      <c r="N63" s="43" t="s">
        <v>90</v>
      </c>
      <c r="O63" s="43" t="s">
        <v>91</v>
      </c>
      <c r="P63" s="43" t="s">
        <v>92</v>
      </c>
      <c r="Q63" s="17" t="s">
        <v>93</v>
      </c>
      <c r="R63" s="45"/>
      <c r="S63" s="43"/>
      <c r="T63" s="43" t="s">
        <v>31</v>
      </c>
      <c r="U63" s="43" t="s">
        <v>94</v>
      </c>
      <c r="V63" s="43" t="s">
        <v>94</v>
      </c>
      <c r="W63" s="43" t="s">
        <v>95</v>
      </c>
      <c r="X63" s="45" t="str">
        <f>IF(AND(R63&lt;&gt;"",OR(U63="No reply",U63="Unknown")),R63+2,"")</f>
        <v/>
      </c>
      <c r="Y63" s="45"/>
      <c r="Z63" s="43" t="s">
        <v>96</v>
      </c>
      <c r="AA63" s="43" t="str">
        <f>IF(L63="Hold","Do not send",IF(T63="Not sent","Send WhatsApp",IF(U63="Demo booked","Prepare demo",IF(W63="Booked","Prepare demo",IF(AND(X63&lt;&gt;"",Y63=""),"Send follow-up","Review")))))</f>
        <v>Send WhatsApp</v>
      </c>
      <c r="AB63" s="43"/>
      <c r="AC63" s="43" t="s">
        <v>404</v>
      </c>
      <c r="AD63" s="43">
        <f>IF(AA63="Prepare demo",1,IF(AA63="Send follow-up",2,IF(AA63="Send WhatsApp",3,IF(AA63="Review",4,IF(AA63="Do not send",9,5)))))</f>
        <v>3</v>
      </c>
      <c r="AE63" s="43">
        <f>IF(M63="High",1,IF(M63="Medium",2,IF(M63="Normal",3,IF(M63="Hold",9,4))))</f>
        <v>3</v>
      </c>
      <c r="AF63" s="43">
        <f>IF(T63="Read",1,IF(T63="Delivered",2,IF(T63="Sent",3,IF(T63="Not sent",4,IF(T63="Failed",9,5)))))</f>
        <v>4</v>
      </c>
      <c r="AG63" s="43">
        <f>IF(U63="Demo booked",1,IF(U63="Interested",2,IF(U63="Replied",3,IF(U63="No reply",5,IF(U63="Not interested",8,IF(U63="Bad number",9,6))))))</f>
        <v>6</v>
      </c>
      <c r="AH63" s="46">
        <f>AD63*1000+AN63*100+AE63*10+AG63</f>
        <v>3436</v>
      </c>
      <c r="AI63" s="45">
        <f>MAX(IF(R63="",0,R63),IF(Y63="",0,Y63))</f>
        <v>0</v>
      </c>
      <c r="AJ63" s="43" t="str">
        <f ca="1">IF(AND(X63&lt;&gt;"",Y63="",X63&lt;TODAY()),"Overdue",IF(AND(X63&lt;&gt;"",Y63="",X63=TODAY()),"Due today",IF(Y63&lt;&gt;"","Follow-up sent","")))</f>
        <v/>
      </c>
      <c r="AK63" s="50" t="s">
        <v>264</v>
      </c>
      <c r="AL63" s="50" t="s">
        <v>265</v>
      </c>
      <c r="AM63" s="50" t="s">
        <v>266</v>
      </c>
      <c r="AN63" s="50">
        <v>4</v>
      </c>
      <c r="AO63" s="54" t="s">
        <v>489</v>
      </c>
      <c r="AP63" s="57" t="s">
        <v>127</v>
      </c>
      <c r="AQ63" s="58"/>
      <c r="AR63" s="57"/>
    </row>
    <row r="64" spans="1:44" ht="121.5" customHeight="1" x14ac:dyDescent="0.25">
      <c r="A64" s="43" t="s">
        <v>490</v>
      </c>
      <c r="B64" s="43" t="s">
        <v>491</v>
      </c>
      <c r="C64" s="43" t="s">
        <v>492</v>
      </c>
      <c r="D64" s="44" t="s">
        <v>493</v>
      </c>
      <c r="E64" s="43"/>
      <c r="F64" s="43" t="s">
        <v>394</v>
      </c>
      <c r="G64" s="45"/>
      <c r="H64" s="45">
        <v>46161</v>
      </c>
      <c r="I64" s="43" t="s">
        <v>425</v>
      </c>
      <c r="J64" s="43" t="s">
        <v>396</v>
      </c>
      <c r="K64" s="43" t="str">
        <f>IF(LEN(D64)=10,"OK","Check")</f>
        <v>OK</v>
      </c>
      <c r="L64" s="43" t="s">
        <v>262</v>
      </c>
      <c r="M64" s="43" t="str">
        <f>IF(L64="Hold","Hold",IF(IFERROR(E64,0)&gt;=200,"High",IF(IFERROR(E64,0)&gt;=100,"Medium","Normal")))</f>
        <v>Normal</v>
      </c>
      <c r="N64" s="43" t="s">
        <v>90</v>
      </c>
      <c r="O64" s="43" t="s">
        <v>91</v>
      </c>
      <c r="P64" s="43" t="s">
        <v>92</v>
      </c>
      <c r="Q64" s="17" t="s">
        <v>93</v>
      </c>
      <c r="R64" s="45"/>
      <c r="S64" s="43"/>
      <c r="T64" s="43" t="s">
        <v>31</v>
      </c>
      <c r="U64" s="43" t="s">
        <v>94</v>
      </c>
      <c r="V64" s="43" t="s">
        <v>94</v>
      </c>
      <c r="W64" s="43" t="s">
        <v>95</v>
      </c>
      <c r="X64" s="45" t="str">
        <f>IF(AND(R64&lt;&gt;"",OR(U64="No reply",U64="Unknown")),R64+2,"")</f>
        <v/>
      </c>
      <c r="Y64" s="45"/>
      <c r="Z64" s="43" t="s">
        <v>96</v>
      </c>
      <c r="AA64" s="43" t="str">
        <f>IF(L64="Hold","Do not send",IF(T64="Not sent","Send WhatsApp",IF(U64="Demo booked","Prepare demo",IF(W64="Booked","Prepare demo",IF(AND(X64&lt;&gt;"",Y64=""),"Send follow-up","Review")))))</f>
        <v>Send WhatsApp</v>
      </c>
      <c r="AB64" s="43"/>
      <c r="AC64" s="43" t="s">
        <v>426</v>
      </c>
      <c r="AD64" s="43">
        <f>IF(AA64="Prepare demo",1,IF(AA64="Send follow-up",2,IF(AA64="Send WhatsApp",3,IF(AA64="Review",4,IF(AA64="Do not send",9,5)))))</f>
        <v>3</v>
      </c>
      <c r="AE64" s="43">
        <f>IF(M64="High",1,IF(M64="Medium",2,IF(M64="Normal",3,IF(M64="Hold",9,4))))</f>
        <v>3</v>
      </c>
      <c r="AF64" s="43">
        <f>IF(T64="Read",1,IF(T64="Delivered",2,IF(T64="Sent",3,IF(T64="Not sent",4,IF(T64="Failed",9,5)))))</f>
        <v>4</v>
      </c>
      <c r="AG64" s="43">
        <f>IF(U64="Demo booked",1,IF(U64="Interested",2,IF(U64="Replied",3,IF(U64="No reply",5,IF(U64="Not interested",8,IF(U64="Bad number",9,6))))))</f>
        <v>6</v>
      </c>
      <c r="AH64" s="46">
        <f>AD64*1000+AN64*100+AE64*10+AG64</f>
        <v>3436</v>
      </c>
      <c r="AI64" s="45">
        <f>MAX(IF(R64="",0,R64),IF(Y64="",0,Y64))</f>
        <v>0</v>
      </c>
      <c r="AJ64" s="43" t="str">
        <f ca="1">IF(AND(X64&lt;&gt;"",Y64="",X64&lt;TODAY()),"Overdue",IF(AND(X64&lt;&gt;"",Y64="",X64=TODAY()),"Due today",IF(Y64&lt;&gt;"","Follow-up sent","")))</f>
        <v/>
      </c>
      <c r="AK64" s="50" t="s">
        <v>264</v>
      </c>
      <c r="AL64" s="50" t="s">
        <v>265</v>
      </c>
      <c r="AM64" s="50" t="s">
        <v>266</v>
      </c>
      <c r="AN64" s="50">
        <v>4</v>
      </c>
      <c r="AO64" s="54" t="s">
        <v>494</v>
      </c>
      <c r="AP64" s="57" t="s">
        <v>127</v>
      </c>
      <c r="AQ64" s="58"/>
      <c r="AR64" s="57"/>
    </row>
    <row r="65" spans="1:44" ht="121.5" customHeight="1" x14ac:dyDescent="0.25">
      <c r="A65" s="43" t="s">
        <v>495</v>
      </c>
      <c r="B65" s="43" t="s">
        <v>496</v>
      </c>
      <c r="C65" s="43" t="s">
        <v>497</v>
      </c>
      <c r="D65" s="44" t="s">
        <v>498</v>
      </c>
      <c r="E65" s="43"/>
      <c r="F65" s="43" t="s">
        <v>394</v>
      </c>
      <c r="G65" s="45"/>
      <c r="H65" s="45">
        <v>46161</v>
      </c>
      <c r="I65" s="43" t="s">
        <v>403</v>
      </c>
      <c r="J65" s="43" t="s">
        <v>396</v>
      </c>
      <c r="K65" s="43" t="str">
        <f>IF(LEN(D65)=10,"OK","Check")</f>
        <v>OK</v>
      </c>
      <c r="L65" s="43" t="s">
        <v>262</v>
      </c>
      <c r="M65" s="43" t="str">
        <f>IF(L65="Hold","Hold",IF(IFERROR(E65,0)&gt;=200,"High",IF(IFERROR(E65,0)&gt;=100,"Medium","Normal")))</f>
        <v>Normal</v>
      </c>
      <c r="N65" s="43" t="s">
        <v>90</v>
      </c>
      <c r="O65" s="43" t="s">
        <v>91</v>
      </c>
      <c r="P65" s="43" t="s">
        <v>92</v>
      </c>
      <c r="Q65" s="17" t="s">
        <v>93</v>
      </c>
      <c r="R65" s="45"/>
      <c r="S65" s="43"/>
      <c r="T65" s="43" t="s">
        <v>31</v>
      </c>
      <c r="U65" s="43" t="s">
        <v>94</v>
      </c>
      <c r="V65" s="43" t="s">
        <v>94</v>
      </c>
      <c r="W65" s="43" t="s">
        <v>95</v>
      </c>
      <c r="X65" s="45" t="str">
        <f>IF(AND(R65&lt;&gt;"",OR(U65="No reply",U65="Unknown")),R65+2,"")</f>
        <v/>
      </c>
      <c r="Y65" s="45"/>
      <c r="Z65" s="43" t="s">
        <v>96</v>
      </c>
      <c r="AA65" s="43" t="str">
        <f>IF(L65="Hold","Do not send",IF(T65="Not sent","Send WhatsApp",IF(U65="Demo booked","Prepare demo",IF(W65="Booked","Prepare demo",IF(AND(X65&lt;&gt;"",Y65=""),"Send follow-up","Review")))))</f>
        <v>Send WhatsApp</v>
      </c>
      <c r="AB65" s="43"/>
      <c r="AC65" s="43" t="s">
        <v>404</v>
      </c>
      <c r="AD65" s="43">
        <f>IF(AA65="Prepare demo",1,IF(AA65="Send follow-up",2,IF(AA65="Send WhatsApp",3,IF(AA65="Review",4,IF(AA65="Do not send",9,5)))))</f>
        <v>3</v>
      </c>
      <c r="AE65" s="43">
        <f>IF(M65="High",1,IF(M65="Medium",2,IF(M65="Normal",3,IF(M65="Hold",9,4))))</f>
        <v>3</v>
      </c>
      <c r="AF65" s="43">
        <f>IF(T65="Read",1,IF(T65="Delivered",2,IF(T65="Sent",3,IF(T65="Not sent",4,IF(T65="Failed",9,5)))))</f>
        <v>4</v>
      </c>
      <c r="AG65" s="43">
        <f>IF(U65="Demo booked",1,IF(U65="Interested",2,IF(U65="Replied",3,IF(U65="No reply",5,IF(U65="Not interested",8,IF(U65="Bad number",9,6))))))</f>
        <v>6</v>
      </c>
      <c r="AH65" s="46">
        <f>AD65*1000+AN65*100+AE65*10+AG65</f>
        <v>3436</v>
      </c>
      <c r="AI65" s="45">
        <f>MAX(IF(R65="",0,R65),IF(Y65="",0,Y65))</f>
        <v>0</v>
      </c>
      <c r="AJ65" s="43" t="str">
        <f ca="1">IF(AND(X65&lt;&gt;"",Y65="",X65&lt;TODAY()),"Overdue",IF(AND(X65&lt;&gt;"",Y65="",X65=TODAY()),"Due today",IF(Y65&lt;&gt;"","Follow-up sent","")))</f>
        <v/>
      </c>
      <c r="AK65" s="50" t="s">
        <v>264</v>
      </c>
      <c r="AL65" s="50" t="s">
        <v>265</v>
      </c>
      <c r="AM65" s="50" t="s">
        <v>266</v>
      </c>
      <c r="AN65" s="50">
        <v>4</v>
      </c>
      <c r="AO65" s="54" t="s">
        <v>499</v>
      </c>
      <c r="AP65" s="57" t="s">
        <v>127</v>
      </c>
      <c r="AQ65" s="58"/>
      <c r="AR65" s="57"/>
    </row>
    <row r="66" spans="1:44" ht="121.5" customHeight="1" x14ac:dyDescent="0.25">
      <c r="A66" s="43" t="s">
        <v>500</v>
      </c>
      <c r="B66" s="43" t="s">
        <v>501</v>
      </c>
      <c r="C66" s="43" t="s">
        <v>502</v>
      </c>
      <c r="D66" s="44" t="s">
        <v>503</v>
      </c>
      <c r="E66" s="43"/>
      <c r="F66" s="43" t="s">
        <v>394</v>
      </c>
      <c r="G66" s="45"/>
      <c r="H66" s="45">
        <v>46161</v>
      </c>
      <c r="I66" s="43" t="s">
        <v>425</v>
      </c>
      <c r="J66" s="43" t="s">
        <v>396</v>
      </c>
      <c r="K66" s="43" t="str">
        <f>IF(LEN(D66)=10,"OK","Check")</f>
        <v>OK</v>
      </c>
      <c r="L66" s="43" t="s">
        <v>262</v>
      </c>
      <c r="M66" s="43" t="str">
        <f>IF(L66="Hold","Hold",IF(IFERROR(E66,0)&gt;=200,"High",IF(IFERROR(E66,0)&gt;=100,"Medium","Normal")))</f>
        <v>Normal</v>
      </c>
      <c r="N66" s="43" t="s">
        <v>90</v>
      </c>
      <c r="O66" s="43" t="s">
        <v>91</v>
      </c>
      <c r="P66" s="43" t="s">
        <v>92</v>
      </c>
      <c r="Q66" s="17" t="s">
        <v>93</v>
      </c>
      <c r="R66" s="45"/>
      <c r="S66" s="43"/>
      <c r="T66" s="43" t="s">
        <v>31</v>
      </c>
      <c r="U66" s="43" t="s">
        <v>94</v>
      </c>
      <c r="V66" s="43" t="s">
        <v>94</v>
      </c>
      <c r="W66" s="43" t="s">
        <v>95</v>
      </c>
      <c r="X66" s="45" t="str">
        <f>IF(AND(R66&lt;&gt;"",OR(U66="No reply",U66="Unknown")),R66+2,"")</f>
        <v/>
      </c>
      <c r="Y66" s="45"/>
      <c r="Z66" s="43" t="s">
        <v>96</v>
      </c>
      <c r="AA66" s="43" t="str">
        <f>IF(L66="Hold","Do not send",IF(T66="Not sent","Send WhatsApp",IF(U66="Demo booked","Prepare demo",IF(W66="Booked","Prepare demo",IF(AND(X66&lt;&gt;"",Y66=""),"Send follow-up","Review")))))</f>
        <v>Send WhatsApp</v>
      </c>
      <c r="AB66" s="43"/>
      <c r="AC66" s="43" t="s">
        <v>426</v>
      </c>
      <c r="AD66" s="43">
        <f>IF(AA66="Prepare demo",1,IF(AA66="Send follow-up",2,IF(AA66="Send WhatsApp",3,IF(AA66="Review",4,IF(AA66="Do not send",9,5)))))</f>
        <v>3</v>
      </c>
      <c r="AE66" s="43">
        <f>IF(M66="High",1,IF(M66="Medium",2,IF(M66="Normal",3,IF(M66="Hold",9,4))))</f>
        <v>3</v>
      </c>
      <c r="AF66" s="43">
        <f>IF(T66="Read",1,IF(T66="Delivered",2,IF(T66="Sent",3,IF(T66="Not sent",4,IF(T66="Failed",9,5)))))</f>
        <v>4</v>
      </c>
      <c r="AG66" s="43">
        <f>IF(U66="Demo booked",1,IF(U66="Interested",2,IF(U66="Replied",3,IF(U66="No reply",5,IF(U66="Not interested",8,IF(U66="Bad number",9,6))))))</f>
        <v>6</v>
      </c>
      <c r="AH66" s="46">
        <f>AD66*1000+AN66*100+AE66*10+AG66</f>
        <v>3436</v>
      </c>
      <c r="AI66" s="45">
        <f>MAX(IF(R66="",0,R66),IF(Y66="",0,Y66))</f>
        <v>0</v>
      </c>
      <c r="AJ66" s="43" t="str">
        <f ca="1">IF(AND(X66&lt;&gt;"",Y66="",X66&lt;TODAY()),"Overdue",IF(AND(X66&lt;&gt;"",Y66="",X66=TODAY()),"Due today",IF(Y66&lt;&gt;"","Follow-up sent","")))</f>
        <v/>
      </c>
      <c r="AK66" s="50" t="s">
        <v>264</v>
      </c>
      <c r="AL66" s="50" t="s">
        <v>265</v>
      </c>
      <c r="AM66" s="50" t="s">
        <v>266</v>
      </c>
      <c r="AN66" s="50">
        <v>4</v>
      </c>
      <c r="AO66" s="54" t="s">
        <v>504</v>
      </c>
      <c r="AP66" s="57" t="s">
        <v>127</v>
      </c>
      <c r="AQ66" s="58"/>
      <c r="AR66" s="57"/>
    </row>
    <row r="67" spans="1:44" ht="121.5" customHeight="1" x14ac:dyDescent="0.25">
      <c r="A67" s="43" t="s">
        <v>505</v>
      </c>
      <c r="B67" s="43" t="s">
        <v>506</v>
      </c>
      <c r="C67" s="43" t="s">
        <v>507</v>
      </c>
      <c r="D67" s="44" t="s">
        <v>508</v>
      </c>
      <c r="E67" s="43"/>
      <c r="F67" s="43" t="s">
        <v>394</v>
      </c>
      <c r="G67" s="45"/>
      <c r="H67" s="45">
        <v>46161</v>
      </c>
      <c r="I67" s="43" t="s">
        <v>403</v>
      </c>
      <c r="J67" s="43" t="s">
        <v>396</v>
      </c>
      <c r="K67" s="43" t="str">
        <f>IF(LEN(D67)=10,"OK","Check")</f>
        <v>OK</v>
      </c>
      <c r="L67" s="43" t="s">
        <v>262</v>
      </c>
      <c r="M67" s="43" t="str">
        <f>IF(L67="Hold","Hold",IF(IFERROR(E67,0)&gt;=200,"High",IF(IFERROR(E67,0)&gt;=100,"Medium","Normal")))</f>
        <v>Normal</v>
      </c>
      <c r="N67" s="43" t="s">
        <v>90</v>
      </c>
      <c r="O67" s="43" t="s">
        <v>91</v>
      </c>
      <c r="P67" s="43" t="s">
        <v>92</v>
      </c>
      <c r="Q67" s="17" t="s">
        <v>93</v>
      </c>
      <c r="R67" s="45"/>
      <c r="S67" s="43"/>
      <c r="T67" s="43" t="s">
        <v>31</v>
      </c>
      <c r="U67" s="43" t="s">
        <v>94</v>
      </c>
      <c r="V67" s="43" t="s">
        <v>94</v>
      </c>
      <c r="W67" s="43" t="s">
        <v>95</v>
      </c>
      <c r="X67" s="45" t="str">
        <f>IF(AND(R67&lt;&gt;"",OR(U67="No reply",U67="Unknown")),R67+2,"")</f>
        <v/>
      </c>
      <c r="Y67" s="45"/>
      <c r="Z67" s="43" t="s">
        <v>96</v>
      </c>
      <c r="AA67" s="43" t="str">
        <f>IF(L67="Hold","Do not send",IF(T67="Not sent","Send WhatsApp",IF(U67="Demo booked","Prepare demo",IF(W67="Booked","Prepare demo",IF(AND(X67&lt;&gt;"",Y67=""),"Send follow-up","Review")))))</f>
        <v>Send WhatsApp</v>
      </c>
      <c r="AB67" s="43"/>
      <c r="AC67" s="43" t="s">
        <v>404</v>
      </c>
      <c r="AD67" s="43">
        <f>IF(AA67="Prepare demo",1,IF(AA67="Send follow-up",2,IF(AA67="Send WhatsApp",3,IF(AA67="Review",4,IF(AA67="Do not send",9,5)))))</f>
        <v>3</v>
      </c>
      <c r="AE67" s="43">
        <f>IF(M67="High",1,IF(M67="Medium",2,IF(M67="Normal",3,IF(M67="Hold",9,4))))</f>
        <v>3</v>
      </c>
      <c r="AF67" s="43">
        <f>IF(T67="Read",1,IF(T67="Delivered",2,IF(T67="Sent",3,IF(T67="Not sent",4,IF(T67="Failed",9,5)))))</f>
        <v>4</v>
      </c>
      <c r="AG67" s="43">
        <f>IF(U67="Demo booked",1,IF(U67="Interested",2,IF(U67="Replied",3,IF(U67="No reply",5,IF(U67="Not interested",8,IF(U67="Bad number",9,6))))))</f>
        <v>6</v>
      </c>
      <c r="AH67" s="46">
        <f>AD67*1000+AN67*100+AE67*10+AG67</f>
        <v>3436</v>
      </c>
      <c r="AI67" s="45">
        <f>MAX(IF(R67="",0,R67),IF(Y67="",0,Y67))</f>
        <v>0</v>
      </c>
      <c r="AJ67" s="43" t="str">
        <f ca="1">IF(AND(X67&lt;&gt;"",Y67="",X67&lt;TODAY()),"Overdue",IF(AND(X67&lt;&gt;"",Y67="",X67=TODAY()),"Due today",IF(Y67&lt;&gt;"","Follow-up sent","")))</f>
        <v/>
      </c>
      <c r="AK67" s="50" t="s">
        <v>264</v>
      </c>
      <c r="AL67" s="50" t="s">
        <v>265</v>
      </c>
      <c r="AM67" s="50" t="s">
        <v>266</v>
      </c>
      <c r="AN67" s="50">
        <v>4</v>
      </c>
      <c r="AO67" s="54" t="s">
        <v>509</v>
      </c>
      <c r="AP67" s="57" t="s">
        <v>127</v>
      </c>
      <c r="AQ67" s="58"/>
      <c r="AR67" s="57"/>
    </row>
    <row r="68" spans="1:44" ht="121.5" customHeight="1" x14ac:dyDescent="0.25">
      <c r="A68" s="43" t="s">
        <v>510</v>
      </c>
      <c r="B68" s="43" t="s">
        <v>511</v>
      </c>
      <c r="C68" s="43" t="s">
        <v>379</v>
      </c>
      <c r="D68" s="44" t="s">
        <v>512</v>
      </c>
      <c r="E68" s="43"/>
      <c r="F68" s="43" t="s">
        <v>394</v>
      </c>
      <c r="G68" s="45"/>
      <c r="H68" s="45">
        <v>46161</v>
      </c>
      <c r="I68" s="43" t="s">
        <v>403</v>
      </c>
      <c r="J68" s="43" t="s">
        <v>396</v>
      </c>
      <c r="K68" s="43" t="str">
        <f>IF(LEN(D68)=10,"OK","Check")</f>
        <v>OK</v>
      </c>
      <c r="L68" s="43" t="s">
        <v>262</v>
      </c>
      <c r="M68" s="43" t="str">
        <f>IF(L68="Hold","Hold",IF(IFERROR(E68,0)&gt;=200,"High",IF(IFERROR(E68,0)&gt;=100,"Medium","Normal")))</f>
        <v>Normal</v>
      </c>
      <c r="N68" s="43" t="s">
        <v>90</v>
      </c>
      <c r="O68" s="43" t="s">
        <v>91</v>
      </c>
      <c r="P68" s="43" t="s">
        <v>92</v>
      </c>
      <c r="Q68" s="17" t="s">
        <v>93</v>
      </c>
      <c r="R68" s="45"/>
      <c r="S68" s="43"/>
      <c r="T68" s="43" t="s">
        <v>31</v>
      </c>
      <c r="U68" s="43" t="s">
        <v>94</v>
      </c>
      <c r="V68" s="43" t="s">
        <v>94</v>
      </c>
      <c r="W68" s="43" t="s">
        <v>95</v>
      </c>
      <c r="X68" s="45" t="str">
        <f>IF(AND(R68&lt;&gt;"",OR(U68="No reply",U68="Unknown")),R68+2,"")</f>
        <v/>
      </c>
      <c r="Y68" s="45"/>
      <c r="Z68" s="43" t="s">
        <v>96</v>
      </c>
      <c r="AA68" s="43" t="str">
        <f>IF(L68="Hold","Do not send",IF(T68="Not sent","Send WhatsApp",IF(U68="Demo booked","Prepare demo",IF(W68="Booked","Prepare demo",IF(AND(X68&lt;&gt;"",Y68=""),"Send follow-up","Review")))))</f>
        <v>Send WhatsApp</v>
      </c>
      <c r="AB68" s="43"/>
      <c r="AC68" s="43" t="s">
        <v>404</v>
      </c>
      <c r="AD68" s="43">
        <f>IF(AA68="Prepare demo",1,IF(AA68="Send follow-up",2,IF(AA68="Send WhatsApp",3,IF(AA68="Review",4,IF(AA68="Do not send",9,5)))))</f>
        <v>3</v>
      </c>
      <c r="AE68" s="43">
        <f>IF(M68="High",1,IF(M68="Medium",2,IF(M68="Normal",3,IF(M68="Hold",9,4))))</f>
        <v>3</v>
      </c>
      <c r="AF68" s="43">
        <f>IF(T68="Read",1,IF(T68="Delivered",2,IF(T68="Sent",3,IF(T68="Not sent",4,IF(T68="Failed",9,5)))))</f>
        <v>4</v>
      </c>
      <c r="AG68" s="43">
        <f>IF(U68="Demo booked",1,IF(U68="Interested",2,IF(U68="Replied",3,IF(U68="No reply",5,IF(U68="Not interested",8,IF(U68="Bad number",9,6))))))</f>
        <v>6</v>
      </c>
      <c r="AH68" s="46">
        <f>AD68*1000+AN68*100+AE68*10+AG68</f>
        <v>3436</v>
      </c>
      <c r="AI68" s="45">
        <f>MAX(IF(R68="",0,R68),IF(Y68="",0,Y68))</f>
        <v>0</v>
      </c>
      <c r="AJ68" s="43" t="str">
        <f ca="1">IF(AND(X68&lt;&gt;"",Y68="",X68&lt;TODAY()),"Overdue",IF(AND(X68&lt;&gt;"",Y68="",X68=TODAY()),"Due today",IF(Y68&lt;&gt;"","Follow-up sent","")))</f>
        <v/>
      </c>
      <c r="AK68" s="50" t="s">
        <v>264</v>
      </c>
      <c r="AL68" s="50" t="s">
        <v>265</v>
      </c>
      <c r="AM68" s="50" t="s">
        <v>266</v>
      </c>
      <c r="AN68" s="50">
        <v>4</v>
      </c>
      <c r="AO68" s="54" t="s">
        <v>513</v>
      </c>
      <c r="AP68" s="57" t="s">
        <v>127</v>
      </c>
      <c r="AQ68" s="58"/>
      <c r="AR68" s="57"/>
    </row>
    <row r="69" spans="1:44" ht="81" customHeight="1" x14ac:dyDescent="0.25">
      <c r="A69" s="43" t="s">
        <v>514</v>
      </c>
      <c r="B69" s="43" t="s">
        <v>515</v>
      </c>
      <c r="C69" s="43" t="s">
        <v>516</v>
      </c>
      <c r="D69" s="44" t="s">
        <v>517</v>
      </c>
      <c r="E69" s="43"/>
      <c r="F69" s="43" t="s">
        <v>394</v>
      </c>
      <c r="G69" s="45"/>
      <c r="H69" s="45">
        <v>46161</v>
      </c>
      <c r="I69" s="43" t="s">
        <v>425</v>
      </c>
      <c r="J69" s="43" t="s">
        <v>396</v>
      </c>
      <c r="K69" s="43" t="str">
        <f>IF(LEN(D69)=10,"OK","Check")</f>
        <v>OK</v>
      </c>
      <c r="L69" s="43" t="s">
        <v>262</v>
      </c>
      <c r="M69" s="43" t="str">
        <f>IF(L69="Hold","Hold",IF(IFERROR(E69,0)&gt;=200,"High",IF(IFERROR(E69,0)&gt;=100,"Medium","Normal")))</f>
        <v>Normal</v>
      </c>
      <c r="N69" s="43" t="s">
        <v>90</v>
      </c>
      <c r="O69" s="43" t="s">
        <v>91</v>
      </c>
      <c r="P69" s="43" t="s">
        <v>92</v>
      </c>
      <c r="Q69" s="17" t="s">
        <v>93</v>
      </c>
      <c r="R69" s="45"/>
      <c r="S69" s="43"/>
      <c r="T69" s="43" t="s">
        <v>31</v>
      </c>
      <c r="U69" s="43" t="s">
        <v>94</v>
      </c>
      <c r="V69" s="43" t="s">
        <v>94</v>
      </c>
      <c r="W69" s="43" t="s">
        <v>95</v>
      </c>
      <c r="X69" s="45" t="str">
        <f>IF(AND(R69&lt;&gt;"",OR(U69="No reply",U69="Unknown")),R69+2,"")</f>
        <v/>
      </c>
      <c r="Y69" s="45"/>
      <c r="Z69" s="43" t="s">
        <v>96</v>
      </c>
      <c r="AA69" s="43" t="str">
        <f>IF(L69="Hold","Do not send",IF(T69="Not sent","Send WhatsApp",IF(U69="Demo booked","Prepare demo",IF(W69="Booked","Prepare demo",IF(AND(X69&lt;&gt;"",Y69=""),"Send follow-up","Review")))))</f>
        <v>Send WhatsApp</v>
      </c>
      <c r="AB69" s="43"/>
      <c r="AC69" s="43" t="s">
        <v>426</v>
      </c>
      <c r="AD69" s="43">
        <f>IF(AA69="Prepare demo",1,IF(AA69="Send follow-up",2,IF(AA69="Send WhatsApp",3,IF(AA69="Review",4,IF(AA69="Do not send",9,5)))))</f>
        <v>3</v>
      </c>
      <c r="AE69" s="43">
        <f>IF(M69="High",1,IF(M69="Medium",2,IF(M69="Normal",3,IF(M69="Hold",9,4))))</f>
        <v>3</v>
      </c>
      <c r="AF69" s="43">
        <f>IF(T69="Read",1,IF(T69="Delivered",2,IF(T69="Sent",3,IF(T69="Not sent",4,IF(T69="Failed",9,5)))))</f>
        <v>4</v>
      </c>
      <c r="AG69" s="43">
        <f>IF(U69="Demo booked",1,IF(U69="Interested",2,IF(U69="Replied",3,IF(U69="No reply",5,IF(U69="Not interested",8,IF(U69="Bad number",9,6))))))</f>
        <v>6</v>
      </c>
      <c r="AH69" s="46">
        <f>AD69*1000+AN69*100+AE69*10+AG69</f>
        <v>3436</v>
      </c>
      <c r="AI69" s="45">
        <f>MAX(IF(R69="",0,R69),IF(Y69="",0,Y69))</f>
        <v>0</v>
      </c>
      <c r="AJ69" s="43" t="str">
        <f ca="1">IF(AND(X69&lt;&gt;"",Y69="",X69&lt;TODAY()),"Overdue",IF(AND(X69&lt;&gt;"",Y69="",X69=TODAY()),"Due today",IF(Y69&lt;&gt;"","Follow-up sent","")))</f>
        <v/>
      </c>
      <c r="AK69" s="50" t="s">
        <v>264</v>
      </c>
      <c r="AL69" s="50" t="s">
        <v>265</v>
      </c>
      <c r="AM69" s="50" t="s">
        <v>266</v>
      </c>
      <c r="AN69" s="50">
        <v>4</v>
      </c>
      <c r="AO69" s="54" t="s">
        <v>518</v>
      </c>
      <c r="AP69" s="57" t="s">
        <v>127</v>
      </c>
      <c r="AQ69" s="58"/>
      <c r="AR69" s="57"/>
    </row>
    <row r="70" spans="1:44" ht="67.5" customHeight="1" x14ac:dyDescent="0.25">
      <c r="A70" s="43" t="s">
        <v>519</v>
      </c>
      <c r="B70" s="43" t="s">
        <v>520</v>
      </c>
      <c r="C70" s="43" t="s">
        <v>383</v>
      </c>
      <c r="D70" s="44" t="s">
        <v>521</v>
      </c>
      <c r="E70" s="43"/>
      <c r="F70" s="43" t="s">
        <v>394</v>
      </c>
      <c r="G70" s="45"/>
      <c r="H70" s="45">
        <v>46161</v>
      </c>
      <c r="I70" s="43" t="s">
        <v>403</v>
      </c>
      <c r="J70" s="43" t="s">
        <v>396</v>
      </c>
      <c r="K70" s="43" t="str">
        <f>IF(LEN(D70)=10,"OK","Check")</f>
        <v>OK</v>
      </c>
      <c r="L70" s="43" t="s">
        <v>262</v>
      </c>
      <c r="M70" s="43" t="str">
        <f>IF(L70="Hold","Hold",IF(IFERROR(E70,0)&gt;=200,"High",IF(IFERROR(E70,0)&gt;=100,"Medium","Normal")))</f>
        <v>Normal</v>
      </c>
      <c r="N70" s="43" t="s">
        <v>90</v>
      </c>
      <c r="O70" s="43" t="s">
        <v>91</v>
      </c>
      <c r="P70" s="43" t="s">
        <v>92</v>
      </c>
      <c r="Q70" s="17" t="s">
        <v>93</v>
      </c>
      <c r="R70" s="45"/>
      <c r="S70" s="43"/>
      <c r="T70" s="43" t="s">
        <v>31</v>
      </c>
      <c r="U70" s="43" t="s">
        <v>94</v>
      </c>
      <c r="V70" s="43" t="s">
        <v>94</v>
      </c>
      <c r="W70" s="43" t="s">
        <v>95</v>
      </c>
      <c r="X70" s="45" t="str">
        <f>IF(AND(R70&lt;&gt;"",OR(U70="No reply",U70="Unknown")),R70+2,"")</f>
        <v/>
      </c>
      <c r="Y70" s="45"/>
      <c r="Z70" s="43" t="s">
        <v>96</v>
      </c>
      <c r="AA70" s="43" t="str">
        <f>IF(L70="Hold","Do not send",IF(T70="Not sent","Send WhatsApp",IF(U70="Demo booked","Prepare demo",IF(W70="Booked","Prepare demo",IF(AND(X70&lt;&gt;"",Y70=""),"Send follow-up","Review")))))</f>
        <v>Send WhatsApp</v>
      </c>
      <c r="AB70" s="43"/>
      <c r="AC70" s="43" t="s">
        <v>404</v>
      </c>
      <c r="AD70" s="43">
        <f>IF(AA70="Prepare demo",1,IF(AA70="Send follow-up",2,IF(AA70="Send WhatsApp",3,IF(AA70="Review",4,IF(AA70="Do not send",9,5)))))</f>
        <v>3</v>
      </c>
      <c r="AE70" s="43">
        <f>IF(M70="High",1,IF(M70="Medium",2,IF(M70="Normal",3,IF(M70="Hold",9,4))))</f>
        <v>3</v>
      </c>
      <c r="AF70" s="43">
        <f>IF(T70="Read",1,IF(T70="Delivered",2,IF(T70="Sent",3,IF(T70="Not sent",4,IF(T70="Failed",9,5)))))</f>
        <v>4</v>
      </c>
      <c r="AG70" s="43">
        <f>IF(U70="Demo booked",1,IF(U70="Interested",2,IF(U70="Replied",3,IF(U70="No reply",5,IF(U70="Not interested",8,IF(U70="Bad number",9,6))))))</f>
        <v>6</v>
      </c>
      <c r="AH70" s="46">
        <f>AD70*1000+AN70*100+AE70*10+AG70</f>
        <v>3436</v>
      </c>
      <c r="AI70" s="45">
        <f>MAX(IF(R70="",0,R70),IF(Y70="",0,Y70))</f>
        <v>0</v>
      </c>
      <c r="AJ70" s="43" t="str">
        <f ca="1">IF(AND(X70&lt;&gt;"",Y70="",X70&lt;TODAY()),"Overdue",IF(AND(X70&lt;&gt;"",Y70="",X70=TODAY()),"Due today",IF(Y70&lt;&gt;"","Follow-up sent","")))</f>
        <v/>
      </c>
      <c r="AK70" s="50" t="s">
        <v>264</v>
      </c>
      <c r="AL70" s="50" t="s">
        <v>265</v>
      </c>
      <c r="AM70" s="50" t="s">
        <v>266</v>
      </c>
      <c r="AN70" s="50">
        <v>4</v>
      </c>
      <c r="AO70" s="54" t="s">
        <v>522</v>
      </c>
      <c r="AP70" s="57" t="s">
        <v>127</v>
      </c>
      <c r="AQ70" s="58"/>
      <c r="AR70" s="57"/>
    </row>
    <row r="71" spans="1:44" ht="67.5" customHeight="1" x14ac:dyDescent="0.25">
      <c r="A71" s="43" t="s">
        <v>523</v>
      </c>
      <c r="B71" s="43" t="s">
        <v>524</v>
      </c>
      <c r="C71" s="43" t="s">
        <v>525</v>
      </c>
      <c r="D71" s="44" t="s">
        <v>526</v>
      </c>
      <c r="E71" s="43"/>
      <c r="F71" s="43" t="s">
        <v>394</v>
      </c>
      <c r="G71" s="45"/>
      <c r="H71" s="45">
        <v>46161</v>
      </c>
      <c r="I71" s="43" t="s">
        <v>527</v>
      </c>
      <c r="J71" s="43" t="s">
        <v>528</v>
      </c>
      <c r="K71" s="43" t="str">
        <f>IF(LEN(D71)=10,"OK","Check")</f>
        <v>OK</v>
      </c>
      <c r="L71" s="43" t="s">
        <v>262</v>
      </c>
      <c r="M71" s="43" t="str">
        <f>IF(L71="Hold","Hold",IF(IFERROR(E71,0)&gt;=200,"High",IF(IFERROR(E71,0)&gt;=100,"Medium","Normal")))</f>
        <v>Normal</v>
      </c>
      <c r="N71" s="43" t="s">
        <v>90</v>
      </c>
      <c r="O71" s="43" t="s">
        <v>91</v>
      </c>
      <c r="P71" s="43" t="s">
        <v>92</v>
      </c>
      <c r="Q71" s="17" t="s">
        <v>93</v>
      </c>
      <c r="R71" s="45"/>
      <c r="S71" s="43"/>
      <c r="T71" s="43" t="s">
        <v>31</v>
      </c>
      <c r="U71" s="43" t="s">
        <v>94</v>
      </c>
      <c r="V71" s="43" t="s">
        <v>94</v>
      </c>
      <c r="W71" s="43" t="s">
        <v>95</v>
      </c>
      <c r="X71" s="45" t="str">
        <f>IF(AND(R71&lt;&gt;"",OR(U71="No reply",U71="Unknown")),R71+2,"")</f>
        <v/>
      </c>
      <c r="Y71" s="45"/>
      <c r="Z71" s="43" t="s">
        <v>96</v>
      </c>
      <c r="AA71" s="43" t="str">
        <f>IF(L71="Hold","Do not send",IF(T71="Not sent","Send WhatsApp",IF(U71="Demo booked","Prepare demo",IF(W71="Booked","Prepare demo",IF(AND(X71&lt;&gt;"",Y71=""),"Send follow-up","Review")))))</f>
        <v>Send WhatsApp</v>
      </c>
      <c r="AB71" s="43"/>
      <c r="AC71" s="43" t="s">
        <v>529</v>
      </c>
      <c r="AD71" s="43">
        <f>IF(AA71="Prepare demo",1,IF(AA71="Send follow-up",2,IF(AA71="Send WhatsApp",3,IF(AA71="Review",4,IF(AA71="Do not send",9,5)))))</f>
        <v>3</v>
      </c>
      <c r="AE71" s="43">
        <f>IF(M71="High",1,IF(M71="Medium",2,IF(M71="Normal",3,IF(M71="Hold",9,4))))</f>
        <v>3</v>
      </c>
      <c r="AF71" s="43">
        <f>IF(T71="Read",1,IF(T71="Delivered",2,IF(T71="Sent",3,IF(T71="Not sent",4,IF(T71="Failed",9,5)))))</f>
        <v>4</v>
      </c>
      <c r="AG71" s="43">
        <f>IF(U71="Demo booked",1,IF(U71="Interested",2,IF(U71="Replied",3,IF(U71="No reply",5,IF(U71="Not interested",8,IF(U71="Bad number",9,6))))))</f>
        <v>6</v>
      </c>
      <c r="AH71" s="46">
        <f>AD71*1000+AN71*100+AE71*10+AG71</f>
        <v>3436</v>
      </c>
      <c r="AI71" s="45">
        <f>MAX(IF(R71="",0,R71),IF(Y71="",0,Y71))</f>
        <v>0</v>
      </c>
      <c r="AJ71" s="43" t="str">
        <f ca="1">IF(AND(X71&lt;&gt;"",Y71="",X71&lt;TODAY()),"Overdue",IF(AND(X71&lt;&gt;"",Y71="",X71=TODAY()),"Due today",IF(Y71&lt;&gt;"","Follow-up sent","")))</f>
        <v/>
      </c>
      <c r="AK71" s="50" t="s">
        <v>264</v>
      </c>
      <c r="AL71" s="50" t="s">
        <v>265</v>
      </c>
      <c r="AM71" s="50" t="s">
        <v>266</v>
      </c>
      <c r="AN71" s="50">
        <v>4</v>
      </c>
      <c r="AO71" s="54" t="s">
        <v>530</v>
      </c>
      <c r="AP71" s="57" t="s">
        <v>127</v>
      </c>
      <c r="AQ71" s="58"/>
      <c r="AR71" s="57"/>
    </row>
    <row r="72" spans="1:44" ht="81" customHeight="1" x14ac:dyDescent="0.25">
      <c r="A72" s="43" t="s">
        <v>531</v>
      </c>
      <c r="B72" s="43" t="s">
        <v>532</v>
      </c>
      <c r="C72" s="43" t="s">
        <v>533</v>
      </c>
      <c r="D72" s="44" t="s">
        <v>534</v>
      </c>
      <c r="E72" s="43"/>
      <c r="F72" s="43" t="s">
        <v>394</v>
      </c>
      <c r="G72" s="45"/>
      <c r="H72" s="45">
        <v>46161</v>
      </c>
      <c r="I72" s="43" t="s">
        <v>527</v>
      </c>
      <c r="J72" s="43" t="s">
        <v>528</v>
      </c>
      <c r="K72" s="43" t="str">
        <f>IF(LEN(D72)=10,"OK","Check")</f>
        <v>OK</v>
      </c>
      <c r="L72" s="43" t="s">
        <v>262</v>
      </c>
      <c r="M72" s="43" t="str">
        <f>IF(L72="Hold","Hold",IF(IFERROR(E72,0)&gt;=200,"High",IF(IFERROR(E72,0)&gt;=100,"Medium","Normal")))</f>
        <v>Normal</v>
      </c>
      <c r="N72" s="43" t="s">
        <v>90</v>
      </c>
      <c r="O72" s="43" t="s">
        <v>91</v>
      </c>
      <c r="P72" s="43" t="s">
        <v>92</v>
      </c>
      <c r="Q72" s="17" t="s">
        <v>93</v>
      </c>
      <c r="R72" s="45"/>
      <c r="S72" s="43"/>
      <c r="T72" s="43" t="s">
        <v>31</v>
      </c>
      <c r="U72" s="43" t="s">
        <v>94</v>
      </c>
      <c r="V72" s="43" t="s">
        <v>94</v>
      </c>
      <c r="W72" s="43" t="s">
        <v>95</v>
      </c>
      <c r="X72" s="45" t="str">
        <f>IF(AND(R72&lt;&gt;"",OR(U72="No reply",U72="Unknown")),R72+2,"")</f>
        <v/>
      </c>
      <c r="Y72" s="45"/>
      <c r="Z72" s="43" t="s">
        <v>96</v>
      </c>
      <c r="AA72" s="43" t="str">
        <f>IF(L72="Hold","Do not send",IF(T72="Not sent","Send WhatsApp",IF(U72="Demo booked","Prepare demo",IF(W72="Booked","Prepare demo",IF(AND(X72&lt;&gt;"",Y72=""),"Send follow-up","Review")))))</f>
        <v>Send WhatsApp</v>
      </c>
      <c r="AB72" s="43"/>
      <c r="AC72" s="43" t="s">
        <v>529</v>
      </c>
      <c r="AD72" s="43">
        <f>IF(AA72="Prepare demo",1,IF(AA72="Send follow-up",2,IF(AA72="Send WhatsApp",3,IF(AA72="Review",4,IF(AA72="Do not send",9,5)))))</f>
        <v>3</v>
      </c>
      <c r="AE72" s="43">
        <f>IF(M72="High",1,IF(M72="Medium",2,IF(M72="Normal",3,IF(M72="Hold",9,4))))</f>
        <v>3</v>
      </c>
      <c r="AF72" s="43">
        <f>IF(T72="Read",1,IF(T72="Delivered",2,IF(T72="Sent",3,IF(T72="Not sent",4,IF(T72="Failed",9,5)))))</f>
        <v>4</v>
      </c>
      <c r="AG72" s="43">
        <f>IF(U72="Demo booked",1,IF(U72="Interested",2,IF(U72="Replied",3,IF(U72="No reply",5,IF(U72="Not interested",8,IF(U72="Bad number",9,6))))))</f>
        <v>6</v>
      </c>
      <c r="AH72" s="46">
        <f>AD72*1000+AN72*100+AE72*10+AG72</f>
        <v>3436</v>
      </c>
      <c r="AI72" s="45">
        <f>MAX(IF(R72="",0,R72),IF(Y72="",0,Y72))</f>
        <v>0</v>
      </c>
      <c r="AJ72" s="43" t="str">
        <f ca="1">IF(AND(X72&lt;&gt;"",Y72="",X72&lt;TODAY()),"Overdue",IF(AND(X72&lt;&gt;"",Y72="",X72=TODAY()),"Due today",IF(Y72&lt;&gt;"","Follow-up sent","")))</f>
        <v/>
      </c>
      <c r="AK72" s="50" t="s">
        <v>264</v>
      </c>
      <c r="AL72" s="50" t="s">
        <v>265</v>
      </c>
      <c r="AM72" s="50" t="s">
        <v>266</v>
      </c>
      <c r="AN72" s="50">
        <v>4</v>
      </c>
      <c r="AO72" s="54" t="s">
        <v>535</v>
      </c>
      <c r="AP72" s="57" t="s">
        <v>127</v>
      </c>
      <c r="AQ72" s="58"/>
      <c r="AR72" s="57"/>
    </row>
    <row r="73" spans="1:44" ht="67.5" customHeight="1" x14ac:dyDescent="0.25">
      <c r="A73" s="43" t="s">
        <v>536</v>
      </c>
      <c r="B73" s="43" t="s">
        <v>537</v>
      </c>
      <c r="C73" s="43" t="s">
        <v>538</v>
      </c>
      <c r="D73" s="44" t="s">
        <v>539</v>
      </c>
      <c r="E73" s="43"/>
      <c r="F73" s="43" t="s">
        <v>394</v>
      </c>
      <c r="G73" s="45"/>
      <c r="H73" s="45">
        <v>46161</v>
      </c>
      <c r="I73" s="43" t="s">
        <v>527</v>
      </c>
      <c r="J73" s="43" t="s">
        <v>528</v>
      </c>
      <c r="K73" s="43" t="str">
        <f>IF(LEN(D73)=10,"OK","Check")</f>
        <v>OK</v>
      </c>
      <c r="L73" s="43" t="s">
        <v>262</v>
      </c>
      <c r="M73" s="43" t="str">
        <f>IF(L73="Hold","Hold",IF(IFERROR(E73,0)&gt;=200,"High",IF(IFERROR(E73,0)&gt;=100,"Medium","Normal")))</f>
        <v>Normal</v>
      </c>
      <c r="N73" s="43" t="s">
        <v>90</v>
      </c>
      <c r="O73" s="43" t="s">
        <v>91</v>
      </c>
      <c r="P73" s="43" t="s">
        <v>92</v>
      </c>
      <c r="Q73" s="17" t="s">
        <v>93</v>
      </c>
      <c r="R73" s="45"/>
      <c r="S73" s="43"/>
      <c r="T73" s="43" t="s">
        <v>31</v>
      </c>
      <c r="U73" s="43" t="s">
        <v>94</v>
      </c>
      <c r="V73" s="43" t="s">
        <v>94</v>
      </c>
      <c r="W73" s="43" t="s">
        <v>95</v>
      </c>
      <c r="X73" s="45" t="str">
        <f>IF(AND(R73&lt;&gt;"",OR(U73="No reply",U73="Unknown")),R73+2,"")</f>
        <v/>
      </c>
      <c r="Y73" s="45"/>
      <c r="Z73" s="43" t="s">
        <v>96</v>
      </c>
      <c r="AA73" s="43" t="str">
        <f>IF(L73="Hold","Do not send",IF(T73="Not sent","Send WhatsApp",IF(U73="Demo booked","Prepare demo",IF(W73="Booked","Prepare demo",IF(AND(X73&lt;&gt;"",Y73=""),"Send follow-up","Review")))))</f>
        <v>Send WhatsApp</v>
      </c>
      <c r="AB73" s="43"/>
      <c r="AC73" s="43" t="s">
        <v>529</v>
      </c>
      <c r="AD73" s="43">
        <f>IF(AA73="Prepare demo",1,IF(AA73="Send follow-up",2,IF(AA73="Send WhatsApp",3,IF(AA73="Review",4,IF(AA73="Do not send",9,5)))))</f>
        <v>3</v>
      </c>
      <c r="AE73" s="43">
        <f>IF(M73="High",1,IF(M73="Medium",2,IF(M73="Normal",3,IF(M73="Hold",9,4))))</f>
        <v>3</v>
      </c>
      <c r="AF73" s="43">
        <f>IF(T73="Read",1,IF(T73="Delivered",2,IF(T73="Sent",3,IF(T73="Not sent",4,IF(T73="Failed",9,5)))))</f>
        <v>4</v>
      </c>
      <c r="AG73" s="43">
        <f>IF(U73="Demo booked",1,IF(U73="Interested",2,IF(U73="Replied",3,IF(U73="No reply",5,IF(U73="Not interested",8,IF(U73="Bad number",9,6))))))</f>
        <v>6</v>
      </c>
      <c r="AH73" s="46">
        <f>AD73*1000+AN73*100+AE73*10+AG73</f>
        <v>3436</v>
      </c>
      <c r="AI73" s="45">
        <f>MAX(IF(R73="",0,R73),IF(Y73="",0,Y73))</f>
        <v>0</v>
      </c>
      <c r="AJ73" s="43" t="str">
        <f ca="1">IF(AND(X73&lt;&gt;"",Y73="",X73&lt;TODAY()),"Overdue",IF(AND(X73&lt;&gt;"",Y73="",X73=TODAY()),"Due today",IF(Y73&lt;&gt;"","Follow-up sent","")))</f>
        <v/>
      </c>
      <c r="AK73" s="50" t="s">
        <v>264</v>
      </c>
      <c r="AL73" s="50" t="s">
        <v>265</v>
      </c>
      <c r="AM73" s="50" t="s">
        <v>266</v>
      </c>
      <c r="AN73" s="50">
        <v>4</v>
      </c>
      <c r="AO73" s="54" t="s">
        <v>540</v>
      </c>
      <c r="AP73" s="57" t="s">
        <v>127</v>
      </c>
      <c r="AQ73" s="58"/>
      <c r="AR73" s="57"/>
    </row>
    <row r="74" spans="1:44" ht="67.5" customHeight="1" x14ac:dyDescent="0.25">
      <c r="A74" s="43" t="s">
        <v>541</v>
      </c>
      <c r="B74" s="43" t="s">
        <v>542</v>
      </c>
      <c r="C74" s="43" t="s">
        <v>543</v>
      </c>
      <c r="D74" s="44" t="s">
        <v>544</v>
      </c>
      <c r="E74" s="43"/>
      <c r="F74" s="43" t="s">
        <v>394</v>
      </c>
      <c r="G74" s="45"/>
      <c r="H74" s="45">
        <v>46161</v>
      </c>
      <c r="I74" s="43" t="s">
        <v>527</v>
      </c>
      <c r="J74" s="43" t="s">
        <v>528</v>
      </c>
      <c r="K74" s="43" t="str">
        <f>IF(LEN(D74)=10,"OK","Check")</f>
        <v>OK</v>
      </c>
      <c r="L74" s="43" t="s">
        <v>262</v>
      </c>
      <c r="M74" s="43" t="str">
        <f>IF(L74="Hold","Hold",IF(IFERROR(E74,0)&gt;=200,"High",IF(IFERROR(E74,0)&gt;=100,"Medium","Normal")))</f>
        <v>Normal</v>
      </c>
      <c r="N74" s="43" t="s">
        <v>90</v>
      </c>
      <c r="O74" s="43" t="s">
        <v>91</v>
      </c>
      <c r="P74" s="43" t="s">
        <v>92</v>
      </c>
      <c r="Q74" s="17" t="s">
        <v>93</v>
      </c>
      <c r="R74" s="45"/>
      <c r="S74" s="43"/>
      <c r="T74" s="43" t="s">
        <v>31</v>
      </c>
      <c r="U74" s="43" t="s">
        <v>94</v>
      </c>
      <c r="V74" s="43" t="s">
        <v>94</v>
      </c>
      <c r="W74" s="43" t="s">
        <v>95</v>
      </c>
      <c r="X74" s="45" t="str">
        <f>IF(AND(R74&lt;&gt;"",OR(U74="No reply",U74="Unknown")),R74+2,"")</f>
        <v/>
      </c>
      <c r="Y74" s="45"/>
      <c r="Z74" s="43" t="s">
        <v>96</v>
      </c>
      <c r="AA74" s="43" t="str">
        <f>IF(L74="Hold","Do not send",IF(T74="Not sent","Send WhatsApp",IF(U74="Demo booked","Prepare demo",IF(W74="Booked","Prepare demo",IF(AND(X74&lt;&gt;"",Y74=""),"Send follow-up","Review")))))</f>
        <v>Send WhatsApp</v>
      </c>
      <c r="AB74" s="43"/>
      <c r="AC74" s="43" t="s">
        <v>529</v>
      </c>
      <c r="AD74" s="43">
        <f>IF(AA74="Prepare demo",1,IF(AA74="Send follow-up",2,IF(AA74="Send WhatsApp",3,IF(AA74="Review",4,IF(AA74="Do not send",9,5)))))</f>
        <v>3</v>
      </c>
      <c r="AE74" s="43">
        <f>IF(M74="High",1,IF(M74="Medium",2,IF(M74="Normal",3,IF(M74="Hold",9,4))))</f>
        <v>3</v>
      </c>
      <c r="AF74" s="43">
        <f>IF(T74="Read",1,IF(T74="Delivered",2,IF(T74="Sent",3,IF(T74="Not sent",4,IF(T74="Failed",9,5)))))</f>
        <v>4</v>
      </c>
      <c r="AG74" s="43">
        <f>IF(U74="Demo booked",1,IF(U74="Interested",2,IF(U74="Replied",3,IF(U74="No reply",5,IF(U74="Not interested",8,IF(U74="Bad number",9,6))))))</f>
        <v>6</v>
      </c>
      <c r="AH74" s="46">
        <f>AD74*1000+AN74*100+AE74*10+AG74</f>
        <v>3436</v>
      </c>
      <c r="AI74" s="45">
        <f>MAX(IF(R74="",0,R74),IF(Y74="",0,Y74))</f>
        <v>0</v>
      </c>
      <c r="AJ74" s="43" t="str">
        <f ca="1">IF(AND(X74&lt;&gt;"",Y74="",X74&lt;TODAY()),"Overdue",IF(AND(X74&lt;&gt;"",Y74="",X74=TODAY()),"Due today",IF(Y74&lt;&gt;"","Follow-up sent","")))</f>
        <v/>
      </c>
      <c r="AK74" s="50" t="s">
        <v>264</v>
      </c>
      <c r="AL74" s="50" t="s">
        <v>265</v>
      </c>
      <c r="AM74" s="50" t="s">
        <v>266</v>
      </c>
      <c r="AN74" s="50">
        <v>4</v>
      </c>
      <c r="AO74" s="54" t="s">
        <v>545</v>
      </c>
      <c r="AP74" s="57" t="s">
        <v>127</v>
      </c>
      <c r="AQ74" s="58"/>
      <c r="AR74" s="57"/>
    </row>
    <row r="75" spans="1:44" ht="67.5" customHeight="1" x14ac:dyDescent="0.25">
      <c r="A75" s="43" t="s">
        <v>546</v>
      </c>
      <c r="B75" s="43" t="s">
        <v>547</v>
      </c>
      <c r="C75" s="43" t="s">
        <v>548</v>
      </c>
      <c r="D75" s="44" t="s">
        <v>549</v>
      </c>
      <c r="E75" s="43"/>
      <c r="F75" s="43" t="s">
        <v>394</v>
      </c>
      <c r="G75" s="45"/>
      <c r="H75" s="45">
        <v>46161</v>
      </c>
      <c r="I75" s="43" t="s">
        <v>527</v>
      </c>
      <c r="J75" s="43" t="s">
        <v>550</v>
      </c>
      <c r="K75" s="43" t="str">
        <f>IF(LEN(D75)=10,"OK","Check")</f>
        <v>OK</v>
      </c>
      <c r="L75" s="43" t="s">
        <v>262</v>
      </c>
      <c r="M75" s="43" t="str">
        <f>IF(L75="Hold","Hold",IF(IFERROR(E75,0)&gt;=200,"High",IF(IFERROR(E75,0)&gt;=100,"Medium","Normal")))</f>
        <v>Normal</v>
      </c>
      <c r="N75" s="43" t="s">
        <v>90</v>
      </c>
      <c r="O75" s="43" t="s">
        <v>91</v>
      </c>
      <c r="P75" s="43" t="s">
        <v>92</v>
      </c>
      <c r="Q75" s="17" t="s">
        <v>93</v>
      </c>
      <c r="R75" s="45"/>
      <c r="S75" s="43"/>
      <c r="T75" s="43" t="s">
        <v>31</v>
      </c>
      <c r="U75" s="43" t="s">
        <v>94</v>
      </c>
      <c r="V75" s="43" t="s">
        <v>94</v>
      </c>
      <c r="W75" s="43" t="s">
        <v>95</v>
      </c>
      <c r="X75" s="45" t="str">
        <f>IF(AND(R75&lt;&gt;"",OR(U75="No reply",U75="Unknown")),R75+2,"")</f>
        <v/>
      </c>
      <c r="Y75" s="45"/>
      <c r="Z75" s="43" t="s">
        <v>96</v>
      </c>
      <c r="AA75" s="43" t="str">
        <f>IF(L75="Hold","Do not send",IF(T75="Not sent","Send WhatsApp",IF(U75="Demo booked","Prepare demo",IF(W75="Booked","Prepare demo",IF(AND(X75&lt;&gt;"",Y75=""),"Send follow-up","Review")))))</f>
        <v>Send WhatsApp</v>
      </c>
      <c r="AB75" s="43"/>
      <c r="AC75" s="43" t="s">
        <v>529</v>
      </c>
      <c r="AD75" s="43">
        <f>IF(AA75="Prepare demo",1,IF(AA75="Send follow-up",2,IF(AA75="Send WhatsApp",3,IF(AA75="Review",4,IF(AA75="Do not send",9,5)))))</f>
        <v>3</v>
      </c>
      <c r="AE75" s="43">
        <f>IF(M75="High",1,IF(M75="Medium",2,IF(M75="Normal",3,IF(M75="Hold",9,4))))</f>
        <v>3</v>
      </c>
      <c r="AF75" s="43">
        <f>IF(T75="Read",1,IF(T75="Delivered",2,IF(T75="Sent",3,IF(T75="Not sent",4,IF(T75="Failed",9,5)))))</f>
        <v>4</v>
      </c>
      <c r="AG75" s="43">
        <f>IF(U75="Demo booked",1,IF(U75="Interested",2,IF(U75="Replied",3,IF(U75="No reply",5,IF(U75="Not interested",8,IF(U75="Bad number",9,6))))))</f>
        <v>6</v>
      </c>
      <c r="AH75" s="46">
        <f>AD75*1000+AN75*100+AE75*10+AG75</f>
        <v>3436</v>
      </c>
      <c r="AI75" s="45">
        <f>MAX(IF(R75="",0,R75),IF(Y75="",0,Y75))</f>
        <v>0</v>
      </c>
      <c r="AJ75" s="43" t="str">
        <f ca="1">IF(AND(X75&lt;&gt;"",Y75="",X75&lt;TODAY()),"Overdue",IF(AND(X75&lt;&gt;"",Y75="",X75=TODAY()),"Due today",IF(Y75&lt;&gt;"","Follow-up sent","")))</f>
        <v/>
      </c>
      <c r="AK75" s="50" t="s">
        <v>264</v>
      </c>
      <c r="AL75" s="50" t="s">
        <v>265</v>
      </c>
      <c r="AM75" s="50" t="s">
        <v>266</v>
      </c>
      <c r="AN75" s="50">
        <v>4</v>
      </c>
      <c r="AO75" s="54" t="s">
        <v>551</v>
      </c>
      <c r="AP75" s="57" t="s">
        <v>127</v>
      </c>
      <c r="AQ75" s="58"/>
      <c r="AR75" s="57"/>
    </row>
    <row r="76" spans="1:44" ht="67.5" customHeight="1" x14ac:dyDescent="0.25">
      <c r="A76" s="43" t="s">
        <v>552</v>
      </c>
      <c r="B76" s="43" t="s">
        <v>553</v>
      </c>
      <c r="C76" s="43" t="s">
        <v>554</v>
      </c>
      <c r="D76" s="44" t="s">
        <v>555</v>
      </c>
      <c r="E76" s="43"/>
      <c r="F76" s="43" t="s">
        <v>394</v>
      </c>
      <c r="G76" s="45"/>
      <c r="H76" s="45">
        <v>46161</v>
      </c>
      <c r="I76" s="43" t="s">
        <v>527</v>
      </c>
      <c r="J76" s="43" t="s">
        <v>528</v>
      </c>
      <c r="K76" s="43" t="str">
        <f>IF(LEN(D76)=10,"OK","Check")</f>
        <v>OK</v>
      </c>
      <c r="L76" s="43" t="s">
        <v>262</v>
      </c>
      <c r="M76" s="43" t="str">
        <f>IF(L76="Hold","Hold",IF(IFERROR(E76,0)&gt;=200,"High",IF(IFERROR(E76,0)&gt;=100,"Medium","Normal")))</f>
        <v>Normal</v>
      </c>
      <c r="N76" s="43" t="s">
        <v>90</v>
      </c>
      <c r="O76" s="43" t="s">
        <v>91</v>
      </c>
      <c r="P76" s="43" t="s">
        <v>92</v>
      </c>
      <c r="Q76" s="17" t="s">
        <v>93</v>
      </c>
      <c r="R76" s="45"/>
      <c r="S76" s="43"/>
      <c r="T76" s="43" t="s">
        <v>31</v>
      </c>
      <c r="U76" s="43" t="s">
        <v>94</v>
      </c>
      <c r="V76" s="43" t="s">
        <v>94</v>
      </c>
      <c r="W76" s="43" t="s">
        <v>95</v>
      </c>
      <c r="X76" s="45" t="str">
        <f>IF(AND(R76&lt;&gt;"",OR(U76="No reply",U76="Unknown")),R76+2,"")</f>
        <v/>
      </c>
      <c r="Y76" s="45"/>
      <c r="Z76" s="43" t="s">
        <v>96</v>
      </c>
      <c r="AA76" s="43" t="str">
        <f>IF(L76="Hold","Do not send",IF(T76="Not sent","Send WhatsApp",IF(U76="Demo booked","Prepare demo",IF(W76="Booked","Prepare demo",IF(AND(X76&lt;&gt;"",Y76=""),"Send follow-up","Review")))))</f>
        <v>Send WhatsApp</v>
      </c>
      <c r="AB76" s="43"/>
      <c r="AC76" s="43" t="s">
        <v>529</v>
      </c>
      <c r="AD76" s="43">
        <f>IF(AA76="Prepare demo",1,IF(AA76="Send follow-up",2,IF(AA76="Send WhatsApp",3,IF(AA76="Review",4,IF(AA76="Do not send",9,5)))))</f>
        <v>3</v>
      </c>
      <c r="AE76" s="43">
        <f>IF(M76="High",1,IF(M76="Medium",2,IF(M76="Normal",3,IF(M76="Hold",9,4))))</f>
        <v>3</v>
      </c>
      <c r="AF76" s="43">
        <f>IF(T76="Read",1,IF(T76="Delivered",2,IF(T76="Sent",3,IF(T76="Not sent",4,IF(T76="Failed",9,5)))))</f>
        <v>4</v>
      </c>
      <c r="AG76" s="43">
        <f>IF(U76="Demo booked",1,IF(U76="Interested",2,IF(U76="Replied",3,IF(U76="No reply",5,IF(U76="Not interested",8,IF(U76="Bad number",9,6))))))</f>
        <v>6</v>
      </c>
      <c r="AH76" s="46">
        <f>AD76*1000+AN76*100+AE76*10+AG76</f>
        <v>3436</v>
      </c>
      <c r="AI76" s="45">
        <f>MAX(IF(R76="",0,R76),IF(Y76="",0,Y76))</f>
        <v>0</v>
      </c>
      <c r="AJ76" s="43" t="str">
        <f ca="1">IF(AND(X76&lt;&gt;"",Y76="",X76&lt;TODAY()),"Overdue",IF(AND(X76&lt;&gt;"",Y76="",X76=TODAY()),"Due today",IF(Y76&lt;&gt;"","Follow-up sent","")))</f>
        <v/>
      </c>
      <c r="AK76" s="50" t="s">
        <v>264</v>
      </c>
      <c r="AL76" s="50" t="s">
        <v>265</v>
      </c>
      <c r="AM76" s="50" t="s">
        <v>266</v>
      </c>
      <c r="AN76" s="50">
        <v>4</v>
      </c>
      <c r="AO76" s="54" t="s">
        <v>556</v>
      </c>
      <c r="AP76" s="57" t="s">
        <v>127</v>
      </c>
      <c r="AQ76" s="58"/>
      <c r="AR76" s="57"/>
    </row>
    <row r="77" spans="1:44" ht="67.5" customHeight="1" x14ac:dyDescent="0.25">
      <c r="A77" s="43" t="s">
        <v>557</v>
      </c>
      <c r="B77" s="43" t="s">
        <v>558</v>
      </c>
      <c r="C77" s="43" t="s">
        <v>559</v>
      </c>
      <c r="D77" s="44" t="s">
        <v>560</v>
      </c>
      <c r="E77" s="43"/>
      <c r="F77" s="43" t="s">
        <v>394</v>
      </c>
      <c r="G77" s="45"/>
      <c r="H77" s="45">
        <v>46161</v>
      </c>
      <c r="I77" s="43" t="s">
        <v>527</v>
      </c>
      <c r="J77" s="43" t="s">
        <v>528</v>
      </c>
      <c r="K77" s="43" t="str">
        <f>IF(LEN(D77)=10,"OK","Check")</f>
        <v>OK</v>
      </c>
      <c r="L77" s="43" t="s">
        <v>262</v>
      </c>
      <c r="M77" s="43" t="str">
        <f>IF(L77="Hold","Hold",IF(IFERROR(E77,0)&gt;=200,"High",IF(IFERROR(E77,0)&gt;=100,"Medium","Normal")))</f>
        <v>Normal</v>
      </c>
      <c r="N77" s="43" t="s">
        <v>90</v>
      </c>
      <c r="O77" s="43" t="s">
        <v>91</v>
      </c>
      <c r="P77" s="43" t="s">
        <v>92</v>
      </c>
      <c r="Q77" s="17" t="s">
        <v>93</v>
      </c>
      <c r="R77" s="45"/>
      <c r="S77" s="43"/>
      <c r="T77" s="43" t="s">
        <v>31</v>
      </c>
      <c r="U77" s="43" t="s">
        <v>94</v>
      </c>
      <c r="V77" s="43" t="s">
        <v>94</v>
      </c>
      <c r="W77" s="43" t="s">
        <v>95</v>
      </c>
      <c r="X77" s="45" t="str">
        <f>IF(AND(R77&lt;&gt;"",OR(U77="No reply",U77="Unknown")),R77+2,"")</f>
        <v/>
      </c>
      <c r="Y77" s="45"/>
      <c r="Z77" s="43" t="s">
        <v>96</v>
      </c>
      <c r="AA77" s="43" t="str">
        <f>IF(L77="Hold","Do not send",IF(T77="Not sent","Send WhatsApp",IF(U77="Demo booked","Prepare demo",IF(W77="Booked","Prepare demo",IF(AND(X77&lt;&gt;"",Y77=""),"Send follow-up","Review")))))</f>
        <v>Send WhatsApp</v>
      </c>
      <c r="AB77" s="43"/>
      <c r="AC77" s="43" t="s">
        <v>529</v>
      </c>
      <c r="AD77" s="43">
        <f>IF(AA77="Prepare demo",1,IF(AA77="Send follow-up",2,IF(AA77="Send WhatsApp",3,IF(AA77="Review",4,IF(AA77="Do not send",9,5)))))</f>
        <v>3</v>
      </c>
      <c r="AE77" s="43">
        <f>IF(M77="High",1,IF(M77="Medium",2,IF(M77="Normal",3,IF(M77="Hold",9,4))))</f>
        <v>3</v>
      </c>
      <c r="AF77" s="43">
        <f>IF(T77="Read",1,IF(T77="Delivered",2,IF(T77="Sent",3,IF(T77="Not sent",4,IF(T77="Failed",9,5)))))</f>
        <v>4</v>
      </c>
      <c r="AG77" s="43">
        <f>IF(U77="Demo booked",1,IF(U77="Interested",2,IF(U77="Replied",3,IF(U77="No reply",5,IF(U77="Not interested",8,IF(U77="Bad number",9,6))))))</f>
        <v>6</v>
      </c>
      <c r="AH77" s="46">
        <f>AD77*1000+AN77*100+AE77*10+AG77</f>
        <v>3436</v>
      </c>
      <c r="AI77" s="45">
        <f>MAX(IF(R77="",0,R77),IF(Y77="",0,Y77))</f>
        <v>0</v>
      </c>
      <c r="AJ77" s="43" t="str">
        <f ca="1">IF(AND(X77&lt;&gt;"",Y77="",X77&lt;TODAY()),"Overdue",IF(AND(X77&lt;&gt;"",Y77="",X77=TODAY()),"Due today",IF(Y77&lt;&gt;"","Follow-up sent","")))</f>
        <v/>
      </c>
      <c r="AK77" s="50" t="s">
        <v>264</v>
      </c>
      <c r="AL77" s="50" t="s">
        <v>265</v>
      </c>
      <c r="AM77" s="50" t="s">
        <v>266</v>
      </c>
      <c r="AN77" s="50">
        <v>4</v>
      </c>
      <c r="AO77" s="54" t="s">
        <v>561</v>
      </c>
      <c r="AP77" s="57" t="s">
        <v>127</v>
      </c>
      <c r="AQ77" s="58"/>
      <c r="AR77" s="57"/>
    </row>
    <row r="78" spans="1:44" ht="67.5" customHeight="1" x14ac:dyDescent="0.25">
      <c r="A78" s="43" t="s">
        <v>562</v>
      </c>
      <c r="B78" s="43" t="s">
        <v>563</v>
      </c>
      <c r="C78" s="43" t="s">
        <v>564</v>
      </c>
      <c r="D78" s="44" t="s">
        <v>565</v>
      </c>
      <c r="E78" s="43"/>
      <c r="F78" s="43" t="s">
        <v>394</v>
      </c>
      <c r="G78" s="45"/>
      <c r="H78" s="45">
        <v>46161</v>
      </c>
      <c r="I78" s="43" t="s">
        <v>527</v>
      </c>
      <c r="J78" s="43" t="s">
        <v>528</v>
      </c>
      <c r="K78" s="43" t="str">
        <f>IF(LEN(D78)=10,"OK","Check")</f>
        <v>OK</v>
      </c>
      <c r="L78" s="43" t="s">
        <v>262</v>
      </c>
      <c r="M78" s="43" t="str">
        <f>IF(L78="Hold","Hold",IF(IFERROR(E78,0)&gt;=200,"High",IF(IFERROR(E78,0)&gt;=100,"Medium","Normal")))</f>
        <v>Normal</v>
      </c>
      <c r="N78" s="43" t="s">
        <v>90</v>
      </c>
      <c r="O78" s="43" t="s">
        <v>91</v>
      </c>
      <c r="P78" s="43" t="s">
        <v>92</v>
      </c>
      <c r="Q78" s="17" t="s">
        <v>93</v>
      </c>
      <c r="R78" s="45"/>
      <c r="S78" s="43"/>
      <c r="T78" s="43" t="s">
        <v>31</v>
      </c>
      <c r="U78" s="43" t="s">
        <v>94</v>
      </c>
      <c r="V78" s="43" t="s">
        <v>94</v>
      </c>
      <c r="W78" s="43" t="s">
        <v>95</v>
      </c>
      <c r="X78" s="45" t="str">
        <f>IF(AND(R78&lt;&gt;"",OR(U78="No reply",U78="Unknown")),R78+2,"")</f>
        <v/>
      </c>
      <c r="Y78" s="45"/>
      <c r="Z78" s="43" t="s">
        <v>96</v>
      </c>
      <c r="AA78" s="43" t="str">
        <f>IF(L78="Hold","Do not send",IF(T78="Not sent","Send WhatsApp",IF(U78="Demo booked","Prepare demo",IF(W78="Booked","Prepare demo",IF(AND(X78&lt;&gt;"",Y78=""),"Send follow-up","Review")))))</f>
        <v>Send WhatsApp</v>
      </c>
      <c r="AB78" s="43"/>
      <c r="AC78" s="43" t="s">
        <v>529</v>
      </c>
      <c r="AD78" s="43">
        <f>IF(AA78="Prepare demo",1,IF(AA78="Send follow-up",2,IF(AA78="Send WhatsApp",3,IF(AA78="Review",4,IF(AA78="Do not send",9,5)))))</f>
        <v>3</v>
      </c>
      <c r="AE78" s="43">
        <f>IF(M78="High",1,IF(M78="Medium",2,IF(M78="Normal",3,IF(M78="Hold",9,4))))</f>
        <v>3</v>
      </c>
      <c r="AF78" s="43">
        <f>IF(T78="Read",1,IF(T78="Delivered",2,IF(T78="Sent",3,IF(T78="Not sent",4,IF(T78="Failed",9,5)))))</f>
        <v>4</v>
      </c>
      <c r="AG78" s="43">
        <f>IF(U78="Demo booked",1,IF(U78="Interested",2,IF(U78="Replied",3,IF(U78="No reply",5,IF(U78="Not interested",8,IF(U78="Bad number",9,6))))))</f>
        <v>6</v>
      </c>
      <c r="AH78" s="46">
        <f>AD78*1000+AN78*100+AE78*10+AG78</f>
        <v>3436</v>
      </c>
      <c r="AI78" s="45">
        <f>MAX(IF(R78="",0,R78),IF(Y78="",0,Y78))</f>
        <v>0</v>
      </c>
      <c r="AJ78" s="43" t="str">
        <f ca="1">IF(AND(X78&lt;&gt;"",Y78="",X78&lt;TODAY()),"Overdue",IF(AND(X78&lt;&gt;"",Y78="",X78=TODAY()),"Due today",IF(Y78&lt;&gt;"","Follow-up sent","")))</f>
        <v/>
      </c>
      <c r="AK78" s="50" t="s">
        <v>264</v>
      </c>
      <c r="AL78" s="50" t="s">
        <v>265</v>
      </c>
      <c r="AM78" s="50" t="s">
        <v>266</v>
      </c>
      <c r="AN78" s="50">
        <v>4</v>
      </c>
      <c r="AO78" s="54" t="s">
        <v>566</v>
      </c>
      <c r="AP78" s="57" t="s">
        <v>127</v>
      </c>
      <c r="AQ78" s="58"/>
      <c r="AR78" s="57"/>
    </row>
    <row r="79" spans="1:44" ht="67.5" customHeight="1" x14ac:dyDescent="0.25">
      <c r="A79" s="43" t="s">
        <v>567</v>
      </c>
      <c r="B79" s="43" t="s">
        <v>568</v>
      </c>
      <c r="C79" s="43" t="s">
        <v>568</v>
      </c>
      <c r="D79" s="44" t="s">
        <v>569</v>
      </c>
      <c r="E79" s="43"/>
      <c r="F79" s="43" t="s">
        <v>394</v>
      </c>
      <c r="G79" s="45"/>
      <c r="H79" s="45">
        <v>46161</v>
      </c>
      <c r="I79" s="43" t="s">
        <v>570</v>
      </c>
      <c r="J79" s="43" t="s">
        <v>571</v>
      </c>
      <c r="K79" s="43" t="str">
        <f>IF(LEN(D79)=10,"OK","Check")</f>
        <v>OK</v>
      </c>
      <c r="L79" s="43" t="s">
        <v>262</v>
      </c>
      <c r="M79" s="43" t="str">
        <f>IF(L79="Hold","Hold",IF(IFERROR(E79,0)&gt;=200,"High",IF(IFERROR(E79,0)&gt;=100,"Medium","Normal")))</f>
        <v>Normal</v>
      </c>
      <c r="N79" s="43" t="s">
        <v>90</v>
      </c>
      <c r="O79" s="43" t="s">
        <v>91</v>
      </c>
      <c r="P79" s="43" t="s">
        <v>92</v>
      </c>
      <c r="Q79" s="17" t="s">
        <v>93</v>
      </c>
      <c r="R79" s="45"/>
      <c r="S79" s="43"/>
      <c r="T79" s="109" t="s">
        <v>21</v>
      </c>
      <c r="U79" s="43" t="s">
        <v>94</v>
      </c>
      <c r="V79" s="43" t="s">
        <v>94</v>
      </c>
      <c r="W79" s="43" t="s">
        <v>95</v>
      </c>
      <c r="X79" s="45" t="str">
        <f>IF(AND(R79&lt;&gt;"",OR(U79="No reply",U79="Unknown")),R79+2,"")</f>
        <v/>
      </c>
      <c r="Y79" s="45"/>
      <c r="Z79" s="43" t="s">
        <v>96</v>
      </c>
      <c r="AA79" s="43" t="str">
        <f>IF(L79="Hold","Do not send",IF(T79="Not sent","Send WhatsApp",IF(U79="Demo booked","Prepare demo",IF(W79="Booked","Prepare demo",IF(AND(X79&lt;&gt;"",Y79=""),"Send follow-up","Review")))))</f>
        <v>Review</v>
      </c>
      <c r="AB79" s="43"/>
      <c r="AC79" s="43" t="s">
        <v>572</v>
      </c>
      <c r="AD79" s="43">
        <f>IF(AA79="Prepare demo",1,IF(AA79="Send follow-up",2,IF(AA79="Send WhatsApp",3,IF(AA79="Review",4,IF(AA79="Do not send",9,5)))))</f>
        <v>4</v>
      </c>
      <c r="AE79" s="43">
        <f>IF(M79="High",1,IF(M79="Medium",2,IF(M79="Normal",3,IF(M79="Hold",9,4))))</f>
        <v>3</v>
      </c>
      <c r="AF79" s="43">
        <f>IF(T79="Read",1,IF(T79="Delivered",2,IF(T79="Sent",3,IF(T79="Not sent",4,IF(T79="Failed",9,5)))))</f>
        <v>3</v>
      </c>
      <c r="AG79" s="43">
        <f>IF(U79="Demo booked",1,IF(U79="Interested",2,IF(U79="Replied",3,IF(U79="No reply",5,IF(U79="Not interested",8,IF(U79="Bad number",9,6))))))</f>
        <v>6</v>
      </c>
      <c r="AH79" s="46">
        <f>AD79*1000+AN79*100+AE79*10+AG79</f>
        <v>4336</v>
      </c>
      <c r="AI79" s="45">
        <f>MAX(IF(R79="",0,R79),IF(Y79="",0,Y79))</f>
        <v>0</v>
      </c>
      <c r="AJ79" s="43" t="str">
        <f ca="1">IF(AND(X79&lt;&gt;"",Y79="",X79&lt;TODAY()),"Overdue",IF(AND(X79&lt;&gt;"",Y79="",X79=TODAY()),"Due today",IF(Y79&lt;&gt;"","Follow-up sent","")))</f>
        <v/>
      </c>
      <c r="AK79" s="50" t="s">
        <v>573</v>
      </c>
      <c r="AL79" s="50" t="s">
        <v>574</v>
      </c>
      <c r="AM79" s="50" t="s">
        <v>575</v>
      </c>
      <c r="AN79" s="50">
        <v>3</v>
      </c>
      <c r="AO79" s="54" t="s">
        <v>576</v>
      </c>
      <c r="AP79" s="57" t="s">
        <v>127</v>
      </c>
      <c r="AQ79" s="58"/>
      <c r="AR79" s="57"/>
    </row>
    <row r="80" spans="1:44" ht="67.5" customHeight="1" x14ac:dyDescent="0.25">
      <c r="A80" s="43" t="s">
        <v>577</v>
      </c>
      <c r="B80" s="43" t="s">
        <v>578</v>
      </c>
      <c r="C80" s="43" t="s">
        <v>578</v>
      </c>
      <c r="D80" s="44" t="s">
        <v>579</v>
      </c>
      <c r="E80" s="43"/>
      <c r="F80" s="43" t="s">
        <v>394</v>
      </c>
      <c r="G80" s="45"/>
      <c r="H80" s="45">
        <v>46161</v>
      </c>
      <c r="I80" s="43" t="s">
        <v>570</v>
      </c>
      <c r="J80" s="43" t="s">
        <v>580</v>
      </c>
      <c r="K80" s="43" t="str">
        <f>IF(LEN(D80)=10,"OK","Check")</f>
        <v>OK</v>
      </c>
      <c r="L80" s="43" t="s">
        <v>262</v>
      </c>
      <c r="M80" s="43" t="str">
        <f>IF(L80="Hold","Hold",IF(IFERROR(E80,0)&gt;=200,"High",IF(IFERROR(E80,0)&gt;=100,"Medium","Normal")))</f>
        <v>Normal</v>
      </c>
      <c r="N80" s="43" t="s">
        <v>90</v>
      </c>
      <c r="O80" s="43" t="s">
        <v>91</v>
      </c>
      <c r="P80" s="43" t="s">
        <v>92</v>
      </c>
      <c r="Q80" s="17" t="s">
        <v>93</v>
      </c>
      <c r="R80" s="45"/>
      <c r="S80" s="43"/>
      <c r="T80" s="43" t="s">
        <v>31</v>
      </c>
      <c r="U80" s="43" t="s">
        <v>94</v>
      </c>
      <c r="V80" s="43" t="s">
        <v>94</v>
      </c>
      <c r="W80" s="43" t="s">
        <v>95</v>
      </c>
      <c r="X80" s="45" t="str">
        <f>IF(AND(R80&lt;&gt;"",OR(U80="No reply",U80="Unknown")),R80+2,"")</f>
        <v/>
      </c>
      <c r="Y80" s="45"/>
      <c r="Z80" s="43" t="s">
        <v>96</v>
      </c>
      <c r="AA80" s="43" t="str">
        <f>IF(L80="Hold","Do not send",IF(T80="Not sent","Send WhatsApp",IF(U80="Demo booked","Prepare demo",IF(W80="Booked","Prepare demo",IF(AND(X80&lt;&gt;"",Y80=""),"Send follow-up","Review")))))</f>
        <v>Send WhatsApp</v>
      </c>
      <c r="AB80" s="43"/>
      <c r="AC80" s="43" t="s">
        <v>572</v>
      </c>
      <c r="AD80" s="43">
        <f>IF(AA80="Prepare demo",1,IF(AA80="Send follow-up",2,IF(AA80="Send WhatsApp",3,IF(AA80="Review",4,IF(AA80="Do not send",9,5)))))</f>
        <v>3</v>
      </c>
      <c r="AE80" s="43">
        <f>IF(M80="High",1,IF(M80="Medium",2,IF(M80="Normal",3,IF(M80="Hold",9,4))))</f>
        <v>3</v>
      </c>
      <c r="AF80" s="43">
        <f>IF(T80="Read",1,IF(T80="Delivered",2,IF(T80="Sent",3,IF(T80="Not sent",4,IF(T80="Failed",9,5)))))</f>
        <v>4</v>
      </c>
      <c r="AG80" s="43">
        <f>IF(U80="Demo booked",1,IF(U80="Interested",2,IF(U80="Replied",3,IF(U80="No reply",5,IF(U80="Not interested",8,IF(U80="Bad number",9,6))))))</f>
        <v>6</v>
      </c>
      <c r="AH80" s="46">
        <f>AD80*1000+AN80*100+AE80*10+AG80</f>
        <v>3336</v>
      </c>
      <c r="AI80" s="45">
        <f>MAX(IF(R80="",0,R80),IF(Y80="",0,Y80))</f>
        <v>0</v>
      </c>
      <c r="AJ80" s="43" t="str">
        <f ca="1">IF(AND(X80&lt;&gt;"",Y80="",X80&lt;TODAY()),"Overdue",IF(AND(X80&lt;&gt;"",Y80="",X80=TODAY()),"Due today",IF(Y80&lt;&gt;"","Follow-up sent","")))</f>
        <v/>
      </c>
      <c r="AK80" s="50" t="s">
        <v>573</v>
      </c>
      <c r="AL80" s="50" t="s">
        <v>574</v>
      </c>
      <c r="AM80" s="50" t="s">
        <v>575</v>
      </c>
      <c r="AN80" s="50">
        <v>3</v>
      </c>
      <c r="AO80" s="54" t="s">
        <v>581</v>
      </c>
      <c r="AP80" s="57" t="s">
        <v>127</v>
      </c>
      <c r="AQ80" s="58"/>
      <c r="AR80" s="57"/>
    </row>
    <row r="81" spans="1:44" ht="67.5" customHeight="1" x14ac:dyDescent="0.25">
      <c r="A81" s="43" t="s">
        <v>582</v>
      </c>
      <c r="B81" s="43" t="s">
        <v>583</v>
      </c>
      <c r="C81" s="43" t="s">
        <v>583</v>
      </c>
      <c r="D81" s="44" t="s">
        <v>584</v>
      </c>
      <c r="E81" s="43"/>
      <c r="F81" s="43" t="s">
        <v>394</v>
      </c>
      <c r="G81" s="45"/>
      <c r="H81" s="45">
        <v>46161</v>
      </c>
      <c r="I81" s="43" t="s">
        <v>570</v>
      </c>
      <c r="J81" s="43" t="s">
        <v>585</v>
      </c>
      <c r="K81" s="43" t="str">
        <f>IF(LEN(D81)=10,"OK","Check")</f>
        <v>OK</v>
      </c>
      <c r="L81" s="43" t="s">
        <v>262</v>
      </c>
      <c r="M81" s="43" t="str">
        <f>IF(L81="Hold","Hold",IF(IFERROR(E81,0)&gt;=200,"High",IF(IFERROR(E81,0)&gt;=100,"Medium","Normal")))</f>
        <v>Normal</v>
      </c>
      <c r="N81" s="43" t="s">
        <v>90</v>
      </c>
      <c r="O81" s="43" t="s">
        <v>91</v>
      </c>
      <c r="P81" s="43" t="s">
        <v>92</v>
      </c>
      <c r="Q81" s="17" t="s">
        <v>93</v>
      </c>
      <c r="R81" s="45"/>
      <c r="S81" s="43"/>
      <c r="T81" s="43" t="s">
        <v>31</v>
      </c>
      <c r="U81" s="43" t="s">
        <v>94</v>
      </c>
      <c r="V81" s="43" t="s">
        <v>94</v>
      </c>
      <c r="W81" s="43" t="s">
        <v>95</v>
      </c>
      <c r="X81" s="45" t="str">
        <f>IF(AND(R81&lt;&gt;"",OR(U81="No reply",U81="Unknown")),R81+2,"")</f>
        <v/>
      </c>
      <c r="Y81" s="45"/>
      <c r="Z81" s="43" t="s">
        <v>96</v>
      </c>
      <c r="AA81" s="43" t="str">
        <f>IF(L81="Hold","Do not send",IF(T81="Not sent","Send WhatsApp",IF(U81="Demo booked","Prepare demo",IF(W81="Booked","Prepare demo",IF(AND(X81&lt;&gt;"",Y81=""),"Send follow-up","Review")))))</f>
        <v>Send WhatsApp</v>
      </c>
      <c r="AB81" s="43"/>
      <c r="AC81" s="43" t="s">
        <v>572</v>
      </c>
      <c r="AD81" s="43">
        <f>IF(AA81="Prepare demo",1,IF(AA81="Send follow-up",2,IF(AA81="Send WhatsApp",3,IF(AA81="Review",4,IF(AA81="Do not send",9,5)))))</f>
        <v>3</v>
      </c>
      <c r="AE81" s="43">
        <f>IF(M81="High",1,IF(M81="Medium",2,IF(M81="Normal",3,IF(M81="Hold",9,4))))</f>
        <v>3</v>
      </c>
      <c r="AF81" s="43">
        <f>IF(T81="Read",1,IF(T81="Delivered",2,IF(T81="Sent",3,IF(T81="Not sent",4,IF(T81="Failed",9,5)))))</f>
        <v>4</v>
      </c>
      <c r="AG81" s="43">
        <f>IF(U81="Demo booked",1,IF(U81="Interested",2,IF(U81="Replied",3,IF(U81="No reply",5,IF(U81="Not interested",8,IF(U81="Bad number",9,6))))))</f>
        <v>6</v>
      </c>
      <c r="AH81" s="46">
        <f>AD81*1000+AN81*100+AE81*10+AG81</f>
        <v>3336</v>
      </c>
      <c r="AI81" s="45">
        <f>MAX(IF(R81="",0,R81),IF(Y81="",0,Y81))</f>
        <v>0</v>
      </c>
      <c r="AJ81" s="43" t="str">
        <f ca="1">IF(AND(X81&lt;&gt;"",Y81="",X81&lt;TODAY()),"Overdue",IF(AND(X81&lt;&gt;"",Y81="",X81=TODAY()),"Due today",IF(Y81&lt;&gt;"","Follow-up sent","")))</f>
        <v/>
      </c>
      <c r="AK81" s="50" t="s">
        <v>573</v>
      </c>
      <c r="AL81" s="50" t="s">
        <v>574</v>
      </c>
      <c r="AM81" s="50" t="s">
        <v>575</v>
      </c>
      <c r="AN81" s="50">
        <v>3</v>
      </c>
      <c r="AO81" s="54" t="s">
        <v>586</v>
      </c>
      <c r="AP81" s="57" t="s">
        <v>127</v>
      </c>
      <c r="AQ81" s="58"/>
      <c r="AR81" s="57"/>
    </row>
    <row r="82" spans="1:44" ht="67.5" customHeight="1" x14ac:dyDescent="0.25">
      <c r="A82" s="43" t="s">
        <v>587</v>
      </c>
      <c r="B82" s="43" t="s">
        <v>588</v>
      </c>
      <c r="C82" s="43" t="s">
        <v>588</v>
      </c>
      <c r="D82" s="44" t="s">
        <v>589</v>
      </c>
      <c r="E82" s="43"/>
      <c r="F82" s="43" t="s">
        <v>394</v>
      </c>
      <c r="G82" s="45"/>
      <c r="H82" s="45">
        <v>46161</v>
      </c>
      <c r="I82" s="43" t="s">
        <v>570</v>
      </c>
      <c r="J82" s="43" t="s">
        <v>571</v>
      </c>
      <c r="K82" s="43" t="str">
        <f>IF(LEN(D82)=10,"OK","Check")</f>
        <v>OK</v>
      </c>
      <c r="L82" s="43" t="s">
        <v>262</v>
      </c>
      <c r="M82" s="43" t="str">
        <f>IF(L82="Hold","Hold",IF(IFERROR(E82,0)&gt;=200,"High",IF(IFERROR(E82,0)&gt;=100,"Medium","Normal")))</f>
        <v>Normal</v>
      </c>
      <c r="N82" s="43" t="s">
        <v>90</v>
      </c>
      <c r="O82" s="43" t="s">
        <v>91</v>
      </c>
      <c r="P82" s="43" t="s">
        <v>92</v>
      </c>
      <c r="Q82" s="17" t="s">
        <v>93</v>
      </c>
      <c r="R82" s="45"/>
      <c r="S82" s="43"/>
      <c r="T82" s="43" t="s">
        <v>31</v>
      </c>
      <c r="U82" s="43" t="s">
        <v>94</v>
      </c>
      <c r="V82" s="43" t="s">
        <v>94</v>
      </c>
      <c r="W82" s="43" t="s">
        <v>95</v>
      </c>
      <c r="X82" s="45" t="str">
        <f>IF(AND(R82&lt;&gt;"",OR(U82="No reply",U82="Unknown")),R82+2,"")</f>
        <v/>
      </c>
      <c r="Y82" s="45"/>
      <c r="Z82" s="43" t="s">
        <v>96</v>
      </c>
      <c r="AA82" s="43" t="str">
        <f>IF(L82="Hold","Do not send",IF(T82="Not sent","Send WhatsApp",IF(U82="Demo booked","Prepare demo",IF(W82="Booked","Prepare demo",IF(AND(X82&lt;&gt;"",Y82=""),"Send follow-up","Review")))))</f>
        <v>Send WhatsApp</v>
      </c>
      <c r="AB82" s="43"/>
      <c r="AC82" s="43" t="s">
        <v>572</v>
      </c>
      <c r="AD82" s="43">
        <f>IF(AA82="Prepare demo",1,IF(AA82="Send follow-up",2,IF(AA82="Send WhatsApp",3,IF(AA82="Review",4,IF(AA82="Do not send",9,5)))))</f>
        <v>3</v>
      </c>
      <c r="AE82" s="43">
        <f>IF(M82="High",1,IF(M82="Medium",2,IF(M82="Normal",3,IF(M82="Hold",9,4))))</f>
        <v>3</v>
      </c>
      <c r="AF82" s="43">
        <f>IF(T82="Read",1,IF(T82="Delivered",2,IF(T82="Sent",3,IF(T82="Not sent",4,IF(T82="Failed",9,5)))))</f>
        <v>4</v>
      </c>
      <c r="AG82" s="43">
        <f>IF(U82="Demo booked",1,IF(U82="Interested",2,IF(U82="Replied",3,IF(U82="No reply",5,IF(U82="Not interested",8,IF(U82="Bad number",9,6))))))</f>
        <v>6</v>
      </c>
      <c r="AH82" s="46">
        <f>AD82*1000+AN82*100+AE82*10+AG82</f>
        <v>3336</v>
      </c>
      <c r="AI82" s="45">
        <f>MAX(IF(R82="",0,R82),IF(Y82="",0,Y82))</f>
        <v>0</v>
      </c>
      <c r="AJ82" s="43" t="str">
        <f ca="1">IF(AND(X82&lt;&gt;"",Y82="",X82&lt;TODAY()),"Overdue",IF(AND(X82&lt;&gt;"",Y82="",X82=TODAY()),"Due today",IF(Y82&lt;&gt;"","Follow-up sent","")))</f>
        <v/>
      </c>
      <c r="AK82" s="50" t="s">
        <v>573</v>
      </c>
      <c r="AL82" s="50" t="s">
        <v>574</v>
      </c>
      <c r="AM82" s="50" t="s">
        <v>575</v>
      </c>
      <c r="AN82" s="50">
        <v>3</v>
      </c>
      <c r="AO82" s="54" t="s">
        <v>590</v>
      </c>
      <c r="AP82" s="57" t="s">
        <v>127</v>
      </c>
      <c r="AQ82" s="58"/>
      <c r="AR82" s="57"/>
    </row>
    <row r="83" spans="1:44" ht="67.5" customHeight="1" x14ac:dyDescent="0.25">
      <c r="A83" s="43" t="s">
        <v>591</v>
      </c>
      <c r="B83" s="43" t="s">
        <v>592</v>
      </c>
      <c r="C83" s="43" t="s">
        <v>592</v>
      </c>
      <c r="D83" s="44" t="s">
        <v>593</v>
      </c>
      <c r="E83" s="43"/>
      <c r="F83" s="43" t="s">
        <v>394</v>
      </c>
      <c r="G83" s="45"/>
      <c r="H83" s="45">
        <v>46161</v>
      </c>
      <c r="I83" s="43" t="s">
        <v>570</v>
      </c>
      <c r="J83" s="43" t="s">
        <v>571</v>
      </c>
      <c r="K83" s="43" t="str">
        <f>IF(LEN(D83)=10,"OK","Check")</f>
        <v>OK</v>
      </c>
      <c r="L83" s="43" t="s">
        <v>262</v>
      </c>
      <c r="M83" s="43" t="str">
        <f>IF(L83="Hold","Hold",IF(IFERROR(E83,0)&gt;=200,"High",IF(IFERROR(E83,0)&gt;=100,"Medium","Normal")))</f>
        <v>Normal</v>
      </c>
      <c r="N83" s="43" t="s">
        <v>90</v>
      </c>
      <c r="O83" s="43" t="s">
        <v>91</v>
      </c>
      <c r="P83" s="43" t="s">
        <v>92</v>
      </c>
      <c r="Q83" s="17" t="s">
        <v>93</v>
      </c>
      <c r="R83" s="45"/>
      <c r="S83" s="43"/>
      <c r="T83" s="43" t="s">
        <v>31</v>
      </c>
      <c r="U83" s="43" t="s">
        <v>94</v>
      </c>
      <c r="V83" s="43" t="s">
        <v>94</v>
      </c>
      <c r="W83" s="43" t="s">
        <v>95</v>
      </c>
      <c r="X83" s="45" t="str">
        <f>IF(AND(R83&lt;&gt;"",OR(U83="No reply",U83="Unknown")),R83+2,"")</f>
        <v/>
      </c>
      <c r="Y83" s="45"/>
      <c r="Z83" s="43" t="s">
        <v>96</v>
      </c>
      <c r="AA83" s="43" t="str">
        <f>IF(L83="Hold","Do not send",IF(T83="Not sent","Send WhatsApp",IF(U83="Demo booked","Prepare demo",IF(W83="Booked","Prepare demo",IF(AND(X83&lt;&gt;"",Y83=""),"Send follow-up","Review")))))</f>
        <v>Send WhatsApp</v>
      </c>
      <c r="AB83" s="43"/>
      <c r="AC83" s="43" t="s">
        <v>572</v>
      </c>
      <c r="AD83" s="43">
        <f>IF(AA83="Prepare demo",1,IF(AA83="Send follow-up",2,IF(AA83="Send WhatsApp",3,IF(AA83="Review",4,IF(AA83="Do not send",9,5)))))</f>
        <v>3</v>
      </c>
      <c r="AE83" s="43">
        <f>IF(M83="High",1,IF(M83="Medium",2,IF(M83="Normal",3,IF(M83="Hold",9,4))))</f>
        <v>3</v>
      </c>
      <c r="AF83" s="43">
        <f>IF(T83="Read",1,IF(T83="Delivered",2,IF(T83="Sent",3,IF(T83="Not sent",4,IF(T83="Failed",9,5)))))</f>
        <v>4</v>
      </c>
      <c r="AG83" s="43">
        <f>IF(U83="Demo booked",1,IF(U83="Interested",2,IF(U83="Replied",3,IF(U83="No reply",5,IF(U83="Not interested",8,IF(U83="Bad number",9,6))))))</f>
        <v>6</v>
      </c>
      <c r="AH83" s="46">
        <f>AD83*1000+AN83*100+AE83*10+AG83</f>
        <v>3336</v>
      </c>
      <c r="AI83" s="45">
        <f>MAX(IF(R83="",0,R83),IF(Y83="",0,Y83))</f>
        <v>0</v>
      </c>
      <c r="AJ83" s="43" t="str">
        <f ca="1">IF(AND(X83&lt;&gt;"",Y83="",X83&lt;TODAY()),"Overdue",IF(AND(X83&lt;&gt;"",Y83="",X83=TODAY()),"Due today",IF(Y83&lt;&gt;"","Follow-up sent","")))</f>
        <v/>
      </c>
      <c r="AK83" s="50" t="s">
        <v>573</v>
      </c>
      <c r="AL83" s="50" t="s">
        <v>574</v>
      </c>
      <c r="AM83" s="50" t="s">
        <v>575</v>
      </c>
      <c r="AN83" s="50">
        <v>3</v>
      </c>
      <c r="AO83" s="54" t="s">
        <v>594</v>
      </c>
      <c r="AP83" s="57" t="s">
        <v>127</v>
      </c>
      <c r="AQ83" s="58"/>
      <c r="AR83" s="57"/>
    </row>
    <row r="84" spans="1:44" ht="67.5" customHeight="1" x14ac:dyDescent="0.25">
      <c r="A84" s="43" t="s">
        <v>595</v>
      </c>
      <c r="B84" s="43" t="s">
        <v>596</v>
      </c>
      <c r="C84" s="43" t="s">
        <v>596</v>
      </c>
      <c r="D84" s="44" t="s">
        <v>597</v>
      </c>
      <c r="E84" s="43"/>
      <c r="F84" s="43" t="s">
        <v>394</v>
      </c>
      <c r="G84" s="45"/>
      <c r="H84" s="45">
        <v>46161</v>
      </c>
      <c r="I84" s="43" t="s">
        <v>570</v>
      </c>
      <c r="J84" s="43" t="s">
        <v>571</v>
      </c>
      <c r="K84" s="43" t="str">
        <f>IF(LEN(D84)=10,"OK","Check")</f>
        <v>OK</v>
      </c>
      <c r="L84" s="43" t="s">
        <v>262</v>
      </c>
      <c r="M84" s="43" t="str">
        <f>IF(L84="Hold","Hold",IF(IFERROR(E84,0)&gt;=200,"High",IF(IFERROR(E84,0)&gt;=100,"Medium","Normal")))</f>
        <v>Normal</v>
      </c>
      <c r="N84" s="43" t="s">
        <v>90</v>
      </c>
      <c r="O84" s="43" t="s">
        <v>91</v>
      </c>
      <c r="P84" s="43" t="s">
        <v>92</v>
      </c>
      <c r="Q84" s="17" t="s">
        <v>93</v>
      </c>
      <c r="R84" s="45"/>
      <c r="S84" s="43"/>
      <c r="T84" s="43" t="s">
        <v>31</v>
      </c>
      <c r="U84" s="43" t="s">
        <v>94</v>
      </c>
      <c r="V84" s="43" t="s">
        <v>94</v>
      </c>
      <c r="W84" s="43" t="s">
        <v>95</v>
      </c>
      <c r="X84" s="45" t="str">
        <f>IF(AND(R84&lt;&gt;"",OR(U84="No reply",U84="Unknown")),R84+2,"")</f>
        <v/>
      </c>
      <c r="Y84" s="45"/>
      <c r="Z84" s="43" t="s">
        <v>96</v>
      </c>
      <c r="AA84" s="43" t="str">
        <f>IF(L84="Hold","Do not send",IF(T84="Not sent","Send WhatsApp",IF(U84="Demo booked","Prepare demo",IF(W84="Booked","Prepare demo",IF(AND(X84&lt;&gt;"",Y84=""),"Send follow-up","Review")))))</f>
        <v>Send WhatsApp</v>
      </c>
      <c r="AB84" s="43"/>
      <c r="AC84" s="43" t="s">
        <v>572</v>
      </c>
      <c r="AD84" s="43">
        <f>IF(AA84="Prepare demo",1,IF(AA84="Send follow-up",2,IF(AA84="Send WhatsApp",3,IF(AA84="Review",4,IF(AA84="Do not send",9,5)))))</f>
        <v>3</v>
      </c>
      <c r="AE84" s="43">
        <f>IF(M84="High",1,IF(M84="Medium",2,IF(M84="Normal",3,IF(M84="Hold",9,4))))</f>
        <v>3</v>
      </c>
      <c r="AF84" s="43">
        <f>IF(T84="Read",1,IF(T84="Delivered",2,IF(T84="Sent",3,IF(T84="Not sent",4,IF(T84="Failed",9,5)))))</f>
        <v>4</v>
      </c>
      <c r="AG84" s="43">
        <f>IF(U84="Demo booked",1,IF(U84="Interested",2,IF(U84="Replied",3,IF(U84="No reply",5,IF(U84="Not interested",8,IF(U84="Bad number",9,6))))))</f>
        <v>6</v>
      </c>
      <c r="AH84" s="46">
        <f>AD84*1000+AN84*100+AE84*10+AG84</f>
        <v>3336</v>
      </c>
      <c r="AI84" s="45">
        <f>MAX(IF(R84="",0,R84),IF(Y84="",0,Y84))</f>
        <v>0</v>
      </c>
      <c r="AJ84" s="43" t="str">
        <f ca="1">IF(AND(X84&lt;&gt;"",Y84="",X84&lt;TODAY()),"Overdue",IF(AND(X84&lt;&gt;"",Y84="",X84=TODAY()),"Due today",IF(Y84&lt;&gt;"","Follow-up sent","")))</f>
        <v/>
      </c>
      <c r="AK84" s="50" t="s">
        <v>573</v>
      </c>
      <c r="AL84" s="50" t="s">
        <v>574</v>
      </c>
      <c r="AM84" s="50" t="s">
        <v>575</v>
      </c>
      <c r="AN84" s="50">
        <v>3</v>
      </c>
      <c r="AO84" s="54" t="s">
        <v>598</v>
      </c>
      <c r="AP84" s="57" t="s">
        <v>127</v>
      </c>
      <c r="AQ84" s="58"/>
      <c r="AR84" s="57"/>
    </row>
    <row r="85" spans="1:44" ht="67.5" customHeight="1" x14ac:dyDescent="0.25">
      <c r="A85" s="43" t="s">
        <v>599</v>
      </c>
      <c r="B85" s="43" t="s">
        <v>600</v>
      </c>
      <c r="C85" s="43" t="s">
        <v>600</v>
      </c>
      <c r="D85" s="44" t="s">
        <v>601</v>
      </c>
      <c r="E85" s="43"/>
      <c r="F85" s="43" t="s">
        <v>394</v>
      </c>
      <c r="G85" s="45"/>
      <c r="H85" s="45">
        <v>46161</v>
      </c>
      <c r="I85" s="43" t="s">
        <v>570</v>
      </c>
      <c r="J85" s="43" t="s">
        <v>602</v>
      </c>
      <c r="K85" s="43" t="str">
        <f>IF(LEN(D85)=10,"OK","Check")</f>
        <v>OK</v>
      </c>
      <c r="L85" s="43" t="s">
        <v>262</v>
      </c>
      <c r="M85" s="43" t="str">
        <f>IF(L85="Hold","Hold",IF(IFERROR(E85,0)&gt;=200,"High",IF(IFERROR(E85,0)&gt;=100,"Medium","Normal")))</f>
        <v>Normal</v>
      </c>
      <c r="N85" s="43" t="s">
        <v>90</v>
      </c>
      <c r="O85" s="43" t="s">
        <v>91</v>
      </c>
      <c r="P85" s="43" t="s">
        <v>92</v>
      </c>
      <c r="Q85" s="17" t="s">
        <v>93</v>
      </c>
      <c r="R85" s="45"/>
      <c r="S85" s="43"/>
      <c r="T85" s="43" t="s">
        <v>31</v>
      </c>
      <c r="U85" s="43" t="s">
        <v>94</v>
      </c>
      <c r="V85" s="43" t="s">
        <v>94</v>
      </c>
      <c r="W85" s="43" t="s">
        <v>95</v>
      </c>
      <c r="X85" s="45" t="str">
        <f>IF(AND(R85&lt;&gt;"",OR(U85="No reply",U85="Unknown")),R85+2,"")</f>
        <v/>
      </c>
      <c r="Y85" s="45"/>
      <c r="Z85" s="43" t="s">
        <v>96</v>
      </c>
      <c r="AA85" s="43" t="str">
        <f>IF(L85="Hold","Do not send",IF(T85="Not sent","Send WhatsApp",IF(U85="Demo booked","Prepare demo",IF(W85="Booked","Prepare demo",IF(AND(X85&lt;&gt;"",Y85=""),"Send follow-up","Review")))))</f>
        <v>Send WhatsApp</v>
      </c>
      <c r="AB85" s="43"/>
      <c r="AC85" s="43" t="s">
        <v>572</v>
      </c>
      <c r="AD85" s="43">
        <f>IF(AA85="Prepare demo",1,IF(AA85="Send follow-up",2,IF(AA85="Send WhatsApp",3,IF(AA85="Review",4,IF(AA85="Do not send",9,5)))))</f>
        <v>3</v>
      </c>
      <c r="AE85" s="43">
        <f>IF(M85="High",1,IF(M85="Medium",2,IF(M85="Normal",3,IF(M85="Hold",9,4))))</f>
        <v>3</v>
      </c>
      <c r="AF85" s="43">
        <f>IF(T85="Read",1,IF(T85="Delivered",2,IF(T85="Sent",3,IF(T85="Not sent",4,IF(T85="Failed",9,5)))))</f>
        <v>4</v>
      </c>
      <c r="AG85" s="43">
        <f>IF(U85="Demo booked",1,IF(U85="Interested",2,IF(U85="Replied",3,IF(U85="No reply",5,IF(U85="Not interested",8,IF(U85="Bad number",9,6))))))</f>
        <v>6</v>
      </c>
      <c r="AH85" s="46">
        <f>AD85*1000+AN85*100+AE85*10+AG85</f>
        <v>3336</v>
      </c>
      <c r="AI85" s="45">
        <f>MAX(IF(R85="",0,R85),IF(Y85="",0,Y85))</f>
        <v>0</v>
      </c>
      <c r="AJ85" s="43" t="str">
        <f ca="1">IF(AND(X85&lt;&gt;"",Y85="",X85&lt;TODAY()),"Overdue",IF(AND(X85&lt;&gt;"",Y85="",X85=TODAY()),"Due today",IF(Y85&lt;&gt;"","Follow-up sent","")))</f>
        <v/>
      </c>
      <c r="AK85" s="50" t="s">
        <v>573</v>
      </c>
      <c r="AL85" s="50" t="s">
        <v>574</v>
      </c>
      <c r="AM85" s="50" t="s">
        <v>575</v>
      </c>
      <c r="AN85" s="50">
        <v>3</v>
      </c>
      <c r="AO85" s="54" t="s">
        <v>603</v>
      </c>
      <c r="AP85" s="57" t="s">
        <v>127</v>
      </c>
      <c r="AQ85" s="58"/>
      <c r="AR85" s="57"/>
    </row>
    <row r="86" spans="1:44" ht="67.5" customHeight="1" x14ac:dyDescent="0.25">
      <c r="A86" s="43" t="s">
        <v>604</v>
      </c>
      <c r="B86" s="43" t="s">
        <v>605</v>
      </c>
      <c r="C86" s="43" t="s">
        <v>605</v>
      </c>
      <c r="D86" s="44" t="s">
        <v>606</v>
      </c>
      <c r="E86" s="43"/>
      <c r="F86" s="43" t="s">
        <v>394</v>
      </c>
      <c r="G86" s="45"/>
      <c r="H86" s="45">
        <v>46161</v>
      </c>
      <c r="I86" s="43" t="s">
        <v>570</v>
      </c>
      <c r="J86" s="43" t="s">
        <v>571</v>
      </c>
      <c r="K86" s="43" t="str">
        <f>IF(LEN(D86)=10,"OK","Check")</f>
        <v>OK</v>
      </c>
      <c r="L86" s="43" t="s">
        <v>262</v>
      </c>
      <c r="M86" s="43" t="str">
        <f>IF(L86="Hold","Hold",IF(IFERROR(E86,0)&gt;=200,"High",IF(IFERROR(E86,0)&gt;=100,"Medium","Normal")))</f>
        <v>Normal</v>
      </c>
      <c r="N86" s="43" t="s">
        <v>90</v>
      </c>
      <c r="O86" s="43" t="s">
        <v>91</v>
      </c>
      <c r="P86" s="43" t="s">
        <v>92</v>
      </c>
      <c r="Q86" s="17" t="s">
        <v>93</v>
      </c>
      <c r="R86" s="45"/>
      <c r="S86" s="43"/>
      <c r="T86" s="43" t="s">
        <v>31</v>
      </c>
      <c r="U86" s="43" t="s">
        <v>94</v>
      </c>
      <c r="V86" s="43" t="s">
        <v>94</v>
      </c>
      <c r="W86" s="43" t="s">
        <v>95</v>
      </c>
      <c r="X86" s="45" t="str">
        <f>IF(AND(R86&lt;&gt;"",OR(U86="No reply",U86="Unknown")),R86+2,"")</f>
        <v/>
      </c>
      <c r="Y86" s="45"/>
      <c r="Z86" s="43" t="s">
        <v>96</v>
      </c>
      <c r="AA86" s="43" t="str">
        <f>IF(L86="Hold","Do not send",IF(T86="Not sent","Send WhatsApp",IF(U86="Demo booked","Prepare demo",IF(W86="Booked","Prepare demo",IF(AND(X86&lt;&gt;"",Y86=""),"Send follow-up","Review")))))</f>
        <v>Send WhatsApp</v>
      </c>
      <c r="AB86" s="43"/>
      <c r="AC86" s="43" t="s">
        <v>572</v>
      </c>
      <c r="AD86" s="43">
        <f>IF(AA86="Prepare demo",1,IF(AA86="Send follow-up",2,IF(AA86="Send WhatsApp",3,IF(AA86="Review",4,IF(AA86="Do not send",9,5)))))</f>
        <v>3</v>
      </c>
      <c r="AE86" s="43">
        <f>IF(M86="High",1,IF(M86="Medium",2,IF(M86="Normal",3,IF(M86="Hold",9,4))))</f>
        <v>3</v>
      </c>
      <c r="AF86" s="43">
        <f>IF(T86="Read",1,IF(T86="Delivered",2,IF(T86="Sent",3,IF(T86="Not sent",4,IF(T86="Failed",9,5)))))</f>
        <v>4</v>
      </c>
      <c r="AG86" s="43">
        <f>IF(U86="Demo booked",1,IF(U86="Interested",2,IF(U86="Replied",3,IF(U86="No reply",5,IF(U86="Not interested",8,IF(U86="Bad number",9,6))))))</f>
        <v>6</v>
      </c>
      <c r="AH86" s="46">
        <f>AD86*1000+AN86*100+AE86*10+AG86</f>
        <v>3336</v>
      </c>
      <c r="AI86" s="45">
        <f>MAX(IF(R86="",0,R86),IF(Y86="",0,Y86))</f>
        <v>0</v>
      </c>
      <c r="AJ86" s="43" t="str">
        <f ca="1">IF(AND(X86&lt;&gt;"",Y86="",X86&lt;TODAY()),"Overdue",IF(AND(X86&lt;&gt;"",Y86="",X86=TODAY()),"Due today",IF(Y86&lt;&gt;"","Follow-up sent","")))</f>
        <v/>
      </c>
      <c r="AK86" s="50" t="s">
        <v>573</v>
      </c>
      <c r="AL86" s="50" t="s">
        <v>574</v>
      </c>
      <c r="AM86" s="50" t="s">
        <v>575</v>
      </c>
      <c r="AN86" s="50">
        <v>3</v>
      </c>
      <c r="AO86" s="54" t="s">
        <v>607</v>
      </c>
      <c r="AP86" s="57" t="s">
        <v>127</v>
      </c>
      <c r="AQ86" s="58"/>
      <c r="AR86" s="57"/>
    </row>
    <row r="87" spans="1:44" ht="67.5" customHeight="1" x14ac:dyDescent="0.25">
      <c r="A87" s="43" t="s">
        <v>608</v>
      </c>
      <c r="B87" s="43" t="s">
        <v>605</v>
      </c>
      <c r="C87" s="43" t="s">
        <v>605</v>
      </c>
      <c r="D87" s="44" t="s">
        <v>609</v>
      </c>
      <c r="E87" s="43"/>
      <c r="F87" s="43" t="s">
        <v>394</v>
      </c>
      <c r="G87" s="45"/>
      <c r="H87" s="45">
        <v>46161</v>
      </c>
      <c r="I87" s="43" t="s">
        <v>570</v>
      </c>
      <c r="J87" s="43" t="s">
        <v>571</v>
      </c>
      <c r="K87" s="43" t="str">
        <f>IF(LEN(D87)=10,"OK","Check")</f>
        <v>OK</v>
      </c>
      <c r="L87" s="43" t="s">
        <v>262</v>
      </c>
      <c r="M87" s="43" t="str">
        <f>IF(L87="Hold","Hold",IF(IFERROR(E87,0)&gt;=200,"High",IF(IFERROR(E87,0)&gt;=100,"Medium","Normal")))</f>
        <v>Normal</v>
      </c>
      <c r="N87" s="43" t="s">
        <v>90</v>
      </c>
      <c r="O87" s="43" t="s">
        <v>91</v>
      </c>
      <c r="P87" s="43" t="s">
        <v>92</v>
      </c>
      <c r="Q87" s="17" t="s">
        <v>93</v>
      </c>
      <c r="R87" s="45"/>
      <c r="S87" s="43"/>
      <c r="T87" s="43" t="s">
        <v>31</v>
      </c>
      <c r="U87" s="43" t="s">
        <v>94</v>
      </c>
      <c r="V87" s="43" t="s">
        <v>94</v>
      </c>
      <c r="W87" s="43" t="s">
        <v>95</v>
      </c>
      <c r="X87" s="45" t="str">
        <f>IF(AND(R87&lt;&gt;"",OR(U87="No reply",U87="Unknown")),R87+2,"")</f>
        <v/>
      </c>
      <c r="Y87" s="45"/>
      <c r="Z87" s="43" t="s">
        <v>96</v>
      </c>
      <c r="AA87" s="43" t="str">
        <f>IF(L87="Hold","Do not send",IF(T87="Not sent","Send WhatsApp",IF(U87="Demo booked","Prepare demo",IF(W87="Booked","Prepare demo",IF(AND(X87&lt;&gt;"",Y87=""),"Send follow-up","Review")))))</f>
        <v>Send WhatsApp</v>
      </c>
      <c r="AB87" s="43"/>
      <c r="AC87" s="43" t="s">
        <v>572</v>
      </c>
      <c r="AD87" s="43">
        <f>IF(AA87="Prepare demo",1,IF(AA87="Send follow-up",2,IF(AA87="Send WhatsApp",3,IF(AA87="Review",4,IF(AA87="Do not send",9,5)))))</f>
        <v>3</v>
      </c>
      <c r="AE87" s="43">
        <f>IF(M87="High",1,IF(M87="Medium",2,IF(M87="Normal",3,IF(M87="Hold",9,4))))</f>
        <v>3</v>
      </c>
      <c r="AF87" s="43">
        <f>IF(T87="Read",1,IF(T87="Delivered",2,IF(T87="Sent",3,IF(T87="Not sent",4,IF(T87="Failed",9,5)))))</f>
        <v>4</v>
      </c>
      <c r="AG87" s="43">
        <f>IF(U87="Demo booked",1,IF(U87="Interested",2,IF(U87="Replied",3,IF(U87="No reply",5,IF(U87="Not interested",8,IF(U87="Bad number",9,6))))))</f>
        <v>6</v>
      </c>
      <c r="AH87" s="46">
        <f>AD87*1000+AN87*100+AE87*10+AG87</f>
        <v>3336</v>
      </c>
      <c r="AI87" s="45">
        <f>MAX(IF(R87="",0,R87),IF(Y87="",0,Y87))</f>
        <v>0</v>
      </c>
      <c r="AJ87" s="43" t="str">
        <f ca="1">IF(AND(X87&lt;&gt;"",Y87="",X87&lt;TODAY()),"Overdue",IF(AND(X87&lt;&gt;"",Y87="",X87=TODAY()),"Due today",IF(Y87&lt;&gt;"","Follow-up sent","")))</f>
        <v/>
      </c>
      <c r="AK87" s="50" t="s">
        <v>573</v>
      </c>
      <c r="AL87" s="50" t="s">
        <v>574</v>
      </c>
      <c r="AM87" s="50" t="s">
        <v>575</v>
      </c>
      <c r="AN87" s="50">
        <v>3</v>
      </c>
      <c r="AO87" s="54" t="s">
        <v>610</v>
      </c>
      <c r="AP87" s="57" t="s">
        <v>127</v>
      </c>
      <c r="AQ87" s="58"/>
      <c r="AR87" s="57"/>
    </row>
    <row r="88" spans="1:44" ht="67.5" customHeight="1" x14ac:dyDescent="0.25">
      <c r="A88" s="43" t="s">
        <v>611</v>
      </c>
      <c r="B88" s="43" t="s">
        <v>612</v>
      </c>
      <c r="C88" s="43" t="s">
        <v>612</v>
      </c>
      <c r="D88" s="44" t="s">
        <v>613</v>
      </c>
      <c r="E88" s="43"/>
      <c r="F88" s="43" t="s">
        <v>394</v>
      </c>
      <c r="G88" s="45"/>
      <c r="H88" s="45">
        <v>46161</v>
      </c>
      <c r="I88" s="43" t="s">
        <v>570</v>
      </c>
      <c r="J88" s="43" t="s">
        <v>571</v>
      </c>
      <c r="K88" s="43" t="str">
        <f>IF(LEN(D88)=10,"OK","Check")</f>
        <v>OK</v>
      </c>
      <c r="L88" s="43" t="s">
        <v>262</v>
      </c>
      <c r="M88" s="43" t="str">
        <f>IF(L88="Hold","Hold",IF(IFERROR(E88,0)&gt;=200,"High",IF(IFERROR(E88,0)&gt;=100,"Medium","Normal")))</f>
        <v>Normal</v>
      </c>
      <c r="N88" s="43" t="s">
        <v>90</v>
      </c>
      <c r="O88" s="43" t="s">
        <v>91</v>
      </c>
      <c r="P88" s="43" t="s">
        <v>92</v>
      </c>
      <c r="Q88" s="17" t="s">
        <v>93</v>
      </c>
      <c r="R88" s="45"/>
      <c r="S88" s="43"/>
      <c r="T88" s="43" t="s">
        <v>31</v>
      </c>
      <c r="U88" s="43" t="s">
        <v>94</v>
      </c>
      <c r="V88" s="43" t="s">
        <v>94</v>
      </c>
      <c r="W88" s="43" t="s">
        <v>95</v>
      </c>
      <c r="X88" s="45" t="str">
        <f>IF(AND(R88&lt;&gt;"",OR(U88="No reply",U88="Unknown")),R88+2,"")</f>
        <v/>
      </c>
      <c r="Y88" s="45"/>
      <c r="Z88" s="43" t="s">
        <v>96</v>
      </c>
      <c r="AA88" s="43" t="str">
        <f>IF(L88="Hold","Do not send",IF(T88="Not sent","Send WhatsApp",IF(U88="Demo booked","Prepare demo",IF(W88="Booked","Prepare demo",IF(AND(X88&lt;&gt;"",Y88=""),"Send follow-up","Review")))))</f>
        <v>Send WhatsApp</v>
      </c>
      <c r="AB88" s="43"/>
      <c r="AC88" s="43" t="s">
        <v>572</v>
      </c>
      <c r="AD88" s="43">
        <f>IF(AA88="Prepare demo",1,IF(AA88="Send follow-up",2,IF(AA88="Send WhatsApp",3,IF(AA88="Review",4,IF(AA88="Do not send",9,5)))))</f>
        <v>3</v>
      </c>
      <c r="AE88" s="43">
        <f>IF(M88="High",1,IF(M88="Medium",2,IF(M88="Normal",3,IF(M88="Hold",9,4))))</f>
        <v>3</v>
      </c>
      <c r="AF88" s="43">
        <f>IF(T88="Read",1,IF(T88="Delivered",2,IF(T88="Sent",3,IF(T88="Not sent",4,IF(T88="Failed",9,5)))))</f>
        <v>4</v>
      </c>
      <c r="AG88" s="43">
        <f>IF(U88="Demo booked",1,IF(U88="Interested",2,IF(U88="Replied",3,IF(U88="No reply",5,IF(U88="Not interested",8,IF(U88="Bad number",9,6))))))</f>
        <v>6</v>
      </c>
      <c r="AH88" s="46">
        <f>AD88*1000+AN88*100+AE88*10+AG88</f>
        <v>3336</v>
      </c>
      <c r="AI88" s="45">
        <f>MAX(IF(R88="",0,R88),IF(Y88="",0,Y88))</f>
        <v>0</v>
      </c>
      <c r="AJ88" s="43" t="str">
        <f ca="1">IF(AND(X88&lt;&gt;"",Y88="",X88&lt;TODAY()),"Overdue",IF(AND(X88&lt;&gt;"",Y88="",X88=TODAY()),"Due today",IF(Y88&lt;&gt;"","Follow-up sent","")))</f>
        <v/>
      </c>
      <c r="AK88" s="50" t="s">
        <v>573</v>
      </c>
      <c r="AL88" s="50" t="s">
        <v>574</v>
      </c>
      <c r="AM88" s="50" t="s">
        <v>575</v>
      </c>
      <c r="AN88" s="50">
        <v>3</v>
      </c>
      <c r="AO88" s="54" t="s">
        <v>614</v>
      </c>
      <c r="AP88" s="57" t="s">
        <v>127</v>
      </c>
      <c r="AQ88" s="58"/>
      <c r="AR88" s="57"/>
    </row>
    <row r="89" spans="1:44" ht="67.5" customHeight="1" x14ac:dyDescent="0.25">
      <c r="A89" s="43" t="s">
        <v>615</v>
      </c>
      <c r="B89" s="43" t="s">
        <v>616</v>
      </c>
      <c r="C89" s="43" t="s">
        <v>616</v>
      </c>
      <c r="D89" s="44" t="s">
        <v>617</v>
      </c>
      <c r="E89" s="43"/>
      <c r="F89" s="43" t="s">
        <v>394</v>
      </c>
      <c r="G89" s="45"/>
      <c r="H89" s="45">
        <v>46161</v>
      </c>
      <c r="I89" s="43" t="s">
        <v>570</v>
      </c>
      <c r="J89" s="43" t="s">
        <v>571</v>
      </c>
      <c r="K89" s="43" t="str">
        <f>IF(LEN(D89)=10,"OK","Check")</f>
        <v>OK</v>
      </c>
      <c r="L89" s="43" t="s">
        <v>262</v>
      </c>
      <c r="M89" s="43" t="str">
        <f>IF(L89="Hold","Hold",IF(IFERROR(E89,0)&gt;=200,"High",IF(IFERROR(E89,0)&gt;=100,"Medium","Normal")))</f>
        <v>Normal</v>
      </c>
      <c r="N89" s="43" t="s">
        <v>90</v>
      </c>
      <c r="O89" s="43" t="s">
        <v>91</v>
      </c>
      <c r="P89" s="43" t="s">
        <v>92</v>
      </c>
      <c r="Q89" s="17" t="s">
        <v>93</v>
      </c>
      <c r="R89" s="45"/>
      <c r="S89" s="43"/>
      <c r="T89" s="43" t="s">
        <v>31</v>
      </c>
      <c r="U89" s="43" t="s">
        <v>94</v>
      </c>
      <c r="V89" s="43" t="s">
        <v>94</v>
      </c>
      <c r="W89" s="43" t="s">
        <v>95</v>
      </c>
      <c r="X89" s="45" t="str">
        <f>IF(AND(R89&lt;&gt;"",OR(U89="No reply",U89="Unknown")),R89+2,"")</f>
        <v/>
      </c>
      <c r="Y89" s="45"/>
      <c r="Z89" s="43" t="s">
        <v>96</v>
      </c>
      <c r="AA89" s="43" t="str">
        <f>IF(L89="Hold","Do not send",IF(T89="Not sent","Send WhatsApp",IF(U89="Demo booked","Prepare demo",IF(W89="Booked","Prepare demo",IF(AND(X89&lt;&gt;"",Y89=""),"Send follow-up","Review")))))</f>
        <v>Send WhatsApp</v>
      </c>
      <c r="AB89" s="43"/>
      <c r="AC89" s="43" t="s">
        <v>572</v>
      </c>
      <c r="AD89" s="43">
        <f>IF(AA89="Prepare demo",1,IF(AA89="Send follow-up",2,IF(AA89="Send WhatsApp",3,IF(AA89="Review",4,IF(AA89="Do not send",9,5)))))</f>
        <v>3</v>
      </c>
      <c r="AE89" s="43">
        <f>IF(M89="High",1,IF(M89="Medium",2,IF(M89="Normal",3,IF(M89="Hold",9,4))))</f>
        <v>3</v>
      </c>
      <c r="AF89" s="43">
        <f>IF(T89="Read",1,IF(T89="Delivered",2,IF(T89="Sent",3,IF(T89="Not sent",4,IF(T89="Failed",9,5)))))</f>
        <v>4</v>
      </c>
      <c r="AG89" s="43">
        <f>IF(U89="Demo booked",1,IF(U89="Interested",2,IF(U89="Replied",3,IF(U89="No reply",5,IF(U89="Not interested",8,IF(U89="Bad number",9,6))))))</f>
        <v>6</v>
      </c>
      <c r="AH89" s="46">
        <f>AD89*1000+AN89*100+AE89*10+AG89</f>
        <v>3336</v>
      </c>
      <c r="AI89" s="45">
        <f>MAX(IF(R89="",0,R89),IF(Y89="",0,Y89))</f>
        <v>0</v>
      </c>
      <c r="AJ89" s="43" t="str">
        <f ca="1">IF(AND(X89&lt;&gt;"",Y89="",X89&lt;TODAY()),"Overdue",IF(AND(X89&lt;&gt;"",Y89="",X89=TODAY()),"Due today",IF(Y89&lt;&gt;"","Follow-up sent","")))</f>
        <v/>
      </c>
      <c r="AK89" s="50" t="s">
        <v>573</v>
      </c>
      <c r="AL89" s="50" t="s">
        <v>574</v>
      </c>
      <c r="AM89" s="50" t="s">
        <v>575</v>
      </c>
      <c r="AN89" s="50">
        <v>3</v>
      </c>
      <c r="AO89" s="54" t="s">
        <v>618</v>
      </c>
      <c r="AP89" s="57" t="s">
        <v>127</v>
      </c>
      <c r="AQ89" s="58"/>
      <c r="AR89" s="57"/>
    </row>
    <row r="90" spans="1:44" ht="67.5" customHeight="1" x14ac:dyDescent="0.25">
      <c r="A90" s="43" t="s">
        <v>619</v>
      </c>
      <c r="B90" s="43" t="s">
        <v>620</v>
      </c>
      <c r="C90" s="43" t="s">
        <v>620</v>
      </c>
      <c r="D90" s="44" t="s">
        <v>621</v>
      </c>
      <c r="E90" s="43"/>
      <c r="F90" s="43" t="s">
        <v>394</v>
      </c>
      <c r="G90" s="45"/>
      <c r="H90" s="45">
        <v>46161</v>
      </c>
      <c r="I90" s="43" t="s">
        <v>570</v>
      </c>
      <c r="J90" s="43" t="s">
        <v>622</v>
      </c>
      <c r="K90" s="43" t="str">
        <f>IF(LEN(D90)=10,"OK","Check")</f>
        <v>OK</v>
      </c>
      <c r="L90" s="43" t="s">
        <v>262</v>
      </c>
      <c r="M90" s="43" t="str">
        <f>IF(L90="Hold","Hold",IF(IFERROR(E90,0)&gt;=200,"High",IF(IFERROR(E90,0)&gt;=100,"Medium","Normal")))</f>
        <v>Normal</v>
      </c>
      <c r="N90" s="43" t="s">
        <v>90</v>
      </c>
      <c r="O90" s="43" t="s">
        <v>91</v>
      </c>
      <c r="P90" s="43" t="s">
        <v>92</v>
      </c>
      <c r="Q90" s="17" t="s">
        <v>93</v>
      </c>
      <c r="R90" s="45"/>
      <c r="S90" s="43"/>
      <c r="T90" s="43" t="s">
        <v>31</v>
      </c>
      <c r="U90" s="43" t="s">
        <v>94</v>
      </c>
      <c r="V90" s="43" t="s">
        <v>94</v>
      </c>
      <c r="W90" s="43" t="s">
        <v>95</v>
      </c>
      <c r="X90" s="45" t="str">
        <f>IF(AND(R90&lt;&gt;"",OR(U90="No reply",U90="Unknown")),R90+2,"")</f>
        <v/>
      </c>
      <c r="Y90" s="45"/>
      <c r="Z90" s="43" t="s">
        <v>96</v>
      </c>
      <c r="AA90" s="43" t="str">
        <f>IF(L90="Hold","Do not send",IF(T90="Not sent","Send WhatsApp",IF(U90="Demo booked","Prepare demo",IF(W90="Booked","Prepare demo",IF(AND(X90&lt;&gt;"",Y90=""),"Send follow-up","Review")))))</f>
        <v>Send WhatsApp</v>
      </c>
      <c r="AB90" s="43"/>
      <c r="AC90" s="43" t="s">
        <v>572</v>
      </c>
      <c r="AD90" s="43">
        <f>IF(AA90="Prepare demo",1,IF(AA90="Send follow-up",2,IF(AA90="Send WhatsApp",3,IF(AA90="Review",4,IF(AA90="Do not send",9,5)))))</f>
        <v>3</v>
      </c>
      <c r="AE90" s="43">
        <f>IF(M90="High",1,IF(M90="Medium",2,IF(M90="Normal",3,IF(M90="Hold",9,4))))</f>
        <v>3</v>
      </c>
      <c r="AF90" s="43">
        <f>IF(T90="Read",1,IF(T90="Delivered",2,IF(T90="Sent",3,IF(T90="Not sent",4,IF(T90="Failed",9,5)))))</f>
        <v>4</v>
      </c>
      <c r="AG90" s="43">
        <f>IF(U90="Demo booked",1,IF(U90="Interested",2,IF(U90="Replied",3,IF(U90="No reply",5,IF(U90="Not interested",8,IF(U90="Bad number",9,6))))))</f>
        <v>6</v>
      </c>
      <c r="AH90" s="46">
        <f>AD90*1000+AN90*100+AE90*10+AG90</f>
        <v>3336</v>
      </c>
      <c r="AI90" s="45">
        <f>MAX(IF(R90="",0,R90),IF(Y90="",0,Y90))</f>
        <v>0</v>
      </c>
      <c r="AJ90" s="43" t="str">
        <f ca="1">IF(AND(X90&lt;&gt;"",Y90="",X90&lt;TODAY()),"Overdue",IF(AND(X90&lt;&gt;"",Y90="",X90=TODAY()),"Due today",IF(Y90&lt;&gt;"","Follow-up sent","")))</f>
        <v/>
      </c>
      <c r="AK90" s="50" t="s">
        <v>573</v>
      </c>
      <c r="AL90" s="50" t="s">
        <v>574</v>
      </c>
      <c r="AM90" s="50" t="s">
        <v>575</v>
      </c>
      <c r="AN90" s="50">
        <v>3</v>
      </c>
      <c r="AO90" s="54" t="s">
        <v>623</v>
      </c>
      <c r="AP90" s="57" t="s">
        <v>127</v>
      </c>
      <c r="AQ90" s="58"/>
      <c r="AR90" s="57"/>
    </row>
    <row r="91" spans="1:44" ht="67.5" customHeight="1" x14ac:dyDescent="0.25">
      <c r="A91" s="43" t="s">
        <v>624</v>
      </c>
      <c r="B91" s="43" t="s">
        <v>620</v>
      </c>
      <c r="C91" s="43" t="s">
        <v>620</v>
      </c>
      <c r="D91" s="44" t="s">
        <v>625</v>
      </c>
      <c r="E91" s="43"/>
      <c r="F91" s="43" t="s">
        <v>394</v>
      </c>
      <c r="G91" s="45"/>
      <c r="H91" s="45">
        <v>46161</v>
      </c>
      <c r="I91" s="43" t="s">
        <v>570</v>
      </c>
      <c r="J91" s="43" t="s">
        <v>622</v>
      </c>
      <c r="K91" s="43" t="str">
        <f>IF(LEN(D91)=10,"OK","Check")</f>
        <v>OK</v>
      </c>
      <c r="L91" s="43" t="s">
        <v>262</v>
      </c>
      <c r="M91" s="43" t="str">
        <f>IF(L91="Hold","Hold",IF(IFERROR(E91,0)&gt;=200,"High",IF(IFERROR(E91,0)&gt;=100,"Medium","Normal")))</f>
        <v>Normal</v>
      </c>
      <c r="N91" s="43" t="s">
        <v>90</v>
      </c>
      <c r="O91" s="43" t="s">
        <v>91</v>
      </c>
      <c r="P91" s="43" t="s">
        <v>92</v>
      </c>
      <c r="Q91" s="17" t="s">
        <v>93</v>
      </c>
      <c r="R91" s="45"/>
      <c r="S91" s="43"/>
      <c r="T91" s="43" t="s">
        <v>31</v>
      </c>
      <c r="U91" s="43" t="s">
        <v>94</v>
      </c>
      <c r="V91" s="43" t="s">
        <v>94</v>
      </c>
      <c r="W91" s="43" t="s">
        <v>95</v>
      </c>
      <c r="X91" s="45" t="str">
        <f>IF(AND(R91&lt;&gt;"",OR(U91="No reply",U91="Unknown")),R91+2,"")</f>
        <v/>
      </c>
      <c r="Y91" s="45"/>
      <c r="Z91" s="43" t="s">
        <v>96</v>
      </c>
      <c r="AA91" s="43" t="str">
        <f>IF(L91="Hold","Do not send",IF(T91="Not sent","Send WhatsApp",IF(U91="Demo booked","Prepare demo",IF(W91="Booked","Prepare demo",IF(AND(X91&lt;&gt;"",Y91=""),"Send follow-up","Review")))))</f>
        <v>Send WhatsApp</v>
      </c>
      <c r="AB91" s="43"/>
      <c r="AC91" s="43" t="s">
        <v>572</v>
      </c>
      <c r="AD91" s="43">
        <f>IF(AA91="Prepare demo",1,IF(AA91="Send follow-up",2,IF(AA91="Send WhatsApp",3,IF(AA91="Review",4,IF(AA91="Do not send",9,5)))))</f>
        <v>3</v>
      </c>
      <c r="AE91" s="43">
        <f>IF(M91="High",1,IF(M91="Medium",2,IF(M91="Normal",3,IF(M91="Hold",9,4))))</f>
        <v>3</v>
      </c>
      <c r="AF91" s="43">
        <f>IF(T91="Read",1,IF(T91="Delivered",2,IF(T91="Sent",3,IF(T91="Not sent",4,IF(T91="Failed",9,5)))))</f>
        <v>4</v>
      </c>
      <c r="AG91" s="43">
        <f>IF(U91="Demo booked",1,IF(U91="Interested",2,IF(U91="Replied",3,IF(U91="No reply",5,IF(U91="Not interested",8,IF(U91="Bad number",9,6))))))</f>
        <v>6</v>
      </c>
      <c r="AH91" s="46">
        <f>AD91*1000+AN91*100+AE91*10+AG91</f>
        <v>3336</v>
      </c>
      <c r="AI91" s="45">
        <f>MAX(IF(R91="",0,R91),IF(Y91="",0,Y91))</f>
        <v>0</v>
      </c>
      <c r="AJ91" s="43" t="str">
        <f ca="1">IF(AND(X91&lt;&gt;"",Y91="",X91&lt;TODAY()),"Overdue",IF(AND(X91&lt;&gt;"",Y91="",X91=TODAY()),"Due today",IF(Y91&lt;&gt;"","Follow-up sent","")))</f>
        <v/>
      </c>
      <c r="AK91" s="50" t="s">
        <v>573</v>
      </c>
      <c r="AL91" s="50" t="s">
        <v>574</v>
      </c>
      <c r="AM91" s="50" t="s">
        <v>575</v>
      </c>
      <c r="AN91" s="50">
        <v>3</v>
      </c>
      <c r="AO91" s="54" t="s">
        <v>626</v>
      </c>
      <c r="AP91" s="57" t="s">
        <v>127</v>
      </c>
      <c r="AQ91" s="58"/>
      <c r="AR91" s="57"/>
    </row>
    <row r="92" spans="1:44" ht="67.5" customHeight="1" x14ac:dyDescent="0.25">
      <c r="A92" s="43" t="s">
        <v>627</v>
      </c>
      <c r="B92" s="43" t="s">
        <v>628</v>
      </c>
      <c r="C92" s="43" t="s">
        <v>628</v>
      </c>
      <c r="D92" s="44" t="s">
        <v>629</v>
      </c>
      <c r="E92" s="43"/>
      <c r="F92" s="43" t="s">
        <v>394</v>
      </c>
      <c r="G92" s="45"/>
      <c r="H92" s="45">
        <v>46161</v>
      </c>
      <c r="I92" s="43" t="s">
        <v>570</v>
      </c>
      <c r="J92" s="43" t="s">
        <v>571</v>
      </c>
      <c r="K92" s="43" t="str">
        <f>IF(LEN(D92)=10,"OK","Check")</f>
        <v>OK</v>
      </c>
      <c r="L92" s="43" t="s">
        <v>262</v>
      </c>
      <c r="M92" s="43" t="str">
        <f>IF(L92="Hold","Hold",IF(IFERROR(E92,0)&gt;=200,"High",IF(IFERROR(E92,0)&gt;=100,"Medium","Normal")))</f>
        <v>Normal</v>
      </c>
      <c r="N92" s="43" t="s">
        <v>90</v>
      </c>
      <c r="O92" s="43" t="s">
        <v>91</v>
      </c>
      <c r="P92" s="43" t="s">
        <v>92</v>
      </c>
      <c r="Q92" s="17" t="s">
        <v>93</v>
      </c>
      <c r="R92" s="45"/>
      <c r="S92" s="43"/>
      <c r="T92" s="43" t="s">
        <v>31</v>
      </c>
      <c r="U92" s="43" t="s">
        <v>94</v>
      </c>
      <c r="V92" s="43" t="s">
        <v>94</v>
      </c>
      <c r="W92" s="43" t="s">
        <v>95</v>
      </c>
      <c r="X92" s="45" t="str">
        <f>IF(AND(R92&lt;&gt;"",OR(U92="No reply",U92="Unknown")),R92+2,"")</f>
        <v/>
      </c>
      <c r="Y92" s="45"/>
      <c r="Z92" s="43" t="s">
        <v>96</v>
      </c>
      <c r="AA92" s="43" t="str">
        <f>IF(L92="Hold","Do not send",IF(T92="Not sent","Send WhatsApp",IF(U92="Demo booked","Prepare demo",IF(W92="Booked","Prepare demo",IF(AND(X92&lt;&gt;"",Y92=""),"Send follow-up","Review")))))</f>
        <v>Send WhatsApp</v>
      </c>
      <c r="AB92" s="43"/>
      <c r="AC92" s="43" t="s">
        <v>572</v>
      </c>
      <c r="AD92" s="43">
        <f>IF(AA92="Prepare demo",1,IF(AA92="Send follow-up",2,IF(AA92="Send WhatsApp",3,IF(AA92="Review",4,IF(AA92="Do not send",9,5)))))</f>
        <v>3</v>
      </c>
      <c r="AE92" s="43">
        <f>IF(M92="High",1,IF(M92="Medium",2,IF(M92="Normal",3,IF(M92="Hold",9,4))))</f>
        <v>3</v>
      </c>
      <c r="AF92" s="43">
        <f>IF(T92="Read",1,IF(T92="Delivered",2,IF(T92="Sent",3,IF(T92="Not sent",4,IF(T92="Failed",9,5)))))</f>
        <v>4</v>
      </c>
      <c r="AG92" s="43">
        <f>IF(U92="Demo booked",1,IF(U92="Interested",2,IF(U92="Replied",3,IF(U92="No reply",5,IF(U92="Not interested",8,IF(U92="Bad number",9,6))))))</f>
        <v>6</v>
      </c>
      <c r="AH92" s="46">
        <f>AD92*1000+AN92*100+AE92*10+AG92</f>
        <v>3336</v>
      </c>
      <c r="AI92" s="45">
        <f>MAX(IF(R92="",0,R92),IF(Y92="",0,Y92))</f>
        <v>0</v>
      </c>
      <c r="AJ92" s="43" t="str">
        <f ca="1">IF(AND(X92&lt;&gt;"",Y92="",X92&lt;TODAY()),"Overdue",IF(AND(X92&lt;&gt;"",Y92="",X92=TODAY()),"Due today",IF(Y92&lt;&gt;"","Follow-up sent","")))</f>
        <v/>
      </c>
      <c r="AK92" s="50" t="s">
        <v>573</v>
      </c>
      <c r="AL92" s="50" t="s">
        <v>574</v>
      </c>
      <c r="AM92" s="50" t="s">
        <v>575</v>
      </c>
      <c r="AN92" s="50">
        <v>3</v>
      </c>
      <c r="AO92" s="54" t="s">
        <v>630</v>
      </c>
      <c r="AP92" s="57" t="s">
        <v>127</v>
      </c>
      <c r="AQ92" s="58"/>
      <c r="AR92" s="57"/>
    </row>
    <row r="93" spans="1:44" ht="67.5" customHeight="1" x14ac:dyDescent="0.25">
      <c r="A93" s="43" t="s">
        <v>631</v>
      </c>
      <c r="B93" s="43" t="s">
        <v>628</v>
      </c>
      <c r="C93" s="43" t="s">
        <v>628</v>
      </c>
      <c r="D93" s="44" t="s">
        <v>632</v>
      </c>
      <c r="E93" s="43"/>
      <c r="F93" s="43" t="s">
        <v>394</v>
      </c>
      <c r="G93" s="45"/>
      <c r="H93" s="45">
        <v>46161</v>
      </c>
      <c r="I93" s="43" t="s">
        <v>570</v>
      </c>
      <c r="J93" s="43" t="s">
        <v>571</v>
      </c>
      <c r="K93" s="43" t="str">
        <f>IF(LEN(D93)=10,"OK","Check")</f>
        <v>OK</v>
      </c>
      <c r="L93" s="43" t="s">
        <v>262</v>
      </c>
      <c r="M93" s="43" t="str">
        <f>IF(L93="Hold","Hold",IF(IFERROR(E93,0)&gt;=200,"High",IF(IFERROR(E93,0)&gt;=100,"Medium","Normal")))</f>
        <v>Normal</v>
      </c>
      <c r="N93" s="43" t="s">
        <v>90</v>
      </c>
      <c r="O93" s="43" t="s">
        <v>91</v>
      </c>
      <c r="P93" s="43" t="s">
        <v>92</v>
      </c>
      <c r="Q93" s="17" t="s">
        <v>93</v>
      </c>
      <c r="R93" s="45"/>
      <c r="S93" s="43"/>
      <c r="T93" s="43" t="s">
        <v>31</v>
      </c>
      <c r="U93" s="43" t="s">
        <v>94</v>
      </c>
      <c r="V93" s="43" t="s">
        <v>94</v>
      </c>
      <c r="W93" s="43" t="s">
        <v>95</v>
      </c>
      <c r="X93" s="45" t="str">
        <f>IF(AND(R93&lt;&gt;"",OR(U93="No reply",U93="Unknown")),R93+2,"")</f>
        <v/>
      </c>
      <c r="Y93" s="45"/>
      <c r="Z93" s="43" t="s">
        <v>96</v>
      </c>
      <c r="AA93" s="43" t="str">
        <f>IF(L93="Hold","Do not send",IF(T93="Not sent","Send WhatsApp",IF(U93="Demo booked","Prepare demo",IF(W93="Booked","Prepare demo",IF(AND(X93&lt;&gt;"",Y93=""),"Send follow-up","Review")))))</f>
        <v>Send WhatsApp</v>
      </c>
      <c r="AB93" s="43"/>
      <c r="AC93" s="43" t="s">
        <v>572</v>
      </c>
      <c r="AD93" s="43">
        <f>IF(AA93="Prepare demo",1,IF(AA93="Send follow-up",2,IF(AA93="Send WhatsApp",3,IF(AA93="Review",4,IF(AA93="Do not send",9,5)))))</f>
        <v>3</v>
      </c>
      <c r="AE93" s="43">
        <f>IF(M93="High",1,IF(M93="Medium",2,IF(M93="Normal",3,IF(M93="Hold",9,4))))</f>
        <v>3</v>
      </c>
      <c r="AF93" s="43">
        <f>IF(T93="Read",1,IF(T93="Delivered",2,IF(T93="Sent",3,IF(T93="Not sent",4,IF(T93="Failed",9,5)))))</f>
        <v>4</v>
      </c>
      <c r="AG93" s="43">
        <f>IF(U93="Demo booked",1,IF(U93="Interested",2,IF(U93="Replied",3,IF(U93="No reply",5,IF(U93="Not interested",8,IF(U93="Bad number",9,6))))))</f>
        <v>6</v>
      </c>
      <c r="AH93" s="46">
        <f>AD93*1000+AN93*100+AE93*10+AG93</f>
        <v>3336</v>
      </c>
      <c r="AI93" s="45">
        <f>MAX(IF(R93="",0,R93),IF(Y93="",0,Y93))</f>
        <v>0</v>
      </c>
      <c r="AJ93" s="43" t="str">
        <f ca="1">IF(AND(X93&lt;&gt;"",Y93="",X93&lt;TODAY()),"Overdue",IF(AND(X93&lt;&gt;"",Y93="",X93=TODAY()),"Due today",IF(Y93&lt;&gt;"","Follow-up sent","")))</f>
        <v/>
      </c>
      <c r="AK93" s="50" t="s">
        <v>573</v>
      </c>
      <c r="AL93" s="50" t="s">
        <v>574</v>
      </c>
      <c r="AM93" s="50" t="s">
        <v>575</v>
      </c>
      <c r="AN93" s="50">
        <v>3</v>
      </c>
      <c r="AO93" s="54" t="s">
        <v>633</v>
      </c>
      <c r="AP93" s="57" t="s">
        <v>127</v>
      </c>
      <c r="AQ93" s="58"/>
      <c r="AR93" s="57"/>
    </row>
    <row r="94" spans="1:44" ht="67.5" customHeight="1" x14ac:dyDescent="0.25">
      <c r="A94" s="43" t="s">
        <v>634</v>
      </c>
      <c r="B94" s="43" t="s">
        <v>635</v>
      </c>
      <c r="C94" s="43" t="s">
        <v>635</v>
      </c>
      <c r="D94" s="44" t="s">
        <v>636</v>
      </c>
      <c r="E94" s="43"/>
      <c r="F94" s="43" t="s">
        <v>394</v>
      </c>
      <c r="G94" s="45"/>
      <c r="H94" s="45">
        <v>46161</v>
      </c>
      <c r="I94" s="43" t="s">
        <v>570</v>
      </c>
      <c r="J94" s="43" t="s">
        <v>637</v>
      </c>
      <c r="K94" s="43" t="str">
        <f>IF(LEN(D94)=10,"OK","Check")</f>
        <v>OK</v>
      </c>
      <c r="L94" s="43" t="s">
        <v>262</v>
      </c>
      <c r="M94" s="43" t="str">
        <f>IF(L94="Hold","Hold",IF(IFERROR(E94,0)&gt;=200,"High",IF(IFERROR(E94,0)&gt;=100,"Medium","Normal")))</f>
        <v>Normal</v>
      </c>
      <c r="N94" s="43" t="s">
        <v>90</v>
      </c>
      <c r="O94" s="43" t="s">
        <v>91</v>
      </c>
      <c r="P94" s="43" t="s">
        <v>92</v>
      </c>
      <c r="Q94" s="17" t="s">
        <v>93</v>
      </c>
      <c r="R94" s="45"/>
      <c r="S94" s="43"/>
      <c r="T94" s="43" t="s">
        <v>31</v>
      </c>
      <c r="U94" s="43" t="s">
        <v>94</v>
      </c>
      <c r="V94" s="43" t="s">
        <v>94</v>
      </c>
      <c r="W94" s="43" t="s">
        <v>95</v>
      </c>
      <c r="X94" s="45" t="str">
        <f>IF(AND(R94&lt;&gt;"",OR(U94="No reply",U94="Unknown")),R94+2,"")</f>
        <v/>
      </c>
      <c r="Y94" s="45"/>
      <c r="Z94" s="43" t="s">
        <v>96</v>
      </c>
      <c r="AA94" s="43" t="str">
        <f>IF(L94="Hold","Do not send",IF(T94="Not sent","Send WhatsApp",IF(U94="Demo booked","Prepare demo",IF(W94="Booked","Prepare demo",IF(AND(X94&lt;&gt;"",Y94=""),"Send follow-up","Review")))))</f>
        <v>Send WhatsApp</v>
      </c>
      <c r="AB94" s="43"/>
      <c r="AC94" s="43" t="s">
        <v>572</v>
      </c>
      <c r="AD94" s="43">
        <f>IF(AA94="Prepare demo",1,IF(AA94="Send follow-up",2,IF(AA94="Send WhatsApp",3,IF(AA94="Review",4,IF(AA94="Do not send",9,5)))))</f>
        <v>3</v>
      </c>
      <c r="AE94" s="43">
        <f>IF(M94="High",1,IF(M94="Medium",2,IF(M94="Normal",3,IF(M94="Hold",9,4))))</f>
        <v>3</v>
      </c>
      <c r="AF94" s="43">
        <f>IF(T94="Read",1,IF(T94="Delivered",2,IF(T94="Sent",3,IF(T94="Not sent",4,IF(T94="Failed",9,5)))))</f>
        <v>4</v>
      </c>
      <c r="AG94" s="43">
        <f>IF(U94="Demo booked",1,IF(U94="Interested",2,IF(U94="Replied",3,IF(U94="No reply",5,IF(U94="Not interested",8,IF(U94="Bad number",9,6))))))</f>
        <v>6</v>
      </c>
      <c r="AH94" s="46">
        <f>AD94*1000+AN94*100+AE94*10+AG94</f>
        <v>3336</v>
      </c>
      <c r="AI94" s="45">
        <f>MAX(IF(R94="",0,R94),IF(Y94="",0,Y94))</f>
        <v>0</v>
      </c>
      <c r="AJ94" s="43" t="str">
        <f ca="1">IF(AND(X94&lt;&gt;"",Y94="",X94&lt;TODAY()),"Overdue",IF(AND(X94&lt;&gt;"",Y94="",X94=TODAY()),"Due today",IF(Y94&lt;&gt;"","Follow-up sent","")))</f>
        <v/>
      </c>
      <c r="AK94" s="50" t="s">
        <v>573</v>
      </c>
      <c r="AL94" s="50" t="s">
        <v>574</v>
      </c>
      <c r="AM94" s="50" t="s">
        <v>575</v>
      </c>
      <c r="AN94" s="50">
        <v>3</v>
      </c>
      <c r="AO94" s="54" t="s">
        <v>638</v>
      </c>
      <c r="AP94" s="57" t="s">
        <v>127</v>
      </c>
      <c r="AQ94" s="58"/>
      <c r="AR94" s="57"/>
    </row>
    <row r="95" spans="1:44" ht="54" customHeight="1" x14ac:dyDescent="0.25">
      <c r="A95" s="43" t="s">
        <v>639</v>
      </c>
      <c r="B95" s="43" t="s">
        <v>640</v>
      </c>
      <c r="C95" s="43" t="s">
        <v>640</v>
      </c>
      <c r="D95" s="44" t="s">
        <v>641</v>
      </c>
      <c r="E95" s="43"/>
      <c r="F95" s="43" t="s">
        <v>394</v>
      </c>
      <c r="G95" s="45"/>
      <c r="H95" s="45">
        <v>46161</v>
      </c>
      <c r="I95" s="43" t="s">
        <v>570</v>
      </c>
      <c r="J95" s="43" t="s">
        <v>571</v>
      </c>
      <c r="K95" s="43" t="str">
        <f>IF(LEN(D95)=10,"OK","Check")</f>
        <v>OK</v>
      </c>
      <c r="L95" s="43" t="s">
        <v>262</v>
      </c>
      <c r="M95" s="43" t="str">
        <f>IF(L95="Hold","Hold",IF(IFERROR(E95,0)&gt;=200,"High",IF(IFERROR(E95,0)&gt;=100,"Medium","Normal")))</f>
        <v>Normal</v>
      </c>
      <c r="N95" s="43" t="s">
        <v>90</v>
      </c>
      <c r="O95" s="43" t="s">
        <v>91</v>
      </c>
      <c r="P95" s="43" t="s">
        <v>92</v>
      </c>
      <c r="Q95" s="17" t="s">
        <v>93</v>
      </c>
      <c r="R95" s="45"/>
      <c r="S95" s="43"/>
      <c r="T95" s="43" t="s">
        <v>31</v>
      </c>
      <c r="U95" s="43" t="s">
        <v>94</v>
      </c>
      <c r="V95" s="43" t="s">
        <v>94</v>
      </c>
      <c r="W95" s="43" t="s">
        <v>95</v>
      </c>
      <c r="X95" s="45" t="str">
        <f>IF(AND(R95&lt;&gt;"",OR(U95="No reply",U95="Unknown")),R95+2,"")</f>
        <v/>
      </c>
      <c r="Y95" s="45"/>
      <c r="Z95" s="43" t="s">
        <v>96</v>
      </c>
      <c r="AA95" s="43" t="str">
        <f>IF(L95="Hold","Do not send",IF(T95="Not sent","Send WhatsApp",IF(U95="Demo booked","Prepare demo",IF(W95="Booked","Prepare demo",IF(AND(X95&lt;&gt;"",Y95=""),"Send follow-up","Review")))))</f>
        <v>Send WhatsApp</v>
      </c>
      <c r="AB95" s="43"/>
      <c r="AC95" s="43" t="s">
        <v>572</v>
      </c>
      <c r="AD95" s="43">
        <f>IF(AA95="Prepare demo",1,IF(AA95="Send follow-up",2,IF(AA95="Send WhatsApp",3,IF(AA95="Review",4,IF(AA95="Do not send",9,5)))))</f>
        <v>3</v>
      </c>
      <c r="AE95" s="43">
        <f>IF(M95="High",1,IF(M95="Medium",2,IF(M95="Normal",3,IF(M95="Hold",9,4))))</f>
        <v>3</v>
      </c>
      <c r="AF95" s="43">
        <f>IF(T95="Read",1,IF(T95="Delivered",2,IF(T95="Sent",3,IF(T95="Not sent",4,IF(T95="Failed",9,5)))))</f>
        <v>4</v>
      </c>
      <c r="AG95" s="43">
        <f>IF(U95="Demo booked",1,IF(U95="Interested",2,IF(U95="Replied",3,IF(U95="No reply",5,IF(U95="Not interested",8,IF(U95="Bad number",9,6))))))</f>
        <v>6</v>
      </c>
      <c r="AH95" s="46">
        <f>AD95*1000+AN95*100+AE95*10+AG95</f>
        <v>3336</v>
      </c>
      <c r="AI95" s="45">
        <f>MAX(IF(R95="",0,R95),IF(Y95="",0,Y95))</f>
        <v>0</v>
      </c>
      <c r="AJ95" s="43" t="str">
        <f ca="1">IF(AND(X95&lt;&gt;"",Y95="",X95&lt;TODAY()),"Overdue",IF(AND(X95&lt;&gt;"",Y95="",X95=TODAY()),"Due today",IF(Y95&lt;&gt;"","Follow-up sent","")))</f>
        <v/>
      </c>
      <c r="AK95" s="50" t="s">
        <v>573</v>
      </c>
      <c r="AL95" s="50" t="s">
        <v>574</v>
      </c>
      <c r="AM95" s="50" t="s">
        <v>575</v>
      </c>
      <c r="AN95" s="50">
        <v>3</v>
      </c>
      <c r="AO95" s="54" t="s">
        <v>642</v>
      </c>
      <c r="AP95" s="57" t="s">
        <v>127</v>
      </c>
      <c r="AQ95" s="58"/>
      <c r="AR95" s="57"/>
    </row>
    <row r="96" spans="1:44" ht="54" customHeight="1" x14ac:dyDescent="0.25">
      <c r="A96" s="43" t="s">
        <v>643</v>
      </c>
      <c r="B96" s="43" t="s">
        <v>640</v>
      </c>
      <c r="C96" s="43" t="s">
        <v>640</v>
      </c>
      <c r="D96" s="44" t="s">
        <v>644</v>
      </c>
      <c r="E96" s="43"/>
      <c r="F96" s="43" t="s">
        <v>394</v>
      </c>
      <c r="G96" s="45"/>
      <c r="H96" s="45">
        <v>46161</v>
      </c>
      <c r="I96" s="43" t="s">
        <v>570</v>
      </c>
      <c r="J96" s="43" t="s">
        <v>571</v>
      </c>
      <c r="K96" s="43" t="str">
        <f>IF(LEN(D96)=10,"OK","Check")</f>
        <v>OK</v>
      </c>
      <c r="L96" s="43" t="s">
        <v>262</v>
      </c>
      <c r="M96" s="43" t="str">
        <f>IF(L96="Hold","Hold",IF(IFERROR(E96,0)&gt;=200,"High",IF(IFERROR(E96,0)&gt;=100,"Medium","Normal")))</f>
        <v>Normal</v>
      </c>
      <c r="N96" s="43" t="s">
        <v>90</v>
      </c>
      <c r="O96" s="43" t="s">
        <v>91</v>
      </c>
      <c r="P96" s="43" t="s">
        <v>92</v>
      </c>
      <c r="Q96" s="17" t="s">
        <v>93</v>
      </c>
      <c r="R96" s="45"/>
      <c r="S96" s="43"/>
      <c r="T96" s="43" t="s">
        <v>31</v>
      </c>
      <c r="U96" s="43" t="s">
        <v>94</v>
      </c>
      <c r="V96" s="43" t="s">
        <v>94</v>
      </c>
      <c r="W96" s="43" t="s">
        <v>95</v>
      </c>
      <c r="X96" s="45" t="str">
        <f>IF(AND(R96&lt;&gt;"",OR(U96="No reply",U96="Unknown")),R96+2,"")</f>
        <v/>
      </c>
      <c r="Y96" s="45"/>
      <c r="Z96" s="43" t="s">
        <v>96</v>
      </c>
      <c r="AA96" s="43" t="str">
        <f>IF(L96="Hold","Do not send",IF(T96="Not sent","Send WhatsApp",IF(U96="Demo booked","Prepare demo",IF(W96="Booked","Prepare demo",IF(AND(X96&lt;&gt;"",Y96=""),"Send follow-up","Review")))))</f>
        <v>Send WhatsApp</v>
      </c>
      <c r="AB96" s="43"/>
      <c r="AC96" s="43" t="s">
        <v>572</v>
      </c>
      <c r="AD96" s="43">
        <f>IF(AA96="Prepare demo",1,IF(AA96="Send follow-up",2,IF(AA96="Send WhatsApp",3,IF(AA96="Review",4,IF(AA96="Do not send",9,5)))))</f>
        <v>3</v>
      </c>
      <c r="AE96" s="43">
        <f>IF(M96="High",1,IF(M96="Medium",2,IF(M96="Normal",3,IF(M96="Hold",9,4))))</f>
        <v>3</v>
      </c>
      <c r="AF96" s="43">
        <f>IF(T96="Read",1,IF(T96="Delivered",2,IF(T96="Sent",3,IF(T96="Not sent",4,IF(T96="Failed",9,5)))))</f>
        <v>4</v>
      </c>
      <c r="AG96" s="43">
        <f>IF(U96="Demo booked",1,IF(U96="Interested",2,IF(U96="Replied",3,IF(U96="No reply",5,IF(U96="Not interested",8,IF(U96="Bad number",9,6))))))</f>
        <v>6</v>
      </c>
      <c r="AH96" s="46">
        <f>AD96*1000+AN96*100+AE96*10+AG96</f>
        <v>3336</v>
      </c>
      <c r="AI96" s="45">
        <f>MAX(IF(R96="",0,R96),IF(Y96="",0,Y96))</f>
        <v>0</v>
      </c>
      <c r="AJ96" s="43" t="str">
        <f ca="1">IF(AND(X96&lt;&gt;"",Y96="",X96&lt;TODAY()),"Overdue",IF(AND(X96&lt;&gt;"",Y96="",X96=TODAY()),"Due today",IF(Y96&lt;&gt;"","Follow-up sent","")))</f>
        <v/>
      </c>
      <c r="AK96" s="50" t="s">
        <v>573</v>
      </c>
      <c r="AL96" s="50" t="s">
        <v>574</v>
      </c>
      <c r="AM96" s="50" t="s">
        <v>575</v>
      </c>
      <c r="AN96" s="50">
        <v>3</v>
      </c>
      <c r="AO96" s="54" t="s">
        <v>645</v>
      </c>
      <c r="AP96" s="57" t="s">
        <v>127</v>
      </c>
      <c r="AQ96" s="58"/>
      <c r="AR96" s="57"/>
    </row>
    <row r="97" spans="1:44" ht="54" customHeight="1" x14ac:dyDescent="0.25">
      <c r="A97" s="43" t="s">
        <v>646</v>
      </c>
      <c r="B97" s="43" t="s">
        <v>647</v>
      </c>
      <c r="C97" s="43" t="s">
        <v>647</v>
      </c>
      <c r="D97" s="44" t="s">
        <v>648</v>
      </c>
      <c r="E97" s="43"/>
      <c r="F97" s="43" t="s">
        <v>394</v>
      </c>
      <c r="G97" s="45"/>
      <c r="H97" s="45">
        <v>46161</v>
      </c>
      <c r="I97" s="43" t="s">
        <v>570</v>
      </c>
      <c r="J97" s="43" t="s">
        <v>571</v>
      </c>
      <c r="K97" s="43" t="str">
        <f>IF(LEN(D97)=10,"OK","Check")</f>
        <v>OK</v>
      </c>
      <c r="L97" s="43" t="s">
        <v>262</v>
      </c>
      <c r="M97" s="43" t="str">
        <f>IF(L97="Hold","Hold",IF(IFERROR(E97,0)&gt;=200,"High",IF(IFERROR(E97,0)&gt;=100,"Medium","Normal")))</f>
        <v>Normal</v>
      </c>
      <c r="N97" s="43" t="s">
        <v>90</v>
      </c>
      <c r="O97" s="43" t="s">
        <v>91</v>
      </c>
      <c r="P97" s="43" t="s">
        <v>92</v>
      </c>
      <c r="Q97" s="17" t="s">
        <v>93</v>
      </c>
      <c r="R97" s="45"/>
      <c r="S97" s="43"/>
      <c r="T97" s="43" t="s">
        <v>31</v>
      </c>
      <c r="U97" s="43" t="s">
        <v>94</v>
      </c>
      <c r="V97" s="43" t="s">
        <v>94</v>
      </c>
      <c r="W97" s="43" t="s">
        <v>95</v>
      </c>
      <c r="X97" s="45" t="str">
        <f>IF(AND(R97&lt;&gt;"",OR(U97="No reply",U97="Unknown")),R97+2,"")</f>
        <v/>
      </c>
      <c r="Y97" s="45"/>
      <c r="Z97" s="43" t="s">
        <v>96</v>
      </c>
      <c r="AA97" s="43" t="str">
        <f>IF(L97="Hold","Do not send",IF(T97="Not sent","Send WhatsApp",IF(U97="Demo booked","Prepare demo",IF(W97="Booked","Prepare demo",IF(AND(X97&lt;&gt;"",Y97=""),"Send follow-up","Review")))))</f>
        <v>Send WhatsApp</v>
      </c>
      <c r="AB97" s="43"/>
      <c r="AC97" s="43" t="s">
        <v>572</v>
      </c>
      <c r="AD97" s="43">
        <f>IF(AA97="Prepare demo",1,IF(AA97="Send follow-up",2,IF(AA97="Send WhatsApp",3,IF(AA97="Review",4,IF(AA97="Do not send",9,5)))))</f>
        <v>3</v>
      </c>
      <c r="AE97" s="43">
        <f>IF(M97="High",1,IF(M97="Medium",2,IF(M97="Normal",3,IF(M97="Hold",9,4))))</f>
        <v>3</v>
      </c>
      <c r="AF97" s="43">
        <f>IF(T97="Read",1,IF(T97="Delivered",2,IF(T97="Sent",3,IF(T97="Not sent",4,IF(T97="Failed",9,5)))))</f>
        <v>4</v>
      </c>
      <c r="AG97" s="43">
        <f>IF(U97="Demo booked",1,IF(U97="Interested",2,IF(U97="Replied",3,IF(U97="No reply",5,IF(U97="Not interested",8,IF(U97="Bad number",9,6))))))</f>
        <v>6</v>
      </c>
      <c r="AH97" s="46">
        <f>AD97*1000+AN97*100+AE97*10+AG97</f>
        <v>3336</v>
      </c>
      <c r="AI97" s="45">
        <f>MAX(IF(R97="",0,R97),IF(Y97="",0,Y97))</f>
        <v>0</v>
      </c>
      <c r="AJ97" s="43" t="str">
        <f ca="1">IF(AND(X97&lt;&gt;"",Y97="",X97&lt;TODAY()),"Overdue",IF(AND(X97&lt;&gt;"",Y97="",X97=TODAY()),"Due today",IF(Y97&lt;&gt;"","Follow-up sent","")))</f>
        <v/>
      </c>
      <c r="AK97" s="50" t="s">
        <v>573</v>
      </c>
      <c r="AL97" s="50" t="s">
        <v>574</v>
      </c>
      <c r="AM97" s="50" t="s">
        <v>575</v>
      </c>
      <c r="AN97" s="50">
        <v>3</v>
      </c>
      <c r="AO97" s="54" t="s">
        <v>649</v>
      </c>
      <c r="AP97" s="57" t="s">
        <v>127</v>
      </c>
      <c r="AQ97" s="58"/>
      <c r="AR97" s="57"/>
    </row>
    <row r="98" spans="1:44" ht="54" customHeight="1" x14ac:dyDescent="0.25">
      <c r="A98" s="43" t="s">
        <v>650</v>
      </c>
      <c r="B98" s="43" t="s">
        <v>651</v>
      </c>
      <c r="C98" s="43" t="s">
        <v>651</v>
      </c>
      <c r="D98" s="44" t="s">
        <v>652</v>
      </c>
      <c r="E98" s="43"/>
      <c r="F98" s="43" t="s">
        <v>394</v>
      </c>
      <c r="G98" s="45"/>
      <c r="H98" s="45">
        <v>46161</v>
      </c>
      <c r="I98" s="43" t="s">
        <v>570</v>
      </c>
      <c r="J98" s="43" t="s">
        <v>653</v>
      </c>
      <c r="K98" s="43" t="str">
        <f>IF(LEN(D98)=10,"OK","Check")</f>
        <v>OK</v>
      </c>
      <c r="L98" s="43" t="s">
        <v>262</v>
      </c>
      <c r="M98" s="43" t="str">
        <f>IF(L98="Hold","Hold",IF(IFERROR(E98,0)&gt;=200,"High",IF(IFERROR(E98,0)&gt;=100,"Medium","Normal")))</f>
        <v>Normal</v>
      </c>
      <c r="N98" s="43" t="s">
        <v>90</v>
      </c>
      <c r="O98" s="43" t="s">
        <v>91</v>
      </c>
      <c r="P98" s="43" t="s">
        <v>92</v>
      </c>
      <c r="Q98" s="17" t="s">
        <v>93</v>
      </c>
      <c r="R98" s="45"/>
      <c r="S98" s="43"/>
      <c r="T98" s="43" t="s">
        <v>31</v>
      </c>
      <c r="U98" s="43" t="s">
        <v>94</v>
      </c>
      <c r="V98" s="43" t="s">
        <v>94</v>
      </c>
      <c r="W98" s="43" t="s">
        <v>95</v>
      </c>
      <c r="X98" s="45" t="str">
        <f>IF(AND(R98&lt;&gt;"",OR(U98="No reply",U98="Unknown")),R98+2,"")</f>
        <v/>
      </c>
      <c r="Y98" s="45"/>
      <c r="Z98" s="43" t="s">
        <v>96</v>
      </c>
      <c r="AA98" s="43" t="str">
        <f>IF(L98="Hold","Do not send",IF(T98="Not sent","Send WhatsApp",IF(U98="Demo booked","Prepare demo",IF(W98="Booked","Prepare demo",IF(AND(X98&lt;&gt;"",Y98=""),"Send follow-up","Review")))))</f>
        <v>Send WhatsApp</v>
      </c>
      <c r="AB98" s="43"/>
      <c r="AC98" s="43" t="s">
        <v>572</v>
      </c>
      <c r="AD98" s="43">
        <f>IF(AA98="Prepare demo",1,IF(AA98="Send follow-up",2,IF(AA98="Send WhatsApp",3,IF(AA98="Review",4,IF(AA98="Do not send",9,5)))))</f>
        <v>3</v>
      </c>
      <c r="AE98" s="43">
        <f>IF(M98="High",1,IF(M98="Medium",2,IF(M98="Normal",3,IF(M98="Hold",9,4))))</f>
        <v>3</v>
      </c>
      <c r="AF98" s="43">
        <f>IF(T98="Read",1,IF(T98="Delivered",2,IF(T98="Sent",3,IF(T98="Not sent",4,IF(T98="Failed",9,5)))))</f>
        <v>4</v>
      </c>
      <c r="AG98" s="43">
        <f>IF(U98="Demo booked",1,IF(U98="Interested",2,IF(U98="Replied",3,IF(U98="No reply",5,IF(U98="Not interested",8,IF(U98="Bad number",9,6))))))</f>
        <v>6</v>
      </c>
      <c r="AH98" s="46">
        <f>AD98*1000+AN98*100+AE98*10+AG98</f>
        <v>3336</v>
      </c>
      <c r="AI98" s="45">
        <f>MAX(IF(R98="",0,R98),IF(Y98="",0,Y98))</f>
        <v>0</v>
      </c>
      <c r="AJ98" s="43" t="str">
        <f ca="1">IF(AND(X98&lt;&gt;"",Y98="",X98&lt;TODAY()),"Overdue",IF(AND(X98&lt;&gt;"",Y98="",X98=TODAY()),"Due today",IF(Y98&lt;&gt;"","Follow-up sent","")))</f>
        <v/>
      </c>
      <c r="AK98" s="50" t="s">
        <v>573</v>
      </c>
      <c r="AL98" s="50" t="s">
        <v>574</v>
      </c>
      <c r="AM98" s="50" t="s">
        <v>575</v>
      </c>
      <c r="AN98" s="50">
        <v>3</v>
      </c>
      <c r="AO98" s="54" t="s">
        <v>654</v>
      </c>
      <c r="AP98" s="57" t="s">
        <v>127</v>
      </c>
      <c r="AQ98" s="58"/>
      <c r="AR98" s="57"/>
    </row>
    <row r="99" spans="1:44" ht="54" customHeight="1" x14ac:dyDescent="0.25">
      <c r="A99" s="43" t="s">
        <v>655</v>
      </c>
      <c r="B99" s="43" t="s">
        <v>656</v>
      </c>
      <c r="C99" s="43" t="s">
        <v>656</v>
      </c>
      <c r="D99" s="44" t="s">
        <v>657</v>
      </c>
      <c r="E99" s="43"/>
      <c r="F99" s="43" t="s">
        <v>394</v>
      </c>
      <c r="G99" s="45"/>
      <c r="H99" s="45">
        <v>46161</v>
      </c>
      <c r="I99" s="43" t="s">
        <v>570</v>
      </c>
      <c r="J99" s="43" t="s">
        <v>571</v>
      </c>
      <c r="K99" s="43" t="str">
        <f>IF(LEN(D99)=10,"OK","Check")</f>
        <v>OK</v>
      </c>
      <c r="L99" s="43" t="s">
        <v>262</v>
      </c>
      <c r="M99" s="43" t="str">
        <f>IF(L99="Hold","Hold",IF(IFERROR(E99,0)&gt;=200,"High",IF(IFERROR(E99,0)&gt;=100,"Medium","Normal")))</f>
        <v>Normal</v>
      </c>
      <c r="N99" s="43" t="s">
        <v>90</v>
      </c>
      <c r="O99" s="43" t="s">
        <v>91</v>
      </c>
      <c r="P99" s="43" t="s">
        <v>92</v>
      </c>
      <c r="Q99" s="17" t="s">
        <v>93</v>
      </c>
      <c r="R99" s="45"/>
      <c r="S99" s="43"/>
      <c r="T99" s="43" t="s">
        <v>31</v>
      </c>
      <c r="U99" s="43" t="s">
        <v>94</v>
      </c>
      <c r="V99" s="43" t="s">
        <v>94</v>
      </c>
      <c r="W99" s="43" t="s">
        <v>95</v>
      </c>
      <c r="X99" s="45" t="str">
        <f>IF(AND(R99&lt;&gt;"",OR(U99="No reply",U99="Unknown")),R99+2,"")</f>
        <v/>
      </c>
      <c r="Y99" s="45"/>
      <c r="Z99" s="43" t="s">
        <v>96</v>
      </c>
      <c r="AA99" s="43" t="str">
        <f>IF(L99="Hold","Do not send",IF(T99="Not sent","Send WhatsApp",IF(U99="Demo booked","Prepare demo",IF(W99="Booked","Prepare demo",IF(AND(X99&lt;&gt;"",Y99=""),"Send follow-up","Review")))))</f>
        <v>Send WhatsApp</v>
      </c>
      <c r="AB99" s="43"/>
      <c r="AC99" s="43" t="s">
        <v>572</v>
      </c>
      <c r="AD99" s="43">
        <f>IF(AA99="Prepare demo",1,IF(AA99="Send follow-up",2,IF(AA99="Send WhatsApp",3,IF(AA99="Review",4,IF(AA99="Do not send",9,5)))))</f>
        <v>3</v>
      </c>
      <c r="AE99" s="43">
        <f>IF(M99="High",1,IF(M99="Medium",2,IF(M99="Normal",3,IF(M99="Hold",9,4))))</f>
        <v>3</v>
      </c>
      <c r="AF99" s="43">
        <f>IF(T99="Read",1,IF(T99="Delivered",2,IF(T99="Sent",3,IF(T99="Not sent",4,IF(T99="Failed",9,5)))))</f>
        <v>4</v>
      </c>
      <c r="AG99" s="43">
        <f>IF(U99="Demo booked",1,IF(U99="Interested",2,IF(U99="Replied",3,IF(U99="No reply",5,IF(U99="Not interested",8,IF(U99="Bad number",9,6))))))</f>
        <v>6</v>
      </c>
      <c r="AH99" s="46">
        <f>AD99*1000+AN99*100+AE99*10+AG99</f>
        <v>3336</v>
      </c>
      <c r="AI99" s="45">
        <f>MAX(IF(R99="",0,R99),IF(Y99="",0,Y99))</f>
        <v>0</v>
      </c>
      <c r="AJ99" s="43" t="str">
        <f ca="1">IF(AND(X99&lt;&gt;"",Y99="",X99&lt;TODAY()),"Overdue",IF(AND(X99&lt;&gt;"",Y99="",X99=TODAY()),"Due today",IF(Y99&lt;&gt;"","Follow-up sent","")))</f>
        <v/>
      </c>
      <c r="AK99" s="50" t="s">
        <v>573</v>
      </c>
      <c r="AL99" s="50" t="s">
        <v>574</v>
      </c>
      <c r="AM99" s="50" t="s">
        <v>575</v>
      </c>
      <c r="AN99" s="50">
        <v>3</v>
      </c>
      <c r="AO99" s="54" t="s">
        <v>658</v>
      </c>
      <c r="AP99" s="57" t="s">
        <v>127</v>
      </c>
      <c r="AQ99" s="58"/>
      <c r="AR99" s="57"/>
    </row>
    <row r="100" spans="1:44" ht="54" customHeight="1" x14ac:dyDescent="0.25">
      <c r="A100" s="43" t="s">
        <v>659</v>
      </c>
      <c r="B100" s="43" t="s">
        <v>656</v>
      </c>
      <c r="C100" s="43" t="s">
        <v>656</v>
      </c>
      <c r="D100" s="44" t="s">
        <v>660</v>
      </c>
      <c r="E100" s="43"/>
      <c r="F100" s="43" t="s">
        <v>394</v>
      </c>
      <c r="G100" s="45"/>
      <c r="H100" s="45">
        <v>46161</v>
      </c>
      <c r="I100" s="43" t="s">
        <v>570</v>
      </c>
      <c r="J100" s="43" t="s">
        <v>571</v>
      </c>
      <c r="K100" s="43" t="str">
        <f>IF(LEN(D100)=10,"OK","Check")</f>
        <v>OK</v>
      </c>
      <c r="L100" s="43" t="s">
        <v>262</v>
      </c>
      <c r="M100" s="43" t="str">
        <f>IF(L100="Hold","Hold",IF(IFERROR(E100,0)&gt;=200,"High",IF(IFERROR(E100,0)&gt;=100,"Medium","Normal")))</f>
        <v>Normal</v>
      </c>
      <c r="N100" s="43" t="s">
        <v>90</v>
      </c>
      <c r="O100" s="43" t="s">
        <v>91</v>
      </c>
      <c r="P100" s="43" t="s">
        <v>92</v>
      </c>
      <c r="Q100" s="17" t="s">
        <v>93</v>
      </c>
      <c r="R100" s="45"/>
      <c r="S100" s="43"/>
      <c r="T100" s="43" t="s">
        <v>31</v>
      </c>
      <c r="U100" s="43" t="s">
        <v>94</v>
      </c>
      <c r="V100" s="43" t="s">
        <v>94</v>
      </c>
      <c r="W100" s="43" t="s">
        <v>95</v>
      </c>
      <c r="X100" s="45" t="str">
        <f>IF(AND(R100&lt;&gt;"",OR(U100="No reply",U100="Unknown")),R100+2,"")</f>
        <v/>
      </c>
      <c r="Y100" s="45"/>
      <c r="Z100" s="43" t="s">
        <v>96</v>
      </c>
      <c r="AA100" s="43" t="str">
        <f>IF(L100="Hold","Do not send",IF(T100="Not sent","Send WhatsApp",IF(U100="Demo booked","Prepare demo",IF(W100="Booked","Prepare demo",IF(AND(X100&lt;&gt;"",Y100=""),"Send follow-up","Review")))))</f>
        <v>Send WhatsApp</v>
      </c>
      <c r="AB100" s="43"/>
      <c r="AC100" s="43" t="s">
        <v>572</v>
      </c>
      <c r="AD100" s="43">
        <f>IF(AA100="Prepare demo",1,IF(AA100="Send follow-up",2,IF(AA100="Send WhatsApp",3,IF(AA100="Review",4,IF(AA100="Do not send",9,5)))))</f>
        <v>3</v>
      </c>
      <c r="AE100" s="43">
        <f>IF(M100="High",1,IF(M100="Medium",2,IF(M100="Normal",3,IF(M100="Hold",9,4))))</f>
        <v>3</v>
      </c>
      <c r="AF100" s="43">
        <f>IF(T100="Read",1,IF(T100="Delivered",2,IF(T100="Sent",3,IF(T100="Not sent",4,IF(T100="Failed",9,5)))))</f>
        <v>4</v>
      </c>
      <c r="AG100" s="43">
        <f>IF(U100="Demo booked",1,IF(U100="Interested",2,IF(U100="Replied",3,IF(U100="No reply",5,IF(U100="Not interested",8,IF(U100="Bad number",9,6))))))</f>
        <v>6</v>
      </c>
      <c r="AH100" s="46">
        <f>AD100*1000+AN100*100+AE100*10+AG100</f>
        <v>3336</v>
      </c>
      <c r="AI100" s="45">
        <f>MAX(IF(R100="",0,R100),IF(Y100="",0,Y100))</f>
        <v>0</v>
      </c>
      <c r="AJ100" s="43" t="str">
        <f ca="1">IF(AND(X100&lt;&gt;"",Y100="",X100&lt;TODAY()),"Overdue",IF(AND(X100&lt;&gt;"",Y100="",X100=TODAY()),"Due today",IF(Y100&lt;&gt;"","Follow-up sent","")))</f>
        <v/>
      </c>
      <c r="AK100" s="50" t="s">
        <v>573</v>
      </c>
      <c r="AL100" s="50" t="s">
        <v>574</v>
      </c>
      <c r="AM100" s="50" t="s">
        <v>575</v>
      </c>
      <c r="AN100" s="50">
        <v>3</v>
      </c>
      <c r="AO100" s="54" t="s">
        <v>661</v>
      </c>
      <c r="AP100" s="57" t="s">
        <v>127</v>
      </c>
      <c r="AQ100" s="58"/>
      <c r="AR100" s="57"/>
    </row>
    <row r="101" spans="1:44" ht="54" customHeight="1" x14ac:dyDescent="0.25">
      <c r="A101" s="43" t="s">
        <v>662</v>
      </c>
      <c r="B101" s="43" t="s">
        <v>663</v>
      </c>
      <c r="C101" s="43" t="s">
        <v>663</v>
      </c>
      <c r="D101" s="44" t="s">
        <v>664</v>
      </c>
      <c r="E101" s="43"/>
      <c r="F101" s="43" t="s">
        <v>394</v>
      </c>
      <c r="G101" s="45"/>
      <c r="H101" s="45">
        <v>46161</v>
      </c>
      <c r="I101" s="43" t="s">
        <v>570</v>
      </c>
      <c r="J101" s="43" t="s">
        <v>665</v>
      </c>
      <c r="K101" s="43" t="str">
        <f>IF(LEN(D101)=10,"OK","Check")</f>
        <v>OK</v>
      </c>
      <c r="L101" s="43" t="s">
        <v>262</v>
      </c>
      <c r="M101" s="43" t="str">
        <f>IF(L101="Hold","Hold",IF(IFERROR(E101,0)&gt;=200,"High",IF(IFERROR(E101,0)&gt;=100,"Medium","Normal")))</f>
        <v>Normal</v>
      </c>
      <c r="N101" s="43" t="s">
        <v>90</v>
      </c>
      <c r="O101" s="43" t="s">
        <v>91</v>
      </c>
      <c r="P101" s="43" t="s">
        <v>92</v>
      </c>
      <c r="Q101" s="17" t="s">
        <v>93</v>
      </c>
      <c r="R101" s="45"/>
      <c r="S101" s="43"/>
      <c r="T101" s="43" t="s">
        <v>31</v>
      </c>
      <c r="U101" s="43" t="s">
        <v>94</v>
      </c>
      <c r="V101" s="43" t="s">
        <v>94</v>
      </c>
      <c r="W101" s="43" t="s">
        <v>95</v>
      </c>
      <c r="X101" s="45" t="str">
        <f>IF(AND(R101&lt;&gt;"",OR(U101="No reply",U101="Unknown")),R101+2,"")</f>
        <v/>
      </c>
      <c r="Y101" s="45"/>
      <c r="Z101" s="43" t="s">
        <v>96</v>
      </c>
      <c r="AA101" s="43" t="str">
        <f>IF(L101="Hold","Do not send",IF(T101="Not sent","Send WhatsApp",IF(U101="Demo booked","Prepare demo",IF(W101="Booked","Prepare demo",IF(AND(X101&lt;&gt;"",Y101=""),"Send follow-up","Review")))))</f>
        <v>Send WhatsApp</v>
      </c>
      <c r="AB101" s="43"/>
      <c r="AC101" s="43" t="s">
        <v>572</v>
      </c>
      <c r="AD101" s="43">
        <f>IF(AA101="Prepare demo",1,IF(AA101="Send follow-up",2,IF(AA101="Send WhatsApp",3,IF(AA101="Review",4,IF(AA101="Do not send",9,5)))))</f>
        <v>3</v>
      </c>
      <c r="AE101" s="43">
        <f>IF(M101="High",1,IF(M101="Medium",2,IF(M101="Normal",3,IF(M101="Hold",9,4))))</f>
        <v>3</v>
      </c>
      <c r="AF101" s="43">
        <f>IF(T101="Read",1,IF(T101="Delivered",2,IF(T101="Sent",3,IF(T101="Not sent",4,IF(T101="Failed",9,5)))))</f>
        <v>4</v>
      </c>
      <c r="AG101" s="43">
        <f>IF(U101="Demo booked",1,IF(U101="Interested",2,IF(U101="Replied",3,IF(U101="No reply",5,IF(U101="Not interested",8,IF(U101="Bad number",9,6))))))</f>
        <v>6</v>
      </c>
      <c r="AH101" s="46">
        <f>AD101*1000+AN101*100+AE101*10+AG101</f>
        <v>3336</v>
      </c>
      <c r="AI101" s="45">
        <f>MAX(IF(R101="",0,R101),IF(Y101="",0,Y101))</f>
        <v>0</v>
      </c>
      <c r="AJ101" s="43" t="str">
        <f ca="1">IF(AND(X101&lt;&gt;"",Y101="",X101&lt;TODAY()),"Overdue",IF(AND(X101&lt;&gt;"",Y101="",X101=TODAY()),"Due today",IF(Y101&lt;&gt;"","Follow-up sent","")))</f>
        <v/>
      </c>
      <c r="AK101" s="50" t="s">
        <v>573</v>
      </c>
      <c r="AL101" s="50" t="s">
        <v>574</v>
      </c>
      <c r="AM101" s="50" t="s">
        <v>575</v>
      </c>
      <c r="AN101" s="50">
        <v>3</v>
      </c>
      <c r="AO101" s="54" t="s">
        <v>666</v>
      </c>
      <c r="AP101" s="57" t="s">
        <v>127</v>
      </c>
      <c r="AQ101" s="58"/>
      <c r="AR101" s="57"/>
    </row>
    <row r="102" spans="1:44" ht="54" customHeight="1" x14ac:dyDescent="0.25">
      <c r="A102" s="43" t="s">
        <v>667</v>
      </c>
      <c r="B102" s="43" t="s">
        <v>668</v>
      </c>
      <c r="C102" s="43" t="s">
        <v>668</v>
      </c>
      <c r="D102" s="44" t="s">
        <v>669</v>
      </c>
      <c r="E102" s="43"/>
      <c r="F102" s="43" t="s">
        <v>394</v>
      </c>
      <c r="G102" s="45"/>
      <c r="H102" s="45">
        <v>46161</v>
      </c>
      <c r="I102" s="43" t="s">
        <v>570</v>
      </c>
      <c r="J102" s="43" t="s">
        <v>571</v>
      </c>
      <c r="K102" s="43" t="str">
        <f>IF(LEN(D102)=10,"OK","Check")</f>
        <v>OK</v>
      </c>
      <c r="L102" s="43" t="s">
        <v>262</v>
      </c>
      <c r="M102" s="43" t="str">
        <f>IF(L102="Hold","Hold",IF(IFERROR(E102,0)&gt;=200,"High",IF(IFERROR(E102,0)&gt;=100,"Medium","Normal")))</f>
        <v>Normal</v>
      </c>
      <c r="N102" s="43" t="s">
        <v>90</v>
      </c>
      <c r="O102" s="43" t="s">
        <v>91</v>
      </c>
      <c r="P102" s="43" t="s">
        <v>92</v>
      </c>
      <c r="Q102" s="17" t="s">
        <v>93</v>
      </c>
      <c r="R102" s="45"/>
      <c r="S102" s="43"/>
      <c r="T102" s="43" t="s">
        <v>31</v>
      </c>
      <c r="U102" s="43" t="s">
        <v>94</v>
      </c>
      <c r="V102" s="43" t="s">
        <v>94</v>
      </c>
      <c r="W102" s="43" t="s">
        <v>95</v>
      </c>
      <c r="X102" s="45" t="str">
        <f>IF(AND(R102&lt;&gt;"",OR(U102="No reply",U102="Unknown")),R102+2,"")</f>
        <v/>
      </c>
      <c r="Y102" s="45"/>
      <c r="Z102" s="43" t="s">
        <v>96</v>
      </c>
      <c r="AA102" s="43" t="str">
        <f>IF(L102="Hold","Do not send",IF(T102="Not sent","Send WhatsApp",IF(U102="Demo booked","Prepare demo",IF(W102="Booked","Prepare demo",IF(AND(X102&lt;&gt;"",Y102=""),"Send follow-up","Review")))))</f>
        <v>Send WhatsApp</v>
      </c>
      <c r="AB102" s="43"/>
      <c r="AC102" s="43" t="s">
        <v>572</v>
      </c>
      <c r="AD102" s="43">
        <f>IF(AA102="Prepare demo",1,IF(AA102="Send follow-up",2,IF(AA102="Send WhatsApp",3,IF(AA102="Review",4,IF(AA102="Do not send",9,5)))))</f>
        <v>3</v>
      </c>
      <c r="AE102" s="43">
        <f>IF(M102="High",1,IF(M102="Medium",2,IF(M102="Normal",3,IF(M102="Hold",9,4))))</f>
        <v>3</v>
      </c>
      <c r="AF102" s="43">
        <f>IF(T102="Read",1,IF(T102="Delivered",2,IF(T102="Sent",3,IF(T102="Not sent",4,IF(T102="Failed",9,5)))))</f>
        <v>4</v>
      </c>
      <c r="AG102" s="43">
        <f>IF(U102="Demo booked",1,IF(U102="Interested",2,IF(U102="Replied",3,IF(U102="No reply",5,IF(U102="Not interested",8,IF(U102="Bad number",9,6))))))</f>
        <v>6</v>
      </c>
      <c r="AH102" s="46">
        <f>AD102*1000+AN102*100+AE102*10+AG102</f>
        <v>3336</v>
      </c>
      <c r="AI102" s="45">
        <f>MAX(IF(R102="",0,R102),IF(Y102="",0,Y102))</f>
        <v>0</v>
      </c>
      <c r="AJ102" s="43" t="str">
        <f ca="1">IF(AND(X102&lt;&gt;"",Y102="",X102&lt;TODAY()),"Overdue",IF(AND(X102&lt;&gt;"",Y102="",X102=TODAY()),"Due today",IF(Y102&lt;&gt;"","Follow-up sent","")))</f>
        <v/>
      </c>
      <c r="AK102" s="50" t="s">
        <v>573</v>
      </c>
      <c r="AL102" s="50" t="s">
        <v>574</v>
      </c>
      <c r="AM102" s="50" t="s">
        <v>575</v>
      </c>
      <c r="AN102" s="50">
        <v>3</v>
      </c>
      <c r="AO102" s="54" t="s">
        <v>670</v>
      </c>
      <c r="AP102" s="57" t="s">
        <v>127</v>
      </c>
      <c r="AQ102" s="58"/>
      <c r="AR102" s="57"/>
    </row>
    <row r="103" spans="1:44" ht="81" customHeight="1" x14ac:dyDescent="0.25">
      <c r="A103" s="43" t="s">
        <v>671</v>
      </c>
      <c r="B103" s="43" t="s">
        <v>672</v>
      </c>
      <c r="C103" s="43" t="s">
        <v>672</v>
      </c>
      <c r="D103" s="44" t="s">
        <v>673</v>
      </c>
      <c r="E103" s="43"/>
      <c r="F103" s="43" t="s">
        <v>394</v>
      </c>
      <c r="G103" s="45"/>
      <c r="H103" s="45">
        <v>46161</v>
      </c>
      <c r="I103" s="43" t="s">
        <v>570</v>
      </c>
      <c r="J103" s="43" t="s">
        <v>674</v>
      </c>
      <c r="K103" s="43" t="str">
        <f>IF(LEN(D103)=10,"OK","Check")</f>
        <v>OK</v>
      </c>
      <c r="L103" s="43" t="s">
        <v>262</v>
      </c>
      <c r="M103" s="43" t="str">
        <f>IF(L103="Hold","Hold",IF(IFERROR(E103,0)&gt;=200,"High",IF(IFERROR(E103,0)&gt;=100,"Medium","Normal")))</f>
        <v>Normal</v>
      </c>
      <c r="N103" s="43" t="s">
        <v>90</v>
      </c>
      <c r="O103" s="43" t="s">
        <v>91</v>
      </c>
      <c r="P103" s="43" t="s">
        <v>92</v>
      </c>
      <c r="Q103" s="17" t="s">
        <v>93</v>
      </c>
      <c r="R103" s="45"/>
      <c r="S103" s="43"/>
      <c r="T103" s="43" t="s">
        <v>31</v>
      </c>
      <c r="U103" s="43" t="s">
        <v>94</v>
      </c>
      <c r="V103" s="43" t="s">
        <v>94</v>
      </c>
      <c r="W103" s="43" t="s">
        <v>95</v>
      </c>
      <c r="X103" s="45" t="str">
        <f>IF(AND(R103&lt;&gt;"",OR(U103="No reply",U103="Unknown")),R103+2,"")</f>
        <v/>
      </c>
      <c r="Y103" s="45"/>
      <c r="Z103" s="43" t="s">
        <v>96</v>
      </c>
      <c r="AA103" s="43" t="str">
        <f>IF(L103="Hold","Do not send",IF(T103="Not sent","Send WhatsApp",IF(U103="Demo booked","Prepare demo",IF(W103="Booked","Prepare demo",IF(AND(X103&lt;&gt;"",Y103=""),"Send follow-up","Review")))))</f>
        <v>Send WhatsApp</v>
      </c>
      <c r="AB103" s="43"/>
      <c r="AC103" s="43" t="s">
        <v>572</v>
      </c>
      <c r="AD103" s="43">
        <f>IF(AA103="Prepare demo",1,IF(AA103="Send follow-up",2,IF(AA103="Send WhatsApp",3,IF(AA103="Review",4,IF(AA103="Do not send",9,5)))))</f>
        <v>3</v>
      </c>
      <c r="AE103" s="43">
        <f>IF(M103="High",1,IF(M103="Medium",2,IF(M103="Normal",3,IF(M103="Hold",9,4))))</f>
        <v>3</v>
      </c>
      <c r="AF103" s="43">
        <f>IF(T103="Read",1,IF(T103="Delivered",2,IF(T103="Sent",3,IF(T103="Not sent",4,IF(T103="Failed",9,5)))))</f>
        <v>4</v>
      </c>
      <c r="AG103" s="43">
        <f>IF(U103="Demo booked",1,IF(U103="Interested",2,IF(U103="Replied",3,IF(U103="No reply",5,IF(U103="Not interested",8,IF(U103="Bad number",9,6))))))</f>
        <v>6</v>
      </c>
      <c r="AH103" s="46">
        <f>AD103*1000+AN103*100+AE103*10+AG103</f>
        <v>3336</v>
      </c>
      <c r="AI103" s="45">
        <f>MAX(IF(R103="",0,R103),IF(Y103="",0,Y103))</f>
        <v>0</v>
      </c>
      <c r="AJ103" s="43" t="str">
        <f ca="1">IF(AND(X103&lt;&gt;"",Y103="",X103&lt;TODAY()),"Overdue",IF(AND(X103&lt;&gt;"",Y103="",X103=TODAY()),"Due today",IF(Y103&lt;&gt;"","Follow-up sent","")))</f>
        <v/>
      </c>
      <c r="AK103" s="50" t="s">
        <v>573</v>
      </c>
      <c r="AL103" s="50" t="s">
        <v>574</v>
      </c>
      <c r="AM103" s="50" t="s">
        <v>575</v>
      </c>
      <c r="AN103" s="50">
        <v>3</v>
      </c>
      <c r="AO103" s="54" t="s">
        <v>675</v>
      </c>
      <c r="AP103" s="57" t="s">
        <v>127</v>
      </c>
      <c r="AQ103" s="58"/>
      <c r="AR103" s="57"/>
    </row>
    <row r="104" spans="1:44" ht="121.5" customHeight="1" x14ac:dyDescent="0.25">
      <c r="A104" s="43" t="s">
        <v>676</v>
      </c>
      <c r="B104" s="43" t="s">
        <v>677</v>
      </c>
      <c r="C104" s="43" t="s">
        <v>677</v>
      </c>
      <c r="D104" s="44" t="s">
        <v>678</v>
      </c>
      <c r="E104" s="43"/>
      <c r="F104" s="43" t="s">
        <v>394</v>
      </c>
      <c r="G104" s="45"/>
      <c r="H104" s="45">
        <v>46161</v>
      </c>
      <c r="I104" s="43" t="s">
        <v>570</v>
      </c>
      <c r="J104" s="43" t="s">
        <v>679</v>
      </c>
      <c r="K104" s="43" t="str">
        <f>IF(LEN(D104)=10,"OK","Check")</f>
        <v>OK</v>
      </c>
      <c r="L104" s="43" t="s">
        <v>262</v>
      </c>
      <c r="M104" s="43" t="str">
        <f>IF(L104="Hold","Hold",IF(IFERROR(E104,0)&gt;=200,"High",IF(IFERROR(E104,0)&gt;=100,"Medium","Normal")))</f>
        <v>Normal</v>
      </c>
      <c r="N104" s="43" t="s">
        <v>90</v>
      </c>
      <c r="O104" s="43" t="s">
        <v>91</v>
      </c>
      <c r="P104" s="43" t="s">
        <v>92</v>
      </c>
      <c r="Q104" s="17" t="s">
        <v>93</v>
      </c>
      <c r="R104" s="45"/>
      <c r="S104" s="43"/>
      <c r="T104" s="43" t="s">
        <v>31</v>
      </c>
      <c r="U104" s="43" t="s">
        <v>94</v>
      </c>
      <c r="V104" s="43" t="s">
        <v>94</v>
      </c>
      <c r="W104" s="43" t="s">
        <v>95</v>
      </c>
      <c r="X104" s="45" t="str">
        <f>IF(AND(R104&lt;&gt;"",OR(U104="No reply",U104="Unknown")),R104+2,"")</f>
        <v/>
      </c>
      <c r="Y104" s="45"/>
      <c r="Z104" s="43" t="s">
        <v>96</v>
      </c>
      <c r="AA104" s="43" t="str">
        <f>IF(L104="Hold","Do not send",IF(T104="Not sent","Send WhatsApp",IF(U104="Demo booked","Prepare demo",IF(W104="Booked","Prepare demo",IF(AND(X104&lt;&gt;"",Y104=""),"Send follow-up","Review")))))</f>
        <v>Send WhatsApp</v>
      </c>
      <c r="AB104" s="43"/>
      <c r="AC104" s="43" t="s">
        <v>572</v>
      </c>
      <c r="AD104" s="43">
        <f>IF(AA104="Prepare demo",1,IF(AA104="Send follow-up",2,IF(AA104="Send WhatsApp",3,IF(AA104="Review",4,IF(AA104="Do not send",9,5)))))</f>
        <v>3</v>
      </c>
      <c r="AE104" s="43">
        <f>IF(M104="High",1,IF(M104="Medium",2,IF(M104="Normal",3,IF(M104="Hold",9,4))))</f>
        <v>3</v>
      </c>
      <c r="AF104" s="43">
        <f>IF(T104="Read",1,IF(T104="Delivered",2,IF(T104="Sent",3,IF(T104="Not sent",4,IF(T104="Failed",9,5)))))</f>
        <v>4</v>
      </c>
      <c r="AG104" s="43">
        <f>IF(U104="Demo booked",1,IF(U104="Interested",2,IF(U104="Replied",3,IF(U104="No reply",5,IF(U104="Not interested",8,IF(U104="Bad number",9,6))))))</f>
        <v>6</v>
      </c>
      <c r="AH104" s="46">
        <f>AD104*1000+AN104*100+AE104*10+AG104</f>
        <v>3336</v>
      </c>
      <c r="AI104" s="45">
        <f>MAX(IF(R104="",0,R104),IF(Y104="",0,Y104))</f>
        <v>0</v>
      </c>
      <c r="AJ104" s="43" t="str">
        <f ca="1">IF(AND(X104&lt;&gt;"",Y104="",X104&lt;TODAY()),"Overdue",IF(AND(X104&lt;&gt;"",Y104="",X104=TODAY()),"Due today",IF(Y104&lt;&gt;"","Follow-up sent","")))</f>
        <v/>
      </c>
      <c r="AK104" s="50" t="s">
        <v>573</v>
      </c>
      <c r="AL104" s="50" t="s">
        <v>574</v>
      </c>
      <c r="AM104" s="50" t="s">
        <v>575</v>
      </c>
      <c r="AN104" s="50">
        <v>3</v>
      </c>
      <c r="AO104" s="54" t="s">
        <v>680</v>
      </c>
      <c r="AP104" s="57" t="s">
        <v>127</v>
      </c>
      <c r="AQ104" s="58"/>
      <c r="AR104" s="57"/>
    </row>
    <row r="105" spans="1:44" ht="121.5" customHeight="1" x14ac:dyDescent="0.25">
      <c r="A105" s="43" t="s">
        <v>681</v>
      </c>
      <c r="B105" s="43" t="s">
        <v>677</v>
      </c>
      <c r="C105" s="43" t="s">
        <v>677</v>
      </c>
      <c r="D105" s="44" t="s">
        <v>682</v>
      </c>
      <c r="E105" s="43"/>
      <c r="F105" s="43" t="s">
        <v>394</v>
      </c>
      <c r="G105" s="45"/>
      <c r="H105" s="45">
        <v>46161</v>
      </c>
      <c r="I105" s="43" t="s">
        <v>570</v>
      </c>
      <c r="J105" s="43" t="s">
        <v>679</v>
      </c>
      <c r="K105" s="43" t="str">
        <f>IF(LEN(D105)=10,"OK","Check")</f>
        <v>OK</v>
      </c>
      <c r="L105" s="43" t="s">
        <v>262</v>
      </c>
      <c r="M105" s="43" t="str">
        <f>IF(L105="Hold","Hold",IF(IFERROR(E105,0)&gt;=200,"High",IF(IFERROR(E105,0)&gt;=100,"Medium","Normal")))</f>
        <v>Normal</v>
      </c>
      <c r="N105" s="43" t="s">
        <v>90</v>
      </c>
      <c r="O105" s="43" t="s">
        <v>91</v>
      </c>
      <c r="P105" s="43" t="s">
        <v>92</v>
      </c>
      <c r="Q105" s="17" t="s">
        <v>93</v>
      </c>
      <c r="R105" s="45"/>
      <c r="S105" s="43"/>
      <c r="T105" s="43" t="s">
        <v>31</v>
      </c>
      <c r="U105" s="43" t="s">
        <v>94</v>
      </c>
      <c r="V105" s="43" t="s">
        <v>94</v>
      </c>
      <c r="W105" s="43" t="s">
        <v>95</v>
      </c>
      <c r="X105" s="45" t="str">
        <f>IF(AND(R105&lt;&gt;"",OR(U105="No reply",U105="Unknown")),R105+2,"")</f>
        <v/>
      </c>
      <c r="Y105" s="45"/>
      <c r="Z105" s="43" t="s">
        <v>96</v>
      </c>
      <c r="AA105" s="43" t="str">
        <f>IF(L105="Hold","Do not send",IF(T105="Not sent","Send WhatsApp",IF(U105="Demo booked","Prepare demo",IF(W105="Booked","Prepare demo",IF(AND(X105&lt;&gt;"",Y105=""),"Send follow-up","Review")))))</f>
        <v>Send WhatsApp</v>
      </c>
      <c r="AB105" s="43"/>
      <c r="AC105" s="43" t="s">
        <v>572</v>
      </c>
      <c r="AD105" s="43">
        <f>IF(AA105="Prepare demo",1,IF(AA105="Send follow-up",2,IF(AA105="Send WhatsApp",3,IF(AA105="Review",4,IF(AA105="Do not send",9,5)))))</f>
        <v>3</v>
      </c>
      <c r="AE105" s="43">
        <f>IF(M105="High",1,IF(M105="Medium",2,IF(M105="Normal",3,IF(M105="Hold",9,4))))</f>
        <v>3</v>
      </c>
      <c r="AF105" s="43">
        <f>IF(T105="Read",1,IF(T105="Delivered",2,IF(T105="Sent",3,IF(T105="Not sent",4,IF(T105="Failed",9,5)))))</f>
        <v>4</v>
      </c>
      <c r="AG105" s="43">
        <f>IF(U105="Demo booked",1,IF(U105="Interested",2,IF(U105="Replied",3,IF(U105="No reply",5,IF(U105="Not interested",8,IF(U105="Bad number",9,6))))))</f>
        <v>6</v>
      </c>
      <c r="AH105" s="46">
        <f>AD105*1000+AN105*100+AE105*10+AG105</f>
        <v>3336</v>
      </c>
      <c r="AI105" s="45">
        <f>MAX(IF(R105="",0,R105),IF(Y105="",0,Y105))</f>
        <v>0</v>
      </c>
      <c r="AJ105" s="43" t="str">
        <f ca="1">IF(AND(X105&lt;&gt;"",Y105="",X105&lt;TODAY()),"Overdue",IF(AND(X105&lt;&gt;"",Y105="",X105=TODAY()),"Due today",IF(Y105&lt;&gt;"","Follow-up sent","")))</f>
        <v/>
      </c>
      <c r="AK105" s="50" t="s">
        <v>573</v>
      </c>
      <c r="AL105" s="50" t="s">
        <v>574</v>
      </c>
      <c r="AM105" s="50" t="s">
        <v>575</v>
      </c>
      <c r="AN105" s="50">
        <v>3</v>
      </c>
      <c r="AO105" s="54" t="s">
        <v>683</v>
      </c>
      <c r="AP105" s="57" t="s">
        <v>127</v>
      </c>
      <c r="AQ105" s="58"/>
      <c r="AR105" s="57"/>
    </row>
    <row r="106" spans="1:44" ht="81" customHeight="1" x14ac:dyDescent="0.25">
      <c r="A106" s="43" t="s">
        <v>684</v>
      </c>
      <c r="B106" s="43" t="s">
        <v>685</v>
      </c>
      <c r="C106" s="43" t="s">
        <v>685</v>
      </c>
      <c r="D106" s="44" t="s">
        <v>686</v>
      </c>
      <c r="E106" s="43"/>
      <c r="F106" s="43" t="s">
        <v>394</v>
      </c>
      <c r="G106" s="45"/>
      <c r="H106" s="45">
        <v>46161</v>
      </c>
      <c r="I106" s="43" t="s">
        <v>570</v>
      </c>
      <c r="J106" s="43" t="s">
        <v>687</v>
      </c>
      <c r="K106" s="43" t="str">
        <f>IF(LEN(D106)=10,"OK","Check")</f>
        <v>OK</v>
      </c>
      <c r="L106" s="43" t="s">
        <v>262</v>
      </c>
      <c r="M106" s="43" t="str">
        <f>IF(L106="Hold","Hold",IF(IFERROR(E106,0)&gt;=200,"High",IF(IFERROR(E106,0)&gt;=100,"Medium","Normal")))</f>
        <v>Normal</v>
      </c>
      <c r="N106" s="43" t="s">
        <v>90</v>
      </c>
      <c r="O106" s="43" t="s">
        <v>91</v>
      </c>
      <c r="P106" s="43" t="s">
        <v>92</v>
      </c>
      <c r="Q106" s="17" t="s">
        <v>93</v>
      </c>
      <c r="R106" s="45"/>
      <c r="S106" s="43"/>
      <c r="T106" s="43" t="s">
        <v>31</v>
      </c>
      <c r="U106" s="43" t="s">
        <v>94</v>
      </c>
      <c r="V106" s="43" t="s">
        <v>94</v>
      </c>
      <c r="W106" s="43" t="s">
        <v>95</v>
      </c>
      <c r="X106" s="45" t="str">
        <f>IF(AND(R106&lt;&gt;"",OR(U106="No reply",U106="Unknown")),R106+2,"")</f>
        <v/>
      </c>
      <c r="Y106" s="45"/>
      <c r="Z106" s="43" t="s">
        <v>96</v>
      </c>
      <c r="AA106" s="43" t="str">
        <f>IF(L106="Hold","Do not send",IF(T106="Not sent","Send WhatsApp",IF(U106="Demo booked","Prepare demo",IF(W106="Booked","Prepare demo",IF(AND(X106&lt;&gt;"",Y106=""),"Send follow-up","Review")))))</f>
        <v>Send WhatsApp</v>
      </c>
      <c r="AB106" s="43"/>
      <c r="AC106" s="43" t="s">
        <v>572</v>
      </c>
      <c r="AD106" s="43">
        <f>IF(AA106="Prepare demo",1,IF(AA106="Send follow-up",2,IF(AA106="Send WhatsApp",3,IF(AA106="Review",4,IF(AA106="Do not send",9,5)))))</f>
        <v>3</v>
      </c>
      <c r="AE106" s="43">
        <f>IF(M106="High",1,IF(M106="Medium",2,IF(M106="Normal",3,IF(M106="Hold",9,4))))</f>
        <v>3</v>
      </c>
      <c r="AF106" s="43">
        <f>IF(T106="Read",1,IF(T106="Delivered",2,IF(T106="Sent",3,IF(T106="Not sent",4,IF(T106="Failed",9,5)))))</f>
        <v>4</v>
      </c>
      <c r="AG106" s="43">
        <f>IF(U106="Demo booked",1,IF(U106="Interested",2,IF(U106="Replied",3,IF(U106="No reply",5,IF(U106="Not interested",8,IF(U106="Bad number",9,6))))))</f>
        <v>6</v>
      </c>
      <c r="AH106" s="46">
        <f>AD106*1000+AN106*100+AE106*10+AG106</f>
        <v>3336</v>
      </c>
      <c r="AI106" s="45">
        <f>MAX(IF(R106="",0,R106),IF(Y106="",0,Y106))</f>
        <v>0</v>
      </c>
      <c r="AJ106" s="43" t="str">
        <f ca="1">IF(AND(X106&lt;&gt;"",Y106="",X106&lt;TODAY()),"Overdue",IF(AND(X106&lt;&gt;"",Y106="",X106=TODAY()),"Due today",IF(Y106&lt;&gt;"","Follow-up sent","")))</f>
        <v/>
      </c>
      <c r="AK106" s="50" t="s">
        <v>573</v>
      </c>
      <c r="AL106" s="50" t="s">
        <v>574</v>
      </c>
      <c r="AM106" s="50" t="s">
        <v>575</v>
      </c>
      <c r="AN106" s="50">
        <v>3</v>
      </c>
      <c r="AO106" s="54" t="s">
        <v>688</v>
      </c>
      <c r="AP106" s="57" t="s">
        <v>127</v>
      </c>
      <c r="AQ106" s="58"/>
      <c r="AR106" s="57"/>
    </row>
    <row r="107" spans="1:44" ht="81" customHeight="1" x14ac:dyDescent="0.25">
      <c r="A107" s="43" t="s">
        <v>689</v>
      </c>
      <c r="B107" s="43" t="s">
        <v>690</v>
      </c>
      <c r="C107" s="43" t="s">
        <v>690</v>
      </c>
      <c r="D107" s="44" t="s">
        <v>691</v>
      </c>
      <c r="E107" s="43"/>
      <c r="F107" s="43" t="s">
        <v>394</v>
      </c>
      <c r="G107" s="45"/>
      <c r="H107" s="45">
        <v>46161</v>
      </c>
      <c r="I107" s="43" t="s">
        <v>570</v>
      </c>
      <c r="J107" s="43" t="s">
        <v>692</v>
      </c>
      <c r="K107" s="43" t="str">
        <f>IF(LEN(D107)=10,"OK","Check")</f>
        <v>OK</v>
      </c>
      <c r="L107" s="43" t="s">
        <v>262</v>
      </c>
      <c r="M107" s="43" t="str">
        <f>IF(L107="Hold","Hold",IF(IFERROR(E107,0)&gt;=200,"High",IF(IFERROR(E107,0)&gt;=100,"Medium","Normal")))</f>
        <v>Normal</v>
      </c>
      <c r="N107" s="43" t="s">
        <v>90</v>
      </c>
      <c r="O107" s="43" t="s">
        <v>91</v>
      </c>
      <c r="P107" s="43" t="s">
        <v>92</v>
      </c>
      <c r="Q107" s="17" t="s">
        <v>93</v>
      </c>
      <c r="R107" s="45"/>
      <c r="S107" s="43"/>
      <c r="T107" s="43" t="s">
        <v>31</v>
      </c>
      <c r="U107" s="43" t="s">
        <v>94</v>
      </c>
      <c r="V107" s="43" t="s">
        <v>94</v>
      </c>
      <c r="W107" s="43" t="s">
        <v>95</v>
      </c>
      <c r="X107" s="45" t="str">
        <f>IF(AND(R107&lt;&gt;"",OR(U107="No reply",U107="Unknown")),R107+2,"")</f>
        <v/>
      </c>
      <c r="Y107" s="45"/>
      <c r="Z107" s="43" t="s">
        <v>96</v>
      </c>
      <c r="AA107" s="43" t="str">
        <f>IF(L107="Hold","Do not send",IF(T107="Not sent","Send WhatsApp",IF(U107="Demo booked","Prepare demo",IF(W107="Booked","Prepare demo",IF(AND(X107&lt;&gt;"",Y107=""),"Send follow-up","Review")))))</f>
        <v>Send WhatsApp</v>
      </c>
      <c r="AB107" s="43"/>
      <c r="AC107" s="43" t="s">
        <v>572</v>
      </c>
      <c r="AD107" s="43">
        <f>IF(AA107="Prepare demo",1,IF(AA107="Send follow-up",2,IF(AA107="Send WhatsApp",3,IF(AA107="Review",4,IF(AA107="Do not send",9,5)))))</f>
        <v>3</v>
      </c>
      <c r="AE107" s="43">
        <f>IF(M107="High",1,IF(M107="Medium",2,IF(M107="Normal",3,IF(M107="Hold",9,4))))</f>
        <v>3</v>
      </c>
      <c r="AF107" s="43">
        <f>IF(T107="Read",1,IF(T107="Delivered",2,IF(T107="Sent",3,IF(T107="Not sent",4,IF(T107="Failed",9,5)))))</f>
        <v>4</v>
      </c>
      <c r="AG107" s="43">
        <f>IF(U107="Demo booked",1,IF(U107="Interested",2,IF(U107="Replied",3,IF(U107="No reply",5,IF(U107="Not interested",8,IF(U107="Bad number",9,6))))))</f>
        <v>6</v>
      </c>
      <c r="AH107" s="46">
        <f>AD107*1000+AN107*100+AE107*10+AG107</f>
        <v>3336</v>
      </c>
      <c r="AI107" s="45">
        <f>MAX(IF(R107="",0,R107),IF(Y107="",0,Y107))</f>
        <v>0</v>
      </c>
      <c r="AJ107" s="43" t="str">
        <f ca="1">IF(AND(X107&lt;&gt;"",Y107="",X107&lt;TODAY()),"Overdue",IF(AND(X107&lt;&gt;"",Y107="",X107=TODAY()),"Due today",IF(Y107&lt;&gt;"","Follow-up sent","")))</f>
        <v/>
      </c>
      <c r="AK107" s="50" t="s">
        <v>573</v>
      </c>
      <c r="AL107" s="50" t="s">
        <v>574</v>
      </c>
      <c r="AM107" s="50" t="s">
        <v>575</v>
      </c>
      <c r="AN107" s="50">
        <v>3</v>
      </c>
      <c r="AO107" s="54" t="s">
        <v>693</v>
      </c>
      <c r="AP107" s="57" t="s">
        <v>127</v>
      </c>
      <c r="AQ107" s="58"/>
      <c r="AR107" s="57"/>
    </row>
    <row r="108" spans="1:44" ht="81" customHeight="1" x14ac:dyDescent="0.25">
      <c r="A108" s="43" t="s">
        <v>694</v>
      </c>
      <c r="B108" s="43" t="s">
        <v>695</v>
      </c>
      <c r="C108" s="43" t="s">
        <v>695</v>
      </c>
      <c r="D108" s="44" t="s">
        <v>696</v>
      </c>
      <c r="E108" s="43"/>
      <c r="F108" s="43" t="s">
        <v>394</v>
      </c>
      <c r="G108" s="45"/>
      <c r="H108" s="45">
        <v>46161</v>
      </c>
      <c r="I108" s="43" t="s">
        <v>570</v>
      </c>
      <c r="J108" s="43" t="s">
        <v>697</v>
      </c>
      <c r="K108" s="43" t="str">
        <f>IF(LEN(D108)=10,"OK","Check")</f>
        <v>OK</v>
      </c>
      <c r="L108" s="43" t="s">
        <v>262</v>
      </c>
      <c r="M108" s="43" t="str">
        <f>IF(L108="Hold","Hold",IF(IFERROR(E108,0)&gt;=200,"High",IF(IFERROR(E108,0)&gt;=100,"Medium","Normal")))</f>
        <v>Normal</v>
      </c>
      <c r="N108" s="43" t="s">
        <v>90</v>
      </c>
      <c r="O108" s="43" t="s">
        <v>91</v>
      </c>
      <c r="P108" s="43" t="s">
        <v>92</v>
      </c>
      <c r="Q108" s="17" t="s">
        <v>93</v>
      </c>
      <c r="R108" s="45"/>
      <c r="S108" s="43"/>
      <c r="T108" s="43" t="s">
        <v>31</v>
      </c>
      <c r="U108" s="43" t="s">
        <v>94</v>
      </c>
      <c r="V108" s="43" t="s">
        <v>94</v>
      </c>
      <c r="W108" s="43" t="s">
        <v>95</v>
      </c>
      <c r="X108" s="45" t="str">
        <f>IF(AND(R108&lt;&gt;"",OR(U108="No reply",U108="Unknown")),R108+2,"")</f>
        <v/>
      </c>
      <c r="Y108" s="45"/>
      <c r="Z108" s="43" t="s">
        <v>96</v>
      </c>
      <c r="AA108" s="43" t="str">
        <f>IF(L108="Hold","Do not send",IF(T108="Not sent","Send WhatsApp",IF(U108="Demo booked","Prepare demo",IF(W108="Booked","Prepare demo",IF(AND(X108&lt;&gt;"",Y108=""),"Send follow-up","Review")))))</f>
        <v>Send WhatsApp</v>
      </c>
      <c r="AB108" s="43"/>
      <c r="AC108" s="43" t="s">
        <v>572</v>
      </c>
      <c r="AD108" s="43">
        <f>IF(AA108="Prepare demo",1,IF(AA108="Send follow-up",2,IF(AA108="Send WhatsApp",3,IF(AA108="Review",4,IF(AA108="Do not send",9,5)))))</f>
        <v>3</v>
      </c>
      <c r="AE108" s="43">
        <f>IF(M108="High",1,IF(M108="Medium",2,IF(M108="Normal",3,IF(M108="Hold",9,4))))</f>
        <v>3</v>
      </c>
      <c r="AF108" s="43">
        <f>IF(T108="Read",1,IF(T108="Delivered",2,IF(T108="Sent",3,IF(T108="Not sent",4,IF(T108="Failed",9,5)))))</f>
        <v>4</v>
      </c>
      <c r="AG108" s="43">
        <f>IF(U108="Demo booked",1,IF(U108="Interested",2,IF(U108="Replied",3,IF(U108="No reply",5,IF(U108="Not interested",8,IF(U108="Bad number",9,6))))))</f>
        <v>6</v>
      </c>
      <c r="AH108" s="46">
        <f>AD108*1000+AN108*100+AE108*10+AG108</f>
        <v>3336</v>
      </c>
      <c r="AI108" s="45">
        <f>MAX(IF(R108="",0,R108),IF(Y108="",0,Y108))</f>
        <v>0</v>
      </c>
      <c r="AJ108" s="43" t="str">
        <f ca="1">IF(AND(X108&lt;&gt;"",Y108="",X108&lt;TODAY()),"Overdue",IF(AND(X108&lt;&gt;"",Y108="",X108=TODAY()),"Due today",IF(Y108&lt;&gt;"","Follow-up sent","")))</f>
        <v/>
      </c>
      <c r="AK108" s="50" t="s">
        <v>573</v>
      </c>
      <c r="AL108" s="50" t="s">
        <v>574</v>
      </c>
      <c r="AM108" s="50" t="s">
        <v>575</v>
      </c>
      <c r="AN108" s="50">
        <v>3</v>
      </c>
      <c r="AO108" s="54" t="s">
        <v>698</v>
      </c>
      <c r="AP108" s="57" t="s">
        <v>127</v>
      </c>
      <c r="AQ108" s="58"/>
      <c r="AR108" s="57"/>
    </row>
    <row r="109" spans="1:44" ht="121.5" customHeight="1" x14ac:dyDescent="0.25">
      <c r="A109" s="43" t="s">
        <v>699</v>
      </c>
      <c r="B109" s="43" t="s">
        <v>695</v>
      </c>
      <c r="C109" s="43" t="s">
        <v>695</v>
      </c>
      <c r="D109" s="44" t="s">
        <v>700</v>
      </c>
      <c r="E109" s="43"/>
      <c r="F109" s="43" t="s">
        <v>394</v>
      </c>
      <c r="G109" s="45"/>
      <c r="H109" s="45">
        <v>46161</v>
      </c>
      <c r="I109" s="43" t="s">
        <v>570</v>
      </c>
      <c r="J109" s="43" t="s">
        <v>697</v>
      </c>
      <c r="K109" s="43" t="str">
        <f>IF(LEN(D109)=10,"OK","Check")</f>
        <v>OK</v>
      </c>
      <c r="L109" s="43" t="s">
        <v>262</v>
      </c>
      <c r="M109" s="43" t="str">
        <f>IF(L109="Hold","Hold",IF(IFERROR(E109,0)&gt;=200,"High",IF(IFERROR(E109,0)&gt;=100,"Medium","Normal")))</f>
        <v>Normal</v>
      </c>
      <c r="N109" s="43" t="s">
        <v>90</v>
      </c>
      <c r="O109" s="43" t="s">
        <v>91</v>
      </c>
      <c r="P109" s="43" t="s">
        <v>92</v>
      </c>
      <c r="Q109" s="17" t="s">
        <v>93</v>
      </c>
      <c r="R109" s="45"/>
      <c r="S109" s="43"/>
      <c r="T109" s="43" t="s">
        <v>31</v>
      </c>
      <c r="U109" s="43" t="s">
        <v>94</v>
      </c>
      <c r="V109" s="43" t="s">
        <v>94</v>
      </c>
      <c r="W109" s="43" t="s">
        <v>95</v>
      </c>
      <c r="X109" s="45" t="str">
        <f>IF(AND(R109&lt;&gt;"",OR(U109="No reply",U109="Unknown")),R109+2,"")</f>
        <v/>
      </c>
      <c r="Y109" s="45"/>
      <c r="Z109" s="43" t="s">
        <v>96</v>
      </c>
      <c r="AA109" s="43" t="str">
        <f>IF(L109="Hold","Do not send",IF(T109="Not sent","Send WhatsApp",IF(U109="Demo booked","Prepare demo",IF(W109="Booked","Prepare demo",IF(AND(X109&lt;&gt;"",Y109=""),"Send follow-up","Review")))))</f>
        <v>Send WhatsApp</v>
      </c>
      <c r="AB109" s="43"/>
      <c r="AC109" s="43" t="s">
        <v>572</v>
      </c>
      <c r="AD109" s="43">
        <f>IF(AA109="Prepare demo",1,IF(AA109="Send follow-up",2,IF(AA109="Send WhatsApp",3,IF(AA109="Review",4,IF(AA109="Do not send",9,5)))))</f>
        <v>3</v>
      </c>
      <c r="AE109" s="43">
        <f>IF(M109="High",1,IF(M109="Medium",2,IF(M109="Normal",3,IF(M109="Hold",9,4))))</f>
        <v>3</v>
      </c>
      <c r="AF109" s="43">
        <f>IF(T109="Read",1,IF(T109="Delivered",2,IF(T109="Sent",3,IF(T109="Not sent",4,IF(T109="Failed",9,5)))))</f>
        <v>4</v>
      </c>
      <c r="AG109" s="43">
        <f>IF(U109="Demo booked",1,IF(U109="Interested",2,IF(U109="Replied",3,IF(U109="No reply",5,IF(U109="Not interested",8,IF(U109="Bad number",9,6))))))</f>
        <v>6</v>
      </c>
      <c r="AH109" s="46">
        <f>AD109*1000+AN109*100+AE109*10+AG109</f>
        <v>3336</v>
      </c>
      <c r="AI109" s="45">
        <f>MAX(IF(R109="",0,R109),IF(Y109="",0,Y109))</f>
        <v>0</v>
      </c>
      <c r="AJ109" s="43" t="str">
        <f ca="1">IF(AND(X109&lt;&gt;"",Y109="",X109&lt;TODAY()),"Overdue",IF(AND(X109&lt;&gt;"",Y109="",X109=TODAY()),"Due today",IF(Y109&lt;&gt;"","Follow-up sent","")))</f>
        <v/>
      </c>
      <c r="AK109" s="50" t="s">
        <v>573</v>
      </c>
      <c r="AL109" s="50" t="s">
        <v>574</v>
      </c>
      <c r="AM109" s="50" t="s">
        <v>575</v>
      </c>
      <c r="AN109" s="50">
        <v>3</v>
      </c>
      <c r="AO109" s="54" t="s">
        <v>701</v>
      </c>
      <c r="AP109" s="57" t="s">
        <v>127</v>
      </c>
      <c r="AQ109" s="58"/>
      <c r="AR109" s="57"/>
    </row>
    <row r="110" spans="1:44" ht="81" customHeight="1" x14ac:dyDescent="0.25">
      <c r="A110" s="43" t="s">
        <v>702</v>
      </c>
      <c r="B110" s="43" t="s">
        <v>703</v>
      </c>
      <c r="C110" s="43" t="s">
        <v>703</v>
      </c>
      <c r="D110" s="44" t="s">
        <v>704</v>
      </c>
      <c r="E110" s="43"/>
      <c r="F110" s="43" t="s">
        <v>394</v>
      </c>
      <c r="G110" s="45"/>
      <c r="H110" s="45">
        <v>46161</v>
      </c>
      <c r="I110" s="43" t="s">
        <v>570</v>
      </c>
      <c r="J110" s="43" t="s">
        <v>705</v>
      </c>
      <c r="K110" s="43" t="str">
        <f>IF(LEN(D110)=10,"OK","Check")</f>
        <v>OK</v>
      </c>
      <c r="L110" s="43" t="s">
        <v>262</v>
      </c>
      <c r="M110" s="43" t="str">
        <f>IF(L110="Hold","Hold",IF(IFERROR(E110,0)&gt;=200,"High",IF(IFERROR(E110,0)&gt;=100,"Medium","Normal")))</f>
        <v>Normal</v>
      </c>
      <c r="N110" s="43" t="s">
        <v>90</v>
      </c>
      <c r="O110" s="43" t="s">
        <v>91</v>
      </c>
      <c r="P110" s="43" t="s">
        <v>92</v>
      </c>
      <c r="Q110" s="17" t="s">
        <v>93</v>
      </c>
      <c r="R110" s="45"/>
      <c r="S110" s="43"/>
      <c r="T110" s="43" t="s">
        <v>31</v>
      </c>
      <c r="U110" s="43" t="s">
        <v>94</v>
      </c>
      <c r="V110" s="43" t="s">
        <v>94</v>
      </c>
      <c r="W110" s="43" t="s">
        <v>95</v>
      </c>
      <c r="X110" s="45" t="str">
        <f>IF(AND(R110&lt;&gt;"",OR(U110="No reply",U110="Unknown")),R110+2,"")</f>
        <v/>
      </c>
      <c r="Y110" s="45"/>
      <c r="Z110" s="43" t="s">
        <v>96</v>
      </c>
      <c r="AA110" s="43" t="str">
        <f>IF(L110="Hold","Do not send",IF(T110="Not sent","Send WhatsApp",IF(U110="Demo booked","Prepare demo",IF(W110="Booked","Prepare demo",IF(AND(X110&lt;&gt;"",Y110=""),"Send follow-up","Review")))))</f>
        <v>Send WhatsApp</v>
      </c>
      <c r="AB110" s="43"/>
      <c r="AC110" s="43" t="s">
        <v>572</v>
      </c>
      <c r="AD110" s="43">
        <f>IF(AA110="Prepare demo",1,IF(AA110="Send follow-up",2,IF(AA110="Send WhatsApp",3,IF(AA110="Review",4,IF(AA110="Do not send",9,5)))))</f>
        <v>3</v>
      </c>
      <c r="AE110" s="43">
        <f>IF(M110="High",1,IF(M110="Medium",2,IF(M110="Normal",3,IF(M110="Hold",9,4))))</f>
        <v>3</v>
      </c>
      <c r="AF110" s="43">
        <f>IF(T110="Read",1,IF(T110="Delivered",2,IF(T110="Sent",3,IF(T110="Not sent",4,IF(T110="Failed",9,5)))))</f>
        <v>4</v>
      </c>
      <c r="AG110" s="43">
        <f>IF(U110="Demo booked",1,IF(U110="Interested",2,IF(U110="Replied",3,IF(U110="No reply",5,IF(U110="Not interested",8,IF(U110="Bad number",9,6))))))</f>
        <v>6</v>
      </c>
      <c r="AH110" s="46">
        <f>AD110*1000+AN110*100+AE110*10+AG110</f>
        <v>3336</v>
      </c>
      <c r="AI110" s="45">
        <f>MAX(IF(R110="",0,R110),IF(Y110="",0,Y110))</f>
        <v>0</v>
      </c>
      <c r="AJ110" s="43" t="str">
        <f ca="1">IF(AND(X110&lt;&gt;"",Y110="",X110&lt;TODAY()),"Overdue",IF(AND(X110&lt;&gt;"",Y110="",X110=TODAY()),"Due today",IF(Y110&lt;&gt;"","Follow-up sent","")))</f>
        <v/>
      </c>
      <c r="AK110" s="50" t="s">
        <v>573</v>
      </c>
      <c r="AL110" s="50" t="s">
        <v>574</v>
      </c>
      <c r="AM110" s="50" t="s">
        <v>575</v>
      </c>
      <c r="AN110" s="50">
        <v>3</v>
      </c>
      <c r="AO110" s="54" t="s">
        <v>706</v>
      </c>
      <c r="AP110" s="57" t="s">
        <v>127</v>
      </c>
      <c r="AQ110" s="58"/>
      <c r="AR110" s="57"/>
    </row>
    <row r="111" spans="1:44" ht="81" customHeight="1" x14ac:dyDescent="0.25">
      <c r="A111" s="43" t="s">
        <v>707</v>
      </c>
      <c r="B111" s="43" t="s">
        <v>708</v>
      </c>
      <c r="C111" s="43" t="s">
        <v>708</v>
      </c>
      <c r="D111" s="44" t="s">
        <v>709</v>
      </c>
      <c r="E111" s="43"/>
      <c r="F111" s="43" t="s">
        <v>394</v>
      </c>
      <c r="G111" s="45"/>
      <c r="H111" s="45">
        <v>46161</v>
      </c>
      <c r="I111" s="43" t="s">
        <v>570</v>
      </c>
      <c r="J111" s="43" t="s">
        <v>571</v>
      </c>
      <c r="K111" s="43" t="str">
        <f>IF(LEN(D111)=10,"OK","Check")</f>
        <v>OK</v>
      </c>
      <c r="L111" s="43" t="s">
        <v>262</v>
      </c>
      <c r="M111" s="43" t="str">
        <f>IF(L111="Hold","Hold",IF(IFERROR(E111,0)&gt;=200,"High",IF(IFERROR(E111,0)&gt;=100,"Medium","Normal")))</f>
        <v>Normal</v>
      </c>
      <c r="N111" s="43" t="s">
        <v>90</v>
      </c>
      <c r="O111" s="43" t="s">
        <v>91</v>
      </c>
      <c r="P111" s="43" t="s">
        <v>92</v>
      </c>
      <c r="Q111" s="17" t="s">
        <v>93</v>
      </c>
      <c r="R111" s="45"/>
      <c r="S111" s="43"/>
      <c r="T111" s="43" t="s">
        <v>31</v>
      </c>
      <c r="U111" s="43" t="s">
        <v>94</v>
      </c>
      <c r="V111" s="43" t="s">
        <v>94</v>
      </c>
      <c r="W111" s="43" t="s">
        <v>95</v>
      </c>
      <c r="X111" s="45" t="str">
        <f>IF(AND(R111&lt;&gt;"",OR(U111="No reply",U111="Unknown")),R111+2,"")</f>
        <v/>
      </c>
      <c r="Y111" s="45"/>
      <c r="Z111" s="43" t="s">
        <v>96</v>
      </c>
      <c r="AA111" s="43" t="str">
        <f>IF(L111="Hold","Do not send",IF(T111="Not sent","Send WhatsApp",IF(U111="Demo booked","Prepare demo",IF(W111="Booked","Prepare demo",IF(AND(X111&lt;&gt;"",Y111=""),"Send follow-up","Review")))))</f>
        <v>Send WhatsApp</v>
      </c>
      <c r="AB111" s="43"/>
      <c r="AC111" s="43" t="s">
        <v>572</v>
      </c>
      <c r="AD111" s="43">
        <f>IF(AA111="Prepare demo",1,IF(AA111="Send follow-up",2,IF(AA111="Send WhatsApp",3,IF(AA111="Review",4,IF(AA111="Do not send",9,5)))))</f>
        <v>3</v>
      </c>
      <c r="AE111" s="43">
        <f>IF(M111="High",1,IF(M111="Medium",2,IF(M111="Normal",3,IF(M111="Hold",9,4))))</f>
        <v>3</v>
      </c>
      <c r="AF111" s="43">
        <f>IF(T111="Read",1,IF(T111="Delivered",2,IF(T111="Sent",3,IF(T111="Not sent",4,IF(T111="Failed",9,5)))))</f>
        <v>4</v>
      </c>
      <c r="AG111" s="43">
        <f>IF(U111="Demo booked",1,IF(U111="Interested",2,IF(U111="Replied",3,IF(U111="No reply",5,IF(U111="Not interested",8,IF(U111="Bad number",9,6))))))</f>
        <v>6</v>
      </c>
      <c r="AH111" s="46">
        <f>AD111*1000+AN111*100+AE111*10+AG111</f>
        <v>3336</v>
      </c>
      <c r="AI111" s="45">
        <f>MAX(IF(R111="",0,R111),IF(Y111="",0,Y111))</f>
        <v>0</v>
      </c>
      <c r="AJ111" s="43" t="str">
        <f ca="1">IF(AND(X111&lt;&gt;"",Y111="",X111&lt;TODAY()),"Overdue",IF(AND(X111&lt;&gt;"",Y111="",X111=TODAY()),"Due today",IF(Y111&lt;&gt;"","Follow-up sent","")))</f>
        <v/>
      </c>
      <c r="AK111" s="50" t="s">
        <v>573</v>
      </c>
      <c r="AL111" s="50" t="s">
        <v>574</v>
      </c>
      <c r="AM111" s="50" t="s">
        <v>575</v>
      </c>
      <c r="AN111" s="50">
        <v>3</v>
      </c>
      <c r="AO111" s="54" t="s">
        <v>710</v>
      </c>
      <c r="AP111" s="57" t="s">
        <v>127</v>
      </c>
      <c r="AQ111" s="58"/>
      <c r="AR111" s="57"/>
    </row>
    <row r="112" spans="1:44" ht="81" customHeight="1" x14ac:dyDescent="0.25">
      <c r="A112" s="43" t="s">
        <v>711</v>
      </c>
      <c r="B112" s="43" t="s">
        <v>712</v>
      </c>
      <c r="C112" s="43" t="s">
        <v>712</v>
      </c>
      <c r="D112" s="44" t="s">
        <v>713</v>
      </c>
      <c r="E112" s="43"/>
      <c r="F112" s="43" t="s">
        <v>394</v>
      </c>
      <c r="G112" s="45"/>
      <c r="H112" s="45">
        <v>46161</v>
      </c>
      <c r="I112" s="43" t="s">
        <v>570</v>
      </c>
      <c r="J112" s="43" t="s">
        <v>571</v>
      </c>
      <c r="K112" s="43" t="str">
        <f>IF(LEN(D112)=10,"OK","Check")</f>
        <v>OK</v>
      </c>
      <c r="L112" s="43" t="s">
        <v>262</v>
      </c>
      <c r="M112" s="43" t="str">
        <f>IF(L112="Hold","Hold",IF(IFERROR(E112,0)&gt;=200,"High",IF(IFERROR(E112,0)&gt;=100,"Medium","Normal")))</f>
        <v>Normal</v>
      </c>
      <c r="N112" s="43" t="s">
        <v>90</v>
      </c>
      <c r="O112" s="43" t="s">
        <v>91</v>
      </c>
      <c r="P112" s="43" t="s">
        <v>92</v>
      </c>
      <c r="Q112" s="17" t="s">
        <v>93</v>
      </c>
      <c r="R112" s="45"/>
      <c r="S112" s="43"/>
      <c r="T112" s="43" t="s">
        <v>31</v>
      </c>
      <c r="U112" s="43" t="s">
        <v>94</v>
      </c>
      <c r="V112" s="43" t="s">
        <v>94</v>
      </c>
      <c r="W112" s="43" t="s">
        <v>95</v>
      </c>
      <c r="X112" s="45" t="str">
        <f>IF(AND(R112&lt;&gt;"",OR(U112="No reply",U112="Unknown")),R112+2,"")</f>
        <v/>
      </c>
      <c r="Y112" s="45"/>
      <c r="Z112" s="43" t="s">
        <v>96</v>
      </c>
      <c r="AA112" s="43" t="str">
        <f>IF(L112="Hold","Do not send",IF(T112="Not sent","Send WhatsApp",IF(U112="Demo booked","Prepare demo",IF(W112="Booked","Prepare demo",IF(AND(X112&lt;&gt;"",Y112=""),"Send follow-up","Review")))))</f>
        <v>Send WhatsApp</v>
      </c>
      <c r="AB112" s="43"/>
      <c r="AC112" s="43" t="s">
        <v>572</v>
      </c>
      <c r="AD112" s="43">
        <f>IF(AA112="Prepare demo",1,IF(AA112="Send follow-up",2,IF(AA112="Send WhatsApp",3,IF(AA112="Review",4,IF(AA112="Do not send",9,5)))))</f>
        <v>3</v>
      </c>
      <c r="AE112" s="43">
        <f>IF(M112="High",1,IF(M112="Medium",2,IF(M112="Normal",3,IF(M112="Hold",9,4))))</f>
        <v>3</v>
      </c>
      <c r="AF112" s="43">
        <f>IF(T112="Read",1,IF(T112="Delivered",2,IF(T112="Sent",3,IF(T112="Not sent",4,IF(T112="Failed",9,5)))))</f>
        <v>4</v>
      </c>
      <c r="AG112" s="43">
        <f>IF(U112="Demo booked",1,IF(U112="Interested",2,IF(U112="Replied",3,IF(U112="No reply",5,IF(U112="Not interested",8,IF(U112="Bad number",9,6))))))</f>
        <v>6</v>
      </c>
      <c r="AH112" s="46">
        <f>AD112*1000+AN112*100+AE112*10+AG112</f>
        <v>3336</v>
      </c>
      <c r="AI112" s="45">
        <f>MAX(IF(R112="",0,R112),IF(Y112="",0,Y112))</f>
        <v>0</v>
      </c>
      <c r="AJ112" s="43" t="str">
        <f ca="1">IF(AND(X112&lt;&gt;"",Y112="",X112&lt;TODAY()),"Overdue",IF(AND(X112&lt;&gt;"",Y112="",X112=TODAY()),"Due today",IF(Y112&lt;&gt;"","Follow-up sent","")))</f>
        <v/>
      </c>
      <c r="AK112" s="50" t="s">
        <v>573</v>
      </c>
      <c r="AL112" s="50" t="s">
        <v>574</v>
      </c>
      <c r="AM112" s="50" t="s">
        <v>575</v>
      </c>
      <c r="AN112" s="50">
        <v>3</v>
      </c>
      <c r="AO112" s="54" t="s">
        <v>714</v>
      </c>
      <c r="AP112" s="57" t="s">
        <v>127</v>
      </c>
      <c r="AQ112" s="58"/>
      <c r="AR112" s="57"/>
    </row>
    <row r="113" spans="1:44" ht="81" customHeight="1" x14ac:dyDescent="0.25">
      <c r="A113" s="43" t="s">
        <v>715</v>
      </c>
      <c r="B113" s="43" t="s">
        <v>712</v>
      </c>
      <c r="C113" s="43" t="s">
        <v>712</v>
      </c>
      <c r="D113" s="44" t="s">
        <v>716</v>
      </c>
      <c r="E113" s="43"/>
      <c r="F113" s="43" t="s">
        <v>394</v>
      </c>
      <c r="G113" s="45"/>
      <c r="H113" s="45">
        <v>46161</v>
      </c>
      <c r="I113" s="43" t="s">
        <v>570</v>
      </c>
      <c r="J113" s="43" t="s">
        <v>571</v>
      </c>
      <c r="K113" s="43" t="str">
        <f>IF(LEN(D113)=10,"OK","Check")</f>
        <v>OK</v>
      </c>
      <c r="L113" s="43" t="s">
        <v>262</v>
      </c>
      <c r="M113" s="43" t="str">
        <f>IF(L113="Hold","Hold",IF(IFERROR(E113,0)&gt;=200,"High",IF(IFERROR(E113,0)&gt;=100,"Medium","Normal")))</f>
        <v>Normal</v>
      </c>
      <c r="N113" s="43" t="s">
        <v>90</v>
      </c>
      <c r="O113" s="43" t="s">
        <v>91</v>
      </c>
      <c r="P113" s="43" t="s">
        <v>92</v>
      </c>
      <c r="Q113" s="17" t="s">
        <v>93</v>
      </c>
      <c r="R113" s="45"/>
      <c r="S113" s="43"/>
      <c r="T113" s="43" t="s">
        <v>31</v>
      </c>
      <c r="U113" s="43" t="s">
        <v>94</v>
      </c>
      <c r="V113" s="43" t="s">
        <v>94</v>
      </c>
      <c r="W113" s="43" t="s">
        <v>95</v>
      </c>
      <c r="X113" s="45" t="str">
        <f>IF(AND(R113&lt;&gt;"",OR(U113="No reply",U113="Unknown")),R113+2,"")</f>
        <v/>
      </c>
      <c r="Y113" s="45"/>
      <c r="Z113" s="43" t="s">
        <v>96</v>
      </c>
      <c r="AA113" s="43" t="str">
        <f>IF(L113="Hold","Do not send",IF(T113="Not sent","Send WhatsApp",IF(U113="Demo booked","Prepare demo",IF(W113="Booked","Prepare demo",IF(AND(X113&lt;&gt;"",Y113=""),"Send follow-up","Review")))))</f>
        <v>Send WhatsApp</v>
      </c>
      <c r="AB113" s="43"/>
      <c r="AC113" s="43" t="s">
        <v>572</v>
      </c>
      <c r="AD113" s="43">
        <f>IF(AA113="Prepare demo",1,IF(AA113="Send follow-up",2,IF(AA113="Send WhatsApp",3,IF(AA113="Review",4,IF(AA113="Do not send",9,5)))))</f>
        <v>3</v>
      </c>
      <c r="AE113" s="43">
        <f>IF(M113="High",1,IF(M113="Medium",2,IF(M113="Normal",3,IF(M113="Hold",9,4))))</f>
        <v>3</v>
      </c>
      <c r="AF113" s="43">
        <f>IF(T113="Read",1,IF(T113="Delivered",2,IF(T113="Sent",3,IF(T113="Not sent",4,IF(T113="Failed",9,5)))))</f>
        <v>4</v>
      </c>
      <c r="AG113" s="43">
        <f>IF(U113="Demo booked",1,IF(U113="Interested",2,IF(U113="Replied",3,IF(U113="No reply",5,IF(U113="Not interested",8,IF(U113="Bad number",9,6))))))</f>
        <v>6</v>
      </c>
      <c r="AH113" s="46">
        <f>AD113*1000+AN113*100+AE113*10+AG113</f>
        <v>3336</v>
      </c>
      <c r="AI113" s="45">
        <f>MAX(IF(R113="",0,R113),IF(Y113="",0,Y113))</f>
        <v>0</v>
      </c>
      <c r="AJ113" s="43" t="str">
        <f ca="1">IF(AND(X113&lt;&gt;"",Y113="",X113&lt;TODAY()),"Overdue",IF(AND(X113&lt;&gt;"",Y113="",X113=TODAY()),"Due today",IF(Y113&lt;&gt;"","Follow-up sent","")))</f>
        <v/>
      </c>
      <c r="AK113" s="50" t="s">
        <v>573</v>
      </c>
      <c r="AL113" s="50" t="s">
        <v>574</v>
      </c>
      <c r="AM113" s="50" t="s">
        <v>575</v>
      </c>
      <c r="AN113" s="50">
        <v>3</v>
      </c>
      <c r="AO113" s="54" t="s">
        <v>717</v>
      </c>
      <c r="AP113" s="57" t="s">
        <v>127</v>
      </c>
      <c r="AQ113" s="58"/>
      <c r="AR113" s="57"/>
    </row>
    <row r="114" spans="1:44" ht="121.5" customHeight="1" x14ac:dyDescent="0.25">
      <c r="A114" s="43" t="s">
        <v>718</v>
      </c>
      <c r="B114" s="43" t="s">
        <v>719</v>
      </c>
      <c r="C114" s="43" t="s">
        <v>719</v>
      </c>
      <c r="D114" s="44" t="s">
        <v>720</v>
      </c>
      <c r="E114" s="43"/>
      <c r="F114" s="43" t="s">
        <v>394</v>
      </c>
      <c r="G114" s="45"/>
      <c r="H114" s="45">
        <v>46161</v>
      </c>
      <c r="I114" s="43" t="s">
        <v>570</v>
      </c>
      <c r="J114" s="43" t="s">
        <v>721</v>
      </c>
      <c r="K114" s="43" t="str">
        <f>IF(LEN(D114)=10,"OK","Check")</f>
        <v>OK</v>
      </c>
      <c r="L114" s="43" t="s">
        <v>262</v>
      </c>
      <c r="M114" s="43" t="str">
        <f>IF(L114="Hold","Hold",IF(IFERROR(E114,0)&gt;=200,"High",IF(IFERROR(E114,0)&gt;=100,"Medium","Normal")))</f>
        <v>Normal</v>
      </c>
      <c r="N114" s="43" t="s">
        <v>90</v>
      </c>
      <c r="O114" s="43" t="s">
        <v>91</v>
      </c>
      <c r="P114" s="43" t="s">
        <v>92</v>
      </c>
      <c r="Q114" s="17" t="s">
        <v>93</v>
      </c>
      <c r="R114" s="45"/>
      <c r="S114" s="43"/>
      <c r="T114" s="43" t="s">
        <v>31</v>
      </c>
      <c r="U114" s="43" t="s">
        <v>94</v>
      </c>
      <c r="V114" s="43" t="s">
        <v>94</v>
      </c>
      <c r="W114" s="43" t="s">
        <v>95</v>
      </c>
      <c r="X114" s="45" t="str">
        <f>IF(AND(R114&lt;&gt;"",OR(U114="No reply",U114="Unknown")),R114+2,"")</f>
        <v/>
      </c>
      <c r="Y114" s="45"/>
      <c r="Z114" s="43" t="s">
        <v>96</v>
      </c>
      <c r="AA114" s="43" t="str">
        <f>IF(L114="Hold","Do not send",IF(T114="Not sent","Send WhatsApp",IF(U114="Demo booked","Prepare demo",IF(W114="Booked","Prepare demo",IF(AND(X114&lt;&gt;"",Y114=""),"Send follow-up","Review")))))</f>
        <v>Send WhatsApp</v>
      </c>
      <c r="AB114" s="43"/>
      <c r="AC114" s="43" t="s">
        <v>572</v>
      </c>
      <c r="AD114" s="43">
        <f>IF(AA114="Prepare demo",1,IF(AA114="Send follow-up",2,IF(AA114="Send WhatsApp",3,IF(AA114="Review",4,IF(AA114="Do not send",9,5)))))</f>
        <v>3</v>
      </c>
      <c r="AE114" s="43">
        <f>IF(M114="High",1,IF(M114="Medium",2,IF(M114="Normal",3,IF(M114="Hold",9,4))))</f>
        <v>3</v>
      </c>
      <c r="AF114" s="43">
        <f>IF(T114="Read",1,IF(T114="Delivered",2,IF(T114="Sent",3,IF(T114="Not sent",4,IF(T114="Failed",9,5)))))</f>
        <v>4</v>
      </c>
      <c r="AG114" s="43">
        <f>IF(U114="Demo booked",1,IF(U114="Interested",2,IF(U114="Replied",3,IF(U114="No reply",5,IF(U114="Not interested",8,IF(U114="Bad number",9,6))))))</f>
        <v>6</v>
      </c>
      <c r="AH114" s="46">
        <f>AD114*1000+AN114*100+AE114*10+AG114</f>
        <v>3336</v>
      </c>
      <c r="AI114" s="45">
        <f>MAX(IF(R114="",0,R114),IF(Y114="",0,Y114))</f>
        <v>0</v>
      </c>
      <c r="AJ114" s="43" t="str">
        <f ca="1">IF(AND(X114&lt;&gt;"",Y114="",X114&lt;TODAY()),"Overdue",IF(AND(X114&lt;&gt;"",Y114="",X114=TODAY()),"Due today",IF(Y114&lt;&gt;"","Follow-up sent","")))</f>
        <v/>
      </c>
      <c r="AK114" s="50" t="s">
        <v>573</v>
      </c>
      <c r="AL114" s="50" t="s">
        <v>574</v>
      </c>
      <c r="AM114" s="50" t="s">
        <v>575</v>
      </c>
      <c r="AN114" s="50">
        <v>3</v>
      </c>
      <c r="AO114" s="54" t="s">
        <v>722</v>
      </c>
      <c r="AP114" s="57" t="s">
        <v>127</v>
      </c>
      <c r="AQ114" s="58"/>
      <c r="AR114" s="57"/>
    </row>
    <row r="115" spans="1:44" ht="121.5" customHeight="1" x14ac:dyDescent="0.25">
      <c r="A115" s="43" t="s">
        <v>723</v>
      </c>
      <c r="B115" s="43" t="s">
        <v>719</v>
      </c>
      <c r="C115" s="43" t="s">
        <v>719</v>
      </c>
      <c r="D115" s="44" t="s">
        <v>724</v>
      </c>
      <c r="E115" s="43"/>
      <c r="F115" s="43" t="s">
        <v>394</v>
      </c>
      <c r="G115" s="45"/>
      <c r="H115" s="45">
        <v>46161</v>
      </c>
      <c r="I115" s="43" t="s">
        <v>570</v>
      </c>
      <c r="J115" s="43" t="s">
        <v>721</v>
      </c>
      <c r="K115" s="43" t="str">
        <f>IF(LEN(D115)=10,"OK","Check")</f>
        <v>OK</v>
      </c>
      <c r="L115" s="43" t="s">
        <v>262</v>
      </c>
      <c r="M115" s="43" t="str">
        <f>IF(L115="Hold","Hold",IF(IFERROR(E115,0)&gt;=200,"High",IF(IFERROR(E115,0)&gt;=100,"Medium","Normal")))</f>
        <v>Normal</v>
      </c>
      <c r="N115" s="43" t="s">
        <v>90</v>
      </c>
      <c r="O115" s="43" t="s">
        <v>91</v>
      </c>
      <c r="P115" s="43" t="s">
        <v>92</v>
      </c>
      <c r="Q115" s="17" t="s">
        <v>93</v>
      </c>
      <c r="R115" s="45"/>
      <c r="S115" s="43"/>
      <c r="T115" s="43" t="s">
        <v>31</v>
      </c>
      <c r="U115" s="43" t="s">
        <v>94</v>
      </c>
      <c r="V115" s="43" t="s">
        <v>94</v>
      </c>
      <c r="W115" s="43" t="s">
        <v>95</v>
      </c>
      <c r="X115" s="45" t="str">
        <f>IF(AND(R115&lt;&gt;"",OR(U115="No reply",U115="Unknown")),R115+2,"")</f>
        <v/>
      </c>
      <c r="Y115" s="45"/>
      <c r="Z115" s="43" t="s">
        <v>96</v>
      </c>
      <c r="AA115" s="43" t="str">
        <f>IF(L115="Hold","Do not send",IF(T115="Not sent","Send WhatsApp",IF(U115="Demo booked","Prepare demo",IF(W115="Booked","Prepare demo",IF(AND(X115&lt;&gt;"",Y115=""),"Send follow-up","Review")))))</f>
        <v>Send WhatsApp</v>
      </c>
      <c r="AB115" s="43"/>
      <c r="AC115" s="43" t="s">
        <v>572</v>
      </c>
      <c r="AD115" s="43">
        <f>IF(AA115="Prepare demo",1,IF(AA115="Send follow-up",2,IF(AA115="Send WhatsApp",3,IF(AA115="Review",4,IF(AA115="Do not send",9,5)))))</f>
        <v>3</v>
      </c>
      <c r="AE115" s="43">
        <f>IF(M115="High",1,IF(M115="Medium",2,IF(M115="Normal",3,IF(M115="Hold",9,4))))</f>
        <v>3</v>
      </c>
      <c r="AF115" s="43">
        <f>IF(T115="Read",1,IF(T115="Delivered",2,IF(T115="Sent",3,IF(T115="Not sent",4,IF(T115="Failed",9,5)))))</f>
        <v>4</v>
      </c>
      <c r="AG115" s="43">
        <f>IF(U115="Demo booked",1,IF(U115="Interested",2,IF(U115="Replied",3,IF(U115="No reply",5,IF(U115="Not interested",8,IF(U115="Bad number",9,6))))))</f>
        <v>6</v>
      </c>
      <c r="AH115" s="46">
        <f>AD115*1000+AN115*100+AE115*10+AG115</f>
        <v>3336</v>
      </c>
      <c r="AI115" s="45">
        <f>MAX(IF(R115="",0,R115),IF(Y115="",0,Y115))</f>
        <v>0</v>
      </c>
      <c r="AJ115" s="43" t="str">
        <f ca="1">IF(AND(X115&lt;&gt;"",Y115="",X115&lt;TODAY()),"Overdue",IF(AND(X115&lt;&gt;"",Y115="",X115=TODAY()),"Due today",IF(Y115&lt;&gt;"","Follow-up sent","")))</f>
        <v/>
      </c>
      <c r="AK115" s="50" t="s">
        <v>573</v>
      </c>
      <c r="AL115" s="50" t="s">
        <v>574</v>
      </c>
      <c r="AM115" s="50" t="s">
        <v>575</v>
      </c>
      <c r="AN115" s="50">
        <v>3</v>
      </c>
      <c r="AO115" s="54" t="s">
        <v>725</v>
      </c>
      <c r="AP115" s="57" t="s">
        <v>127</v>
      </c>
      <c r="AQ115" s="58"/>
      <c r="AR115" s="57"/>
    </row>
    <row r="116" spans="1:44" ht="81" customHeight="1" x14ac:dyDescent="0.25">
      <c r="A116" s="43" t="s">
        <v>726</v>
      </c>
      <c r="B116" s="43" t="s">
        <v>727</v>
      </c>
      <c r="C116" s="43" t="s">
        <v>727</v>
      </c>
      <c r="D116" s="44" t="s">
        <v>728</v>
      </c>
      <c r="E116" s="43"/>
      <c r="F116" s="43" t="s">
        <v>729</v>
      </c>
      <c r="G116" s="45"/>
      <c r="H116" s="45">
        <v>46161</v>
      </c>
      <c r="I116" s="43" t="s">
        <v>730</v>
      </c>
      <c r="J116" s="43" t="s">
        <v>731</v>
      </c>
      <c r="K116" s="43" t="str">
        <f>IF(LEN(D116)=10,"OK","Check")</f>
        <v>OK</v>
      </c>
      <c r="L116" s="43" t="s">
        <v>732</v>
      </c>
      <c r="M116" s="43" t="str">
        <f>IF(L116="Hold","Hold",IF(IFERROR(E116,0)&gt;=200,"High",IF(IFERROR(E116,0)&gt;=100,"Medium","Normal")))</f>
        <v>Hold</v>
      </c>
      <c r="N116" s="43" t="s">
        <v>90</v>
      </c>
      <c r="O116" s="43" t="s">
        <v>91</v>
      </c>
      <c r="P116" s="43" t="s">
        <v>92</v>
      </c>
      <c r="Q116" s="17" t="s">
        <v>93</v>
      </c>
      <c r="R116" s="45"/>
      <c r="S116" s="43"/>
      <c r="T116" s="43" t="s">
        <v>31</v>
      </c>
      <c r="U116" s="43" t="s">
        <v>94</v>
      </c>
      <c r="V116" s="43" t="s">
        <v>94</v>
      </c>
      <c r="W116" s="43" t="s">
        <v>95</v>
      </c>
      <c r="X116" s="45" t="str">
        <f>IF(AND(R116&lt;&gt;"",OR(U116="No reply",U116="Unknown")),R116+2,"")</f>
        <v/>
      </c>
      <c r="Y116" s="45"/>
      <c r="Z116" s="43" t="s">
        <v>96</v>
      </c>
      <c r="AA116" s="43" t="str">
        <f>IF(L116="Hold","Do not send",IF(T116="Not sent","Send WhatsApp",IF(U116="Demo booked","Prepare demo",IF(W116="Booked","Prepare demo",IF(AND(X116&lt;&gt;"",Y116=""),"Send follow-up","Review")))))</f>
        <v>Do not send</v>
      </c>
      <c r="AB116" s="43"/>
      <c r="AC116" s="43" t="s">
        <v>733</v>
      </c>
      <c r="AD116" s="43">
        <f>IF(AA116="Prepare demo",1,IF(AA116="Send follow-up",2,IF(AA116="Send WhatsApp",3,IF(AA116="Review",4,IF(AA116="Do not send",9,5)))))</f>
        <v>9</v>
      </c>
      <c r="AE116" s="43">
        <f>IF(M116="High",1,IF(M116="Medium",2,IF(M116="Normal",3,IF(M116="Hold",9,4))))</f>
        <v>9</v>
      </c>
      <c r="AF116" s="43">
        <f>IF(T116="Read",1,IF(T116="Delivered",2,IF(T116="Sent",3,IF(T116="Not sent",4,IF(T116="Failed",9,5)))))</f>
        <v>4</v>
      </c>
      <c r="AG116" s="43">
        <f>IF(U116="Demo booked",1,IF(U116="Interested",2,IF(U116="Replied",3,IF(U116="No reply",5,IF(U116="Not interested",8,IF(U116="Bad number",9,6))))))</f>
        <v>6</v>
      </c>
      <c r="AH116" s="46">
        <f>AD116*1000+AN116*100+AE116*10+AG116</f>
        <v>9596</v>
      </c>
      <c r="AI116" s="45">
        <f>MAX(IF(R116="",0,R116),IF(Y116="",0,Y116))</f>
        <v>0</v>
      </c>
      <c r="AJ116" s="43" t="str">
        <f ca="1">IF(AND(X116&lt;&gt;"",Y116="",X116&lt;TODAY()),"Overdue",IF(AND(X116&lt;&gt;"",Y116="",X116=TODAY()),"Due today",IF(Y116&lt;&gt;"","Follow-up sent","")))</f>
        <v/>
      </c>
      <c r="AK116" s="50" t="s">
        <v>734</v>
      </c>
      <c r="AL116" s="50" t="s">
        <v>735</v>
      </c>
      <c r="AM116" s="50" t="s">
        <v>736</v>
      </c>
      <c r="AN116" s="50">
        <v>5</v>
      </c>
      <c r="AO116" s="54" t="s">
        <v>737</v>
      </c>
      <c r="AP116" s="57" t="s">
        <v>127</v>
      </c>
      <c r="AQ116" s="58"/>
      <c r="AR116" s="57"/>
    </row>
    <row r="117" spans="1:44" ht="81" customHeight="1" x14ac:dyDescent="0.25">
      <c r="A117" s="43" t="s">
        <v>738</v>
      </c>
      <c r="B117" s="43" t="s">
        <v>727</v>
      </c>
      <c r="C117" s="43" t="s">
        <v>727</v>
      </c>
      <c r="D117" s="44" t="s">
        <v>739</v>
      </c>
      <c r="E117" s="43"/>
      <c r="F117" s="43" t="s">
        <v>729</v>
      </c>
      <c r="G117" s="45"/>
      <c r="H117" s="45">
        <v>46161</v>
      </c>
      <c r="I117" s="43" t="s">
        <v>730</v>
      </c>
      <c r="J117" s="43" t="s">
        <v>731</v>
      </c>
      <c r="K117" s="43" t="str">
        <f>IF(LEN(D117)=10,"OK","Check")</f>
        <v>OK</v>
      </c>
      <c r="L117" s="43" t="s">
        <v>732</v>
      </c>
      <c r="M117" s="43" t="str">
        <f>IF(L117="Hold","Hold",IF(IFERROR(E117,0)&gt;=200,"High",IF(IFERROR(E117,0)&gt;=100,"Medium","Normal")))</f>
        <v>Hold</v>
      </c>
      <c r="N117" s="43" t="s">
        <v>90</v>
      </c>
      <c r="O117" s="43" t="s">
        <v>91</v>
      </c>
      <c r="P117" s="43" t="s">
        <v>92</v>
      </c>
      <c r="Q117" s="17" t="s">
        <v>93</v>
      </c>
      <c r="R117" s="45"/>
      <c r="S117" s="43"/>
      <c r="T117" s="43" t="s">
        <v>31</v>
      </c>
      <c r="U117" s="43" t="s">
        <v>94</v>
      </c>
      <c r="V117" s="43" t="s">
        <v>94</v>
      </c>
      <c r="W117" s="43" t="s">
        <v>95</v>
      </c>
      <c r="X117" s="45" t="str">
        <f>IF(AND(R117&lt;&gt;"",OR(U117="No reply",U117="Unknown")),R117+2,"")</f>
        <v/>
      </c>
      <c r="Y117" s="45"/>
      <c r="Z117" s="43" t="s">
        <v>96</v>
      </c>
      <c r="AA117" s="43" t="str">
        <f>IF(L117="Hold","Do not send",IF(T117="Not sent","Send WhatsApp",IF(U117="Demo booked","Prepare demo",IF(W117="Booked","Prepare demo",IF(AND(X117&lt;&gt;"",Y117=""),"Send follow-up","Review")))))</f>
        <v>Do not send</v>
      </c>
      <c r="AB117" s="43"/>
      <c r="AC117" s="43" t="s">
        <v>733</v>
      </c>
      <c r="AD117" s="43">
        <f>IF(AA117="Prepare demo",1,IF(AA117="Send follow-up",2,IF(AA117="Send WhatsApp",3,IF(AA117="Review",4,IF(AA117="Do not send",9,5)))))</f>
        <v>9</v>
      </c>
      <c r="AE117" s="43">
        <f>IF(M117="High",1,IF(M117="Medium",2,IF(M117="Normal",3,IF(M117="Hold",9,4))))</f>
        <v>9</v>
      </c>
      <c r="AF117" s="43">
        <f>IF(T117="Read",1,IF(T117="Delivered",2,IF(T117="Sent",3,IF(T117="Not sent",4,IF(T117="Failed",9,5)))))</f>
        <v>4</v>
      </c>
      <c r="AG117" s="43">
        <f>IF(U117="Demo booked",1,IF(U117="Interested",2,IF(U117="Replied",3,IF(U117="No reply",5,IF(U117="Not interested",8,IF(U117="Bad number",9,6))))))</f>
        <v>6</v>
      </c>
      <c r="AH117" s="46">
        <f>AD117*1000+AN117*100+AE117*10+AG117</f>
        <v>9596</v>
      </c>
      <c r="AI117" s="45">
        <f>MAX(IF(R117="",0,R117),IF(Y117="",0,Y117))</f>
        <v>0</v>
      </c>
      <c r="AJ117" s="43" t="str">
        <f ca="1">IF(AND(X117&lt;&gt;"",Y117="",X117&lt;TODAY()),"Overdue",IF(AND(X117&lt;&gt;"",Y117="",X117=TODAY()),"Due today",IF(Y117&lt;&gt;"","Follow-up sent","")))</f>
        <v/>
      </c>
      <c r="AK117" s="50" t="s">
        <v>734</v>
      </c>
      <c r="AL117" s="50" t="s">
        <v>735</v>
      </c>
      <c r="AM117" s="50" t="s">
        <v>736</v>
      </c>
      <c r="AN117" s="50">
        <v>5</v>
      </c>
      <c r="AO117" s="54" t="s">
        <v>740</v>
      </c>
      <c r="AP117" s="57" t="s">
        <v>127</v>
      </c>
      <c r="AQ117" s="58"/>
      <c r="AR117" s="57"/>
    </row>
    <row r="118" spans="1:44" ht="121.5" customHeight="1" x14ac:dyDescent="0.25">
      <c r="A118" s="43" t="s">
        <v>741</v>
      </c>
      <c r="B118" s="43" t="s">
        <v>742</v>
      </c>
      <c r="C118" s="43" t="s">
        <v>742</v>
      </c>
      <c r="D118" s="44" t="s">
        <v>743</v>
      </c>
      <c r="E118" s="43"/>
      <c r="F118" s="43" t="s">
        <v>729</v>
      </c>
      <c r="G118" s="45"/>
      <c r="H118" s="45">
        <v>46161</v>
      </c>
      <c r="I118" s="43" t="s">
        <v>730</v>
      </c>
      <c r="J118" s="43" t="s">
        <v>731</v>
      </c>
      <c r="K118" s="43" t="str">
        <f>IF(LEN(D118)=10,"OK","Check")</f>
        <v>OK</v>
      </c>
      <c r="L118" s="43" t="s">
        <v>732</v>
      </c>
      <c r="M118" s="43" t="str">
        <f>IF(L118="Hold","Hold",IF(IFERROR(E118,0)&gt;=200,"High",IF(IFERROR(E118,0)&gt;=100,"Medium","Normal")))</f>
        <v>Hold</v>
      </c>
      <c r="N118" s="43" t="s">
        <v>90</v>
      </c>
      <c r="O118" s="43" t="s">
        <v>91</v>
      </c>
      <c r="P118" s="43" t="s">
        <v>92</v>
      </c>
      <c r="Q118" s="17" t="s">
        <v>93</v>
      </c>
      <c r="R118" s="45"/>
      <c r="S118" s="43"/>
      <c r="T118" s="43" t="s">
        <v>31</v>
      </c>
      <c r="U118" s="43" t="s">
        <v>94</v>
      </c>
      <c r="V118" s="43" t="s">
        <v>94</v>
      </c>
      <c r="W118" s="43" t="s">
        <v>95</v>
      </c>
      <c r="X118" s="45" t="str">
        <f>IF(AND(R118&lt;&gt;"",OR(U118="No reply",U118="Unknown")),R118+2,"")</f>
        <v/>
      </c>
      <c r="Y118" s="45"/>
      <c r="Z118" s="43" t="s">
        <v>96</v>
      </c>
      <c r="AA118" s="43" t="str">
        <f>IF(L118="Hold","Do not send",IF(T118="Not sent","Send WhatsApp",IF(U118="Demo booked","Prepare demo",IF(W118="Booked","Prepare demo",IF(AND(X118&lt;&gt;"",Y118=""),"Send follow-up","Review")))))</f>
        <v>Do not send</v>
      </c>
      <c r="AB118" s="43"/>
      <c r="AC118" s="43" t="s">
        <v>733</v>
      </c>
      <c r="AD118" s="43">
        <f>IF(AA118="Prepare demo",1,IF(AA118="Send follow-up",2,IF(AA118="Send WhatsApp",3,IF(AA118="Review",4,IF(AA118="Do not send",9,5)))))</f>
        <v>9</v>
      </c>
      <c r="AE118" s="43">
        <f>IF(M118="High",1,IF(M118="Medium",2,IF(M118="Normal",3,IF(M118="Hold",9,4))))</f>
        <v>9</v>
      </c>
      <c r="AF118" s="43">
        <f>IF(T118="Read",1,IF(T118="Delivered",2,IF(T118="Sent",3,IF(T118="Not sent",4,IF(T118="Failed",9,5)))))</f>
        <v>4</v>
      </c>
      <c r="AG118" s="43">
        <f>IF(U118="Demo booked",1,IF(U118="Interested",2,IF(U118="Replied",3,IF(U118="No reply",5,IF(U118="Not interested",8,IF(U118="Bad number",9,6))))))</f>
        <v>6</v>
      </c>
      <c r="AH118" s="46">
        <f>AD118*1000+AN118*100+AE118*10+AG118</f>
        <v>9596</v>
      </c>
      <c r="AI118" s="45">
        <f>MAX(IF(R118="",0,R118),IF(Y118="",0,Y118))</f>
        <v>0</v>
      </c>
      <c r="AJ118" s="43" t="str">
        <f ca="1">IF(AND(X118&lt;&gt;"",Y118="",X118&lt;TODAY()),"Overdue",IF(AND(X118&lt;&gt;"",Y118="",X118=TODAY()),"Due today",IF(Y118&lt;&gt;"","Follow-up sent","")))</f>
        <v/>
      </c>
      <c r="AK118" s="50" t="s">
        <v>734</v>
      </c>
      <c r="AL118" s="50" t="s">
        <v>735</v>
      </c>
      <c r="AM118" s="50" t="s">
        <v>736</v>
      </c>
      <c r="AN118" s="50">
        <v>5</v>
      </c>
      <c r="AO118" s="54" t="s">
        <v>744</v>
      </c>
      <c r="AP118" s="57" t="s">
        <v>127</v>
      </c>
      <c r="AQ118" s="58"/>
      <c r="AR118" s="57"/>
    </row>
    <row r="119" spans="1:44" ht="81" customHeight="1" x14ac:dyDescent="0.25">
      <c r="A119" s="43" t="s">
        <v>745</v>
      </c>
      <c r="B119" s="43" t="s">
        <v>746</v>
      </c>
      <c r="C119" s="43" t="s">
        <v>746</v>
      </c>
      <c r="D119" s="44" t="s">
        <v>747</v>
      </c>
      <c r="E119" s="43"/>
      <c r="F119" s="43" t="s">
        <v>729</v>
      </c>
      <c r="G119" s="45"/>
      <c r="H119" s="45">
        <v>46161</v>
      </c>
      <c r="I119" s="43" t="s">
        <v>730</v>
      </c>
      <c r="J119" s="43" t="s">
        <v>731</v>
      </c>
      <c r="K119" s="43" t="str">
        <f>IF(LEN(D119)=10,"OK","Check")</f>
        <v>OK</v>
      </c>
      <c r="L119" s="43" t="s">
        <v>732</v>
      </c>
      <c r="M119" s="43" t="str">
        <f>IF(L119="Hold","Hold",IF(IFERROR(E119,0)&gt;=200,"High",IF(IFERROR(E119,0)&gt;=100,"Medium","Normal")))</f>
        <v>Hold</v>
      </c>
      <c r="N119" s="43" t="s">
        <v>90</v>
      </c>
      <c r="O119" s="43" t="s">
        <v>91</v>
      </c>
      <c r="P119" s="43" t="s">
        <v>92</v>
      </c>
      <c r="Q119" s="17" t="s">
        <v>93</v>
      </c>
      <c r="R119" s="45"/>
      <c r="S119" s="43"/>
      <c r="T119" s="43" t="s">
        <v>31</v>
      </c>
      <c r="U119" s="43" t="s">
        <v>94</v>
      </c>
      <c r="V119" s="43" t="s">
        <v>94</v>
      </c>
      <c r="W119" s="43" t="s">
        <v>95</v>
      </c>
      <c r="X119" s="45" t="str">
        <f>IF(AND(R119&lt;&gt;"",OR(U119="No reply",U119="Unknown")),R119+2,"")</f>
        <v/>
      </c>
      <c r="Y119" s="45"/>
      <c r="Z119" s="43" t="s">
        <v>96</v>
      </c>
      <c r="AA119" s="43" t="str">
        <f>IF(L119="Hold","Do not send",IF(T119="Not sent","Send WhatsApp",IF(U119="Demo booked","Prepare demo",IF(W119="Booked","Prepare demo",IF(AND(X119&lt;&gt;"",Y119=""),"Send follow-up","Review")))))</f>
        <v>Do not send</v>
      </c>
      <c r="AB119" s="43"/>
      <c r="AC119" s="43" t="s">
        <v>733</v>
      </c>
      <c r="AD119" s="43">
        <f>IF(AA119="Prepare demo",1,IF(AA119="Send follow-up",2,IF(AA119="Send WhatsApp",3,IF(AA119="Review",4,IF(AA119="Do not send",9,5)))))</f>
        <v>9</v>
      </c>
      <c r="AE119" s="43">
        <f>IF(M119="High",1,IF(M119="Medium",2,IF(M119="Normal",3,IF(M119="Hold",9,4))))</f>
        <v>9</v>
      </c>
      <c r="AF119" s="43">
        <f>IF(T119="Read",1,IF(T119="Delivered",2,IF(T119="Sent",3,IF(T119="Not sent",4,IF(T119="Failed",9,5)))))</f>
        <v>4</v>
      </c>
      <c r="AG119" s="43">
        <f>IF(U119="Demo booked",1,IF(U119="Interested",2,IF(U119="Replied",3,IF(U119="No reply",5,IF(U119="Not interested",8,IF(U119="Bad number",9,6))))))</f>
        <v>6</v>
      </c>
      <c r="AH119" s="46">
        <f>AD119*1000+AN119*100+AE119*10+AG119</f>
        <v>9596</v>
      </c>
      <c r="AI119" s="45">
        <f>MAX(IF(R119="",0,R119),IF(Y119="",0,Y119))</f>
        <v>0</v>
      </c>
      <c r="AJ119" s="43" t="str">
        <f ca="1">IF(AND(X119&lt;&gt;"",Y119="",X119&lt;TODAY()),"Overdue",IF(AND(X119&lt;&gt;"",Y119="",X119=TODAY()),"Due today",IF(Y119&lt;&gt;"","Follow-up sent","")))</f>
        <v/>
      </c>
      <c r="AK119" s="50" t="s">
        <v>734</v>
      </c>
      <c r="AL119" s="50" t="s">
        <v>735</v>
      </c>
      <c r="AM119" s="50" t="s">
        <v>736</v>
      </c>
      <c r="AN119" s="50">
        <v>5</v>
      </c>
      <c r="AO119" s="54" t="s">
        <v>748</v>
      </c>
      <c r="AP119" s="57" t="s">
        <v>127</v>
      </c>
      <c r="AQ119" s="58"/>
      <c r="AR119" s="57"/>
    </row>
    <row r="120" spans="1:44" ht="81" customHeight="1" x14ac:dyDescent="0.25">
      <c r="A120" s="43" t="s">
        <v>749</v>
      </c>
      <c r="B120" s="43" t="s">
        <v>750</v>
      </c>
      <c r="C120" s="43" t="s">
        <v>750</v>
      </c>
      <c r="D120" s="44" t="s">
        <v>751</v>
      </c>
      <c r="E120" s="43"/>
      <c r="F120" s="43" t="s">
        <v>729</v>
      </c>
      <c r="G120" s="45"/>
      <c r="H120" s="45">
        <v>46161</v>
      </c>
      <c r="I120" s="43" t="s">
        <v>730</v>
      </c>
      <c r="J120" s="43" t="s">
        <v>731</v>
      </c>
      <c r="K120" s="43" t="str">
        <f>IF(LEN(D120)=10,"OK","Check")</f>
        <v>OK</v>
      </c>
      <c r="L120" s="43" t="s">
        <v>732</v>
      </c>
      <c r="M120" s="43" t="str">
        <f>IF(L120="Hold","Hold",IF(IFERROR(E120,0)&gt;=200,"High",IF(IFERROR(E120,0)&gt;=100,"Medium","Normal")))</f>
        <v>Hold</v>
      </c>
      <c r="N120" s="43" t="s">
        <v>90</v>
      </c>
      <c r="O120" s="43" t="s">
        <v>91</v>
      </c>
      <c r="P120" s="43" t="s">
        <v>92</v>
      </c>
      <c r="Q120" s="17" t="s">
        <v>93</v>
      </c>
      <c r="R120" s="45"/>
      <c r="S120" s="43"/>
      <c r="T120" s="43" t="s">
        <v>31</v>
      </c>
      <c r="U120" s="43" t="s">
        <v>94</v>
      </c>
      <c r="V120" s="43" t="s">
        <v>94</v>
      </c>
      <c r="W120" s="43" t="s">
        <v>95</v>
      </c>
      <c r="X120" s="45" t="str">
        <f>IF(AND(R120&lt;&gt;"",OR(U120="No reply",U120="Unknown")),R120+2,"")</f>
        <v/>
      </c>
      <c r="Y120" s="45"/>
      <c r="Z120" s="43" t="s">
        <v>96</v>
      </c>
      <c r="AA120" s="43" t="str">
        <f>IF(L120="Hold","Do not send",IF(T120="Not sent","Send WhatsApp",IF(U120="Demo booked","Prepare demo",IF(W120="Booked","Prepare demo",IF(AND(X120&lt;&gt;"",Y120=""),"Send follow-up","Review")))))</f>
        <v>Do not send</v>
      </c>
      <c r="AB120" s="43"/>
      <c r="AC120" s="43" t="s">
        <v>733</v>
      </c>
      <c r="AD120" s="43">
        <f>IF(AA120="Prepare demo",1,IF(AA120="Send follow-up",2,IF(AA120="Send WhatsApp",3,IF(AA120="Review",4,IF(AA120="Do not send",9,5)))))</f>
        <v>9</v>
      </c>
      <c r="AE120" s="43">
        <f>IF(M120="High",1,IF(M120="Medium",2,IF(M120="Normal",3,IF(M120="Hold",9,4))))</f>
        <v>9</v>
      </c>
      <c r="AF120" s="43">
        <f>IF(T120="Read",1,IF(T120="Delivered",2,IF(T120="Sent",3,IF(T120="Not sent",4,IF(T120="Failed",9,5)))))</f>
        <v>4</v>
      </c>
      <c r="AG120" s="43">
        <f>IF(U120="Demo booked",1,IF(U120="Interested",2,IF(U120="Replied",3,IF(U120="No reply",5,IF(U120="Not interested",8,IF(U120="Bad number",9,6))))))</f>
        <v>6</v>
      </c>
      <c r="AH120" s="46">
        <f>AD120*1000+AN120*100+AE120*10+AG120</f>
        <v>9596</v>
      </c>
      <c r="AI120" s="45">
        <f>MAX(IF(R120="",0,R120),IF(Y120="",0,Y120))</f>
        <v>0</v>
      </c>
      <c r="AJ120" s="43" t="str">
        <f ca="1">IF(AND(X120&lt;&gt;"",Y120="",X120&lt;TODAY()),"Overdue",IF(AND(X120&lt;&gt;"",Y120="",X120=TODAY()),"Due today",IF(Y120&lt;&gt;"","Follow-up sent","")))</f>
        <v/>
      </c>
      <c r="AK120" s="50" t="s">
        <v>734</v>
      </c>
      <c r="AL120" s="50" t="s">
        <v>735</v>
      </c>
      <c r="AM120" s="50" t="s">
        <v>736</v>
      </c>
      <c r="AN120" s="50">
        <v>5</v>
      </c>
      <c r="AO120" s="54" t="s">
        <v>752</v>
      </c>
      <c r="AP120" s="57" t="s">
        <v>127</v>
      </c>
      <c r="AQ120" s="58"/>
      <c r="AR120" s="57"/>
    </row>
    <row r="121" spans="1:44" ht="81" customHeight="1" x14ac:dyDescent="0.25">
      <c r="A121" s="43" t="s">
        <v>753</v>
      </c>
      <c r="B121" s="43" t="s">
        <v>754</v>
      </c>
      <c r="C121" s="43" t="s">
        <v>754</v>
      </c>
      <c r="D121" s="44" t="s">
        <v>755</v>
      </c>
      <c r="E121" s="43"/>
      <c r="F121" s="43" t="s">
        <v>729</v>
      </c>
      <c r="G121" s="45"/>
      <c r="H121" s="45">
        <v>46161</v>
      </c>
      <c r="I121" s="43" t="s">
        <v>730</v>
      </c>
      <c r="J121" s="43" t="s">
        <v>731</v>
      </c>
      <c r="K121" s="43" t="str">
        <f>IF(LEN(D121)=10,"OK","Check")</f>
        <v>OK</v>
      </c>
      <c r="L121" s="43" t="s">
        <v>732</v>
      </c>
      <c r="M121" s="43" t="str">
        <f>IF(L121="Hold","Hold",IF(IFERROR(E121,0)&gt;=200,"High",IF(IFERROR(E121,0)&gt;=100,"Medium","Normal")))</f>
        <v>Hold</v>
      </c>
      <c r="N121" s="43" t="s">
        <v>90</v>
      </c>
      <c r="O121" s="43" t="s">
        <v>91</v>
      </c>
      <c r="P121" s="43" t="s">
        <v>92</v>
      </c>
      <c r="Q121" s="17" t="s">
        <v>93</v>
      </c>
      <c r="R121" s="45"/>
      <c r="S121" s="43"/>
      <c r="T121" s="43" t="s">
        <v>31</v>
      </c>
      <c r="U121" s="43" t="s">
        <v>94</v>
      </c>
      <c r="V121" s="43" t="s">
        <v>94</v>
      </c>
      <c r="W121" s="43" t="s">
        <v>95</v>
      </c>
      <c r="X121" s="45" t="str">
        <f>IF(AND(R121&lt;&gt;"",OR(U121="No reply",U121="Unknown")),R121+2,"")</f>
        <v/>
      </c>
      <c r="Y121" s="45"/>
      <c r="Z121" s="43" t="s">
        <v>96</v>
      </c>
      <c r="AA121" s="43" t="str">
        <f>IF(L121="Hold","Do not send",IF(T121="Not sent","Send WhatsApp",IF(U121="Demo booked","Prepare demo",IF(W121="Booked","Prepare demo",IF(AND(X121&lt;&gt;"",Y121=""),"Send follow-up","Review")))))</f>
        <v>Do not send</v>
      </c>
      <c r="AB121" s="43"/>
      <c r="AC121" s="43" t="s">
        <v>733</v>
      </c>
      <c r="AD121" s="43">
        <f>IF(AA121="Prepare demo",1,IF(AA121="Send follow-up",2,IF(AA121="Send WhatsApp",3,IF(AA121="Review",4,IF(AA121="Do not send",9,5)))))</f>
        <v>9</v>
      </c>
      <c r="AE121" s="43">
        <f>IF(M121="High",1,IF(M121="Medium",2,IF(M121="Normal",3,IF(M121="Hold",9,4))))</f>
        <v>9</v>
      </c>
      <c r="AF121" s="43">
        <f>IF(T121="Read",1,IF(T121="Delivered",2,IF(T121="Sent",3,IF(T121="Not sent",4,IF(T121="Failed",9,5)))))</f>
        <v>4</v>
      </c>
      <c r="AG121" s="43">
        <f>IF(U121="Demo booked",1,IF(U121="Interested",2,IF(U121="Replied",3,IF(U121="No reply",5,IF(U121="Not interested",8,IF(U121="Bad number",9,6))))))</f>
        <v>6</v>
      </c>
      <c r="AH121" s="46">
        <f>AD121*1000+AN121*100+AE121*10+AG121</f>
        <v>9596</v>
      </c>
      <c r="AI121" s="45">
        <f>MAX(IF(R121="",0,R121),IF(Y121="",0,Y121))</f>
        <v>0</v>
      </c>
      <c r="AJ121" s="43" t="str">
        <f ca="1">IF(AND(X121&lt;&gt;"",Y121="",X121&lt;TODAY()),"Overdue",IF(AND(X121&lt;&gt;"",Y121="",X121=TODAY()),"Due today",IF(Y121&lt;&gt;"","Follow-up sent","")))</f>
        <v/>
      </c>
      <c r="AK121" s="50" t="s">
        <v>734</v>
      </c>
      <c r="AL121" s="50" t="s">
        <v>735</v>
      </c>
      <c r="AM121" s="50" t="s">
        <v>736</v>
      </c>
      <c r="AN121" s="50">
        <v>5</v>
      </c>
      <c r="AO121" s="54" t="s">
        <v>756</v>
      </c>
      <c r="AP121" s="57" t="s">
        <v>127</v>
      </c>
      <c r="AQ121" s="58"/>
      <c r="AR121" s="57"/>
    </row>
    <row r="122" spans="1:44" ht="121.5" customHeight="1" x14ac:dyDescent="0.25">
      <c r="A122" s="43" t="s">
        <v>757</v>
      </c>
      <c r="B122" s="43" t="s">
        <v>758</v>
      </c>
      <c r="C122" s="43" t="s">
        <v>758</v>
      </c>
      <c r="D122" s="44" t="s">
        <v>759</v>
      </c>
      <c r="E122" s="43"/>
      <c r="F122" s="43" t="s">
        <v>729</v>
      </c>
      <c r="G122" s="45"/>
      <c r="H122" s="45">
        <v>46161</v>
      </c>
      <c r="I122" s="43" t="s">
        <v>730</v>
      </c>
      <c r="J122" s="43" t="s">
        <v>731</v>
      </c>
      <c r="K122" s="43" t="str">
        <f>IF(LEN(D122)=10,"OK","Check")</f>
        <v>OK</v>
      </c>
      <c r="L122" s="43" t="s">
        <v>732</v>
      </c>
      <c r="M122" s="43" t="str">
        <f>IF(L122="Hold","Hold",IF(IFERROR(E122,0)&gt;=200,"High",IF(IFERROR(E122,0)&gt;=100,"Medium","Normal")))</f>
        <v>Hold</v>
      </c>
      <c r="N122" s="43" t="s">
        <v>90</v>
      </c>
      <c r="O122" s="43" t="s">
        <v>91</v>
      </c>
      <c r="P122" s="43" t="s">
        <v>92</v>
      </c>
      <c r="Q122" s="17" t="s">
        <v>93</v>
      </c>
      <c r="R122" s="45"/>
      <c r="S122" s="43"/>
      <c r="T122" s="43" t="s">
        <v>31</v>
      </c>
      <c r="U122" s="43" t="s">
        <v>94</v>
      </c>
      <c r="V122" s="43" t="s">
        <v>94</v>
      </c>
      <c r="W122" s="43" t="s">
        <v>95</v>
      </c>
      <c r="X122" s="45" t="str">
        <f>IF(AND(R122&lt;&gt;"",OR(U122="No reply",U122="Unknown")),R122+2,"")</f>
        <v/>
      </c>
      <c r="Y122" s="45"/>
      <c r="Z122" s="43" t="s">
        <v>96</v>
      </c>
      <c r="AA122" s="43" t="str">
        <f>IF(L122="Hold","Do not send",IF(T122="Not sent","Send WhatsApp",IF(U122="Demo booked","Prepare demo",IF(W122="Booked","Prepare demo",IF(AND(X122&lt;&gt;"",Y122=""),"Send follow-up","Review")))))</f>
        <v>Do not send</v>
      </c>
      <c r="AB122" s="43"/>
      <c r="AC122" s="43" t="s">
        <v>733</v>
      </c>
      <c r="AD122" s="43">
        <f>IF(AA122="Prepare demo",1,IF(AA122="Send follow-up",2,IF(AA122="Send WhatsApp",3,IF(AA122="Review",4,IF(AA122="Do not send",9,5)))))</f>
        <v>9</v>
      </c>
      <c r="AE122" s="43">
        <f>IF(M122="High",1,IF(M122="Medium",2,IF(M122="Normal",3,IF(M122="Hold",9,4))))</f>
        <v>9</v>
      </c>
      <c r="AF122" s="43">
        <f>IF(T122="Read",1,IF(T122="Delivered",2,IF(T122="Sent",3,IF(T122="Not sent",4,IF(T122="Failed",9,5)))))</f>
        <v>4</v>
      </c>
      <c r="AG122" s="43">
        <f>IF(U122="Demo booked",1,IF(U122="Interested",2,IF(U122="Replied",3,IF(U122="No reply",5,IF(U122="Not interested",8,IF(U122="Bad number",9,6))))))</f>
        <v>6</v>
      </c>
      <c r="AH122" s="46">
        <f>AD122*1000+AN122*100+AE122*10+AG122</f>
        <v>9596</v>
      </c>
      <c r="AI122" s="45">
        <f>MAX(IF(R122="",0,R122),IF(Y122="",0,Y122))</f>
        <v>0</v>
      </c>
      <c r="AJ122" s="43" t="str">
        <f ca="1">IF(AND(X122&lt;&gt;"",Y122="",X122&lt;TODAY()),"Overdue",IF(AND(X122&lt;&gt;"",Y122="",X122=TODAY()),"Due today",IF(Y122&lt;&gt;"","Follow-up sent","")))</f>
        <v/>
      </c>
      <c r="AK122" s="50" t="s">
        <v>734</v>
      </c>
      <c r="AL122" s="50" t="s">
        <v>735</v>
      </c>
      <c r="AM122" s="50" t="s">
        <v>736</v>
      </c>
      <c r="AN122" s="50">
        <v>5</v>
      </c>
      <c r="AO122" s="54" t="s">
        <v>760</v>
      </c>
      <c r="AP122" s="57" t="s">
        <v>127</v>
      </c>
      <c r="AQ122" s="58"/>
      <c r="AR122" s="57"/>
    </row>
    <row r="123" spans="1:44" ht="81" customHeight="1" x14ac:dyDescent="0.25">
      <c r="A123" s="43" t="s">
        <v>761</v>
      </c>
      <c r="B123" s="43" t="s">
        <v>762</v>
      </c>
      <c r="C123" s="43" t="s">
        <v>762</v>
      </c>
      <c r="D123" s="44" t="s">
        <v>763</v>
      </c>
      <c r="E123" s="43"/>
      <c r="F123" s="43" t="s">
        <v>729</v>
      </c>
      <c r="G123" s="45"/>
      <c r="H123" s="45">
        <v>46161</v>
      </c>
      <c r="I123" s="43" t="s">
        <v>730</v>
      </c>
      <c r="J123" s="43" t="s">
        <v>731</v>
      </c>
      <c r="K123" s="43" t="str">
        <f>IF(LEN(D123)=10,"OK","Check")</f>
        <v>OK</v>
      </c>
      <c r="L123" s="43" t="s">
        <v>732</v>
      </c>
      <c r="M123" s="43" t="str">
        <f>IF(L123="Hold","Hold",IF(IFERROR(E123,0)&gt;=200,"High",IF(IFERROR(E123,0)&gt;=100,"Medium","Normal")))</f>
        <v>Hold</v>
      </c>
      <c r="N123" s="43" t="s">
        <v>90</v>
      </c>
      <c r="O123" s="43" t="s">
        <v>91</v>
      </c>
      <c r="P123" s="43" t="s">
        <v>92</v>
      </c>
      <c r="Q123" s="17" t="s">
        <v>93</v>
      </c>
      <c r="R123" s="45"/>
      <c r="S123" s="43"/>
      <c r="T123" s="43" t="s">
        <v>31</v>
      </c>
      <c r="U123" s="43" t="s">
        <v>94</v>
      </c>
      <c r="V123" s="43" t="s">
        <v>94</v>
      </c>
      <c r="W123" s="43" t="s">
        <v>95</v>
      </c>
      <c r="X123" s="45" t="str">
        <f>IF(AND(R123&lt;&gt;"",OR(U123="No reply",U123="Unknown")),R123+2,"")</f>
        <v/>
      </c>
      <c r="Y123" s="45"/>
      <c r="Z123" s="43" t="s">
        <v>96</v>
      </c>
      <c r="AA123" s="43" t="str">
        <f>IF(L123="Hold","Do not send",IF(T123="Not sent","Send WhatsApp",IF(U123="Demo booked","Prepare demo",IF(W123="Booked","Prepare demo",IF(AND(X123&lt;&gt;"",Y123=""),"Send follow-up","Review")))))</f>
        <v>Do not send</v>
      </c>
      <c r="AB123" s="43"/>
      <c r="AC123" s="43" t="s">
        <v>733</v>
      </c>
      <c r="AD123" s="43">
        <f>IF(AA123="Prepare demo",1,IF(AA123="Send follow-up",2,IF(AA123="Send WhatsApp",3,IF(AA123="Review",4,IF(AA123="Do not send",9,5)))))</f>
        <v>9</v>
      </c>
      <c r="AE123" s="43">
        <f>IF(M123="High",1,IF(M123="Medium",2,IF(M123="Normal",3,IF(M123="Hold",9,4))))</f>
        <v>9</v>
      </c>
      <c r="AF123" s="43">
        <f>IF(T123="Read",1,IF(T123="Delivered",2,IF(T123="Sent",3,IF(T123="Not sent",4,IF(T123="Failed",9,5)))))</f>
        <v>4</v>
      </c>
      <c r="AG123" s="43">
        <f>IF(U123="Demo booked",1,IF(U123="Interested",2,IF(U123="Replied",3,IF(U123="No reply",5,IF(U123="Not interested",8,IF(U123="Bad number",9,6))))))</f>
        <v>6</v>
      </c>
      <c r="AH123" s="46">
        <f>AD123*1000+AN123*100+AE123*10+AG123</f>
        <v>9596</v>
      </c>
      <c r="AI123" s="45">
        <f>MAX(IF(R123="",0,R123),IF(Y123="",0,Y123))</f>
        <v>0</v>
      </c>
      <c r="AJ123" s="43" t="str">
        <f ca="1">IF(AND(X123&lt;&gt;"",Y123="",X123&lt;TODAY()),"Overdue",IF(AND(X123&lt;&gt;"",Y123="",X123=TODAY()),"Due today",IF(Y123&lt;&gt;"","Follow-up sent","")))</f>
        <v/>
      </c>
      <c r="AK123" s="50" t="s">
        <v>734</v>
      </c>
      <c r="AL123" s="50" t="s">
        <v>735</v>
      </c>
      <c r="AM123" s="50" t="s">
        <v>736</v>
      </c>
      <c r="AN123" s="50">
        <v>5</v>
      </c>
      <c r="AO123" s="54" t="s">
        <v>764</v>
      </c>
      <c r="AP123" s="57" t="s">
        <v>127</v>
      </c>
      <c r="AQ123" s="58"/>
      <c r="AR123" s="57"/>
    </row>
    <row r="124" spans="1:44" ht="81" customHeight="1" x14ac:dyDescent="0.25">
      <c r="A124" s="43" t="s">
        <v>765</v>
      </c>
      <c r="B124" s="43" t="s">
        <v>766</v>
      </c>
      <c r="C124" s="43" t="s">
        <v>766</v>
      </c>
      <c r="D124" s="44" t="s">
        <v>767</v>
      </c>
      <c r="E124" s="43"/>
      <c r="F124" s="43" t="s">
        <v>729</v>
      </c>
      <c r="G124" s="45"/>
      <c r="H124" s="45">
        <v>46161</v>
      </c>
      <c r="I124" s="43" t="s">
        <v>730</v>
      </c>
      <c r="J124" s="43" t="s">
        <v>731</v>
      </c>
      <c r="K124" s="43" t="str">
        <f>IF(LEN(D124)=10,"OK","Check")</f>
        <v>OK</v>
      </c>
      <c r="L124" s="43" t="s">
        <v>732</v>
      </c>
      <c r="M124" s="43" t="str">
        <f>IF(L124="Hold","Hold",IF(IFERROR(E124,0)&gt;=200,"High",IF(IFERROR(E124,0)&gt;=100,"Medium","Normal")))</f>
        <v>Hold</v>
      </c>
      <c r="N124" s="43" t="s">
        <v>90</v>
      </c>
      <c r="O124" s="43" t="s">
        <v>91</v>
      </c>
      <c r="P124" s="43" t="s">
        <v>92</v>
      </c>
      <c r="Q124" s="17" t="s">
        <v>93</v>
      </c>
      <c r="R124" s="45"/>
      <c r="S124" s="43"/>
      <c r="T124" s="43" t="s">
        <v>31</v>
      </c>
      <c r="U124" s="43" t="s">
        <v>94</v>
      </c>
      <c r="V124" s="43" t="s">
        <v>94</v>
      </c>
      <c r="W124" s="43" t="s">
        <v>95</v>
      </c>
      <c r="X124" s="45" t="str">
        <f>IF(AND(R124&lt;&gt;"",OR(U124="No reply",U124="Unknown")),R124+2,"")</f>
        <v/>
      </c>
      <c r="Y124" s="45"/>
      <c r="Z124" s="43" t="s">
        <v>96</v>
      </c>
      <c r="AA124" s="43" t="str">
        <f>IF(L124="Hold","Do not send",IF(T124="Not sent","Send WhatsApp",IF(U124="Demo booked","Prepare demo",IF(W124="Booked","Prepare demo",IF(AND(X124&lt;&gt;"",Y124=""),"Send follow-up","Review")))))</f>
        <v>Do not send</v>
      </c>
      <c r="AB124" s="43"/>
      <c r="AC124" s="43" t="s">
        <v>733</v>
      </c>
      <c r="AD124" s="43">
        <f>IF(AA124="Prepare demo",1,IF(AA124="Send follow-up",2,IF(AA124="Send WhatsApp",3,IF(AA124="Review",4,IF(AA124="Do not send",9,5)))))</f>
        <v>9</v>
      </c>
      <c r="AE124" s="43">
        <f>IF(M124="High",1,IF(M124="Medium",2,IF(M124="Normal",3,IF(M124="Hold",9,4))))</f>
        <v>9</v>
      </c>
      <c r="AF124" s="43">
        <f>IF(T124="Read",1,IF(T124="Delivered",2,IF(T124="Sent",3,IF(T124="Not sent",4,IF(T124="Failed",9,5)))))</f>
        <v>4</v>
      </c>
      <c r="AG124" s="43">
        <f>IF(U124="Demo booked",1,IF(U124="Interested",2,IF(U124="Replied",3,IF(U124="No reply",5,IF(U124="Not interested",8,IF(U124="Bad number",9,6))))))</f>
        <v>6</v>
      </c>
      <c r="AH124" s="46">
        <f>AD124*1000+AN124*100+AE124*10+AG124</f>
        <v>9596</v>
      </c>
      <c r="AI124" s="45">
        <f>MAX(IF(R124="",0,R124),IF(Y124="",0,Y124))</f>
        <v>0</v>
      </c>
      <c r="AJ124" s="43" t="str">
        <f ca="1">IF(AND(X124&lt;&gt;"",Y124="",X124&lt;TODAY()),"Overdue",IF(AND(X124&lt;&gt;"",Y124="",X124=TODAY()),"Due today",IF(Y124&lt;&gt;"","Follow-up sent","")))</f>
        <v/>
      </c>
      <c r="AK124" s="50" t="s">
        <v>734</v>
      </c>
      <c r="AL124" s="50" t="s">
        <v>735</v>
      </c>
      <c r="AM124" s="50" t="s">
        <v>736</v>
      </c>
      <c r="AN124" s="50">
        <v>5</v>
      </c>
      <c r="AO124" s="54" t="s">
        <v>768</v>
      </c>
      <c r="AP124" s="57" t="s">
        <v>127</v>
      </c>
      <c r="AQ124" s="58"/>
      <c r="AR124" s="57"/>
    </row>
    <row r="125" spans="1:44" ht="121.5" customHeight="1" x14ac:dyDescent="0.25">
      <c r="A125" s="43" t="s">
        <v>769</v>
      </c>
      <c r="B125" s="43" t="s">
        <v>770</v>
      </c>
      <c r="C125" s="43" t="s">
        <v>770</v>
      </c>
      <c r="D125" s="44" t="s">
        <v>771</v>
      </c>
      <c r="E125" s="43"/>
      <c r="F125" s="43" t="s">
        <v>729</v>
      </c>
      <c r="G125" s="45"/>
      <c r="H125" s="45">
        <v>46161</v>
      </c>
      <c r="I125" s="43" t="s">
        <v>730</v>
      </c>
      <c r="J125" s="43" t="s">
        <v>731</v>
      </c>
      <c r="K125" s="43" t="str">
        <f>IF(LEN(D125)=10,"OK","Check")</f>
        <v>OK</v>
      </c>
      <c r="L125" s="43" t="s">
        <v>732</v>
      </c>
      <c r="M125" s="43" t="str">
        <f>IF(L125="Hold","Hold",IF(IFERROR(E125,0)&gt;=200,"High",IF(IFERROR(E125,0)&gt;=100,"Medium","Normal")))</f>
        <v>Hold</v>
      </c>
      <c r="N125" s="43" t="s">
        <v>90</v>
      </c>
      <c r="O125" s="43" t="s">
        <v>91</v>
      </c>
      <c r="P125" s="43" t="s">
        <v>92</v>
      </c>
      <c r="Q125" s="17" t="s">
        <v>93</v>
      </c>
      <c r="R125" s="45"/>
      <c r="S125" s="43"/>
      <c r="T125" s="43" t="s">
        <v>31</v>
      </c>
      <c r="U125" s="43" t="s">
        <v>94</v>
      </c>
      <c r="V125" s="43" t="s">
        <v>94</v>
      </c>
      <c r="W125" s="43" t="s">
        <v>95</v>
      </c>
      <c r="X125" s="45" t="str">
        <f>IF(AND(R125&lt;&gt;"",OR(U125="No reply",U125="Unknown")),R125+2,"")</f>
        <v/>
      </c>
      <c r="Y125" s="45"/>
      <c r="Z125" s="43" t="s">
        <v>96</v>
      </c>
      <c r="AA125" s="43" t="str">
        <f>IF(L125="Hold","Do not send",IF(T125="Not sent","Send WhatsApp",IF(U125="Demo booked","Prepare demo",IF(W125="Booked","Prepare demo",IF(AND(X125&lt;&gt;"",Y125=""),"Send follow-up","Review")))))</f>
        <v>Do not send</v>
      </c>
      <c r="AB125" s="43"/>
      <c r="AC125" s="43" t="s">
        <v>733</v>
      </c>
      <c r="AD125" s="43">
        <f>IF(AA125="Prepare demo",1,IF(AA125="Send follow-up",2,IF(AA125="Send WhatsApp",3,IF(AA125="Review",4,IF(AA125="Do not send",9,5)))))</f>
        <v>9</v>
      </c>
      <c r="AE125" s="43">
        <f>IF(M125="High",1,IF(M125="Medium",2,IF(M125="Normal",3,IF(M125="Hold",9,4))))</f>
        <v>9</v>
      </c>
      <c r="AF125" s="43">
        <f>IF(T125="Read",1,IF(T125="Delivered",2,IF(T125="Sent",3,IF(T125="Not sent",4,IF(T125="Failed",9,5)))))</f>
        <v>4</v>
      </c>
      <c r="AG125" s="43">
        <f>IF(U125="Demo booked",1,IF(U125="Interested",2,IF(U125="Replied",3,IF(U125="No reply",5,IF(U125="Not interested",8,IF(U125="Bad number",9,6))))))</f>
        <v>6</v>
      </c>
      <c r="AH125" s="46">
        <f>AD125*1000+AN125*100+AE125*10+AG125</f>
        <v>9596</v>
      </c>
      <c r="AI125" s="45">
        <f>MAX(IF(R125="",0,R125),IF(Y125="",0,Y125))</f>
        <v>0</v>
      </c>
      <c r="AJ125" s="43" t="str">
        <f ca="1">IF(AND(X125&lt;&gt;"",Y125="",X125&lt;TODAY()),"Overdue",IF(AND(X125&lt;&gt;"",Y125="",X125=TODAY()),"Due today",IF(Y125&lt;&gt;"","Follow-up sent","")))</f>
        <v/>
      </c>
      <c r="AK125" s="50" t="s">
        <v>734</v>
      </c>
      <c r="AL125" s="50" t="s">
        <v>735</v>
      </c>
      <c r="AM125" s="50" t="s">
        <v>736</v>
      </c>
      <c r="AN125" s="50">
        <v>5</v>
      </c>
      <c r="AO125" s="54" t="s">
        <v>772</v>
      </c>
      <c r="AP125" s="57" t="s">
        <v>127</v>
      </c>
      <c r="AQ125" s="58"/>
      <c r="AR125" s="57"/>
    </row>
    <row r="126" spans="1:44" ht="81" customHeight="1" x14ac:dyDescent="0.25">
      <c r="A126" s="43" t="s">
        <v>773</v>
      </c>
      <c r="B126" s="43" t="s">
        <v>774</v>
      </c>
      <c r="C126" s="43" t="s">
        <v>774</v>
      </c>
      <c r="D126" s="44" t="s">
        <v>775</v>
      </c>
      <c r="E126" s="43"/>
      <c r="F126" s="43" t="s">
        <v>729</v>
      </c>
      <c r="G126" s="45"/>
      <c r="H126" s="45">
        <v>46161</v>
      </c>
      <c r="I126" s="43" t="s">
        <v>730</v>
      </c>
      <c r="J126" s="43" t="s">
        <v>731</v>
      </c>
      <c r="K126" s="43" t="str">
        <f>IF(LEN(D126)=10,"OK","Check")</f>
        <v>OK</v>
      </c>
      <c r="L126" s="43" t="s">
        <v>732</v>
      </c>
      <c r="M126" s="43" t="str">
        <f>IF(L126="Hold","Hold",IF(IFERROR(E126,0)&gt;=200,"High",IF(IFERROR(E126,0)&gt;=100,"Medium","Normal")))</f>
        <v>Hold</v>
      </c>
      <c r="N126" s="43" t="s">
        <v>90</v>
      </c>
      <c r="O126" s="43" t="s">
        <v>91</v>
      </c>
      <c r="P126" s="43" t="s">
        <v>92</v>
      </c>
      <c r="Q126" s="17" t="s">
        <v>93</v>
      </c>
      <c r="R126" s="45"/>
      <c r="S126" s="43"/>
      <c r="T126" s="43" t="s">
        <v>31</v>
      </c>
      <c r="U126" s="43" t="s">
        <v>94</v>
      </c>
      <c r="V126" s="43" t="s">
        <v>94</v>
      </c>
      <c r="W126" s="43" t="s">
        <v>95</v>
      </c>
      <c r="X126" s="45" t="str">
        <f>IF(AND(R126&lt;&gt;"",OR(U126="No reply",U126="Unknown")),R126+2,"")</f>
        <v/>
      </c>
      <c r="Y126" s="45"/>
      <c r="Z126" s="43" t="s">
        <v>96</v>
      </c>
      <c r="AA126" s="43" t="str">
        <f>IF(L126="Hold","Do not send",IF(T126="Not sent","Send WhatsApp",IF(U126="Demo booked","Prepare demo",IF(W126="Booked","Prepare demo",IF(AND(X126&lt;&gt;"",Y126=""),"Send follow-up","Review")))))</f>
        <v>Do not send</v>
      </c>
      <c r="AB126" s="43"/>
      <c r="AC126" s="43" t="s">
        <v>733</v>
      </c>
      <c r="AD126" s="43">
        <f>IF(AA126="Prepare demo",1,IF(AA126="Send follow-up",2,IF(AA126="Send WhatsApp",3,IF(AA126="Review",4,IF(AA126="Do not send",9,5)))))</f>
        <v>9</v>
      </c>
      <c r="AE126" s="43">
        <f>IF(M126="High",1,IF(M126="Medium",2,IF(M126="Normal",3,IF(M126="Hold",9,4))))</f>
        <v>9</v>
      </c>
      <c r="AF126" s="43">
        <f>IF(T126="Read",1,IF(T126="Delivered",2,IF(T126="Sent",3,IF(T126="Not sent",4,IF(T126="Failed",9,5)))))</f>
        <v>4</v>
      </c>
      <c r="AG126" s="43">
        <f>IF(U126="Demo booked",1,IF(U126="Interested",2,IF(U126="Replied",3,IF(U126="No reply",5,IF(U126="Not interested",8,IF(U126="Bad number",9,6))))))</f>
        <v>6</v>
      </c>
      <c r="AH126" s="46">
        <f>AD126*1000+AN126*100+AE126*10+AG126</f>
        <v>9596</v>
      </c>
      <c r="AI126" s="45">
        <f>MAX(IF(R126="",0,R126),IF(Y126="",0,Y126))</f>
        <v>0</v>
      </c>
      <c r="AJ126" s="43" t="str">
        <f ca="1">IF(AND(X126&lt;&gt;"",Y126="",X126&lt;TODAY()),"Overdue",IF(AND(X126&lt;&gt;"",Y126="",X126=TODAY()),"Due today",IF(Y126&lt;&gt;"","Follow-up sent","")))</f>
        <v/>
      </c>
      <c r="AK126" s="50" t="s">
        <v>734</v>
      </c>
      <c r="AL126" s="50" t="s">
        <v>735</v>
      </c>
      <c r="AM126" s="50" t="s">
        <v>736</v>
      </c>
      <c r="AN126" s="50">
        <v>5</v>
      </c>
      <c r="AO126" s="54" t="s">
        <v>776</v>
      </c>
      <c r="AP126" s="57" t="s">
        <v>127</v>
      </c>
      <c r="AQ126" s="58"/>
      <c r="AR126" s="57"/>
    </row>
    <row r="127" spans="1:44" ht="108" customHeight="1" x14ac:dyDescent="0.25">
      <c r="A127" s="43" t="s">
        <v>777</v>
      </c>
      <c r="B127" s="43" t="s">
        <v>778</v>
      </c>
      <c r="C127" s="43" t="s">
        <v>778</v>
      </c>
      <c r="D127" s="44" t="s">
        <v>779</v>
      </c>
      <c r="E127" s="43"/>
      <c r="F127" s="43" t="s">
        <v>729</v>
      </c>
      <c r="G127" s="45"/>
      <c r="H127" s="45">
        <v>46161</v>
      </c>
      <c r="I127" s="43" t="s">
        <v>730</v>
      </c>
      <c r="J127" s="43" t="s">
        <v>731</v>
      </c>
      <c r="K127" s="43" t="str">
        <f>IF(LEN(D127)=10,"OK","Check")</f>
        <v>OK</v>
      </c>
      <c r="L127" s="43" t="s">
        <v>732</v>
      </c>
      <c r="M127" s="43" t="str">
        <f>IF(L127="Hold","Hold",IF(IFERROR(E127,0)&gt;=200,"High",IF(IFERROR(E127,0)&gt;=100,"Medium","Normal")))</f>
        <v>Hold</v>
      </c>
      <c r="N127" s="43" t="s">
        <v>90</v>
      </c>
      <c r="O127" s="43" t="s">
        <v>91</v>
      </c>
      <c r="P127" s="43" t="s">
        <v>92</v>
      </c>
      <c r="Q127" s="17" t="s">
        <v>93</v>
      </c>
      <c r="R127" s="45"/>
      <c r="S127" s="43"/>
      <c r="T127" s="43" t="s">
        <v>31</v>
      </c>
      <c r="U127" s="43" t="s">
        <v>94</v>
      </c>
      <c r="V127" s="43" t="s">
        <v>94</v>
      </c>
      <c r="W127" s="43" t="s">
        <v>95</v>
      </c>
      <c r="X127" s="45" t="str">
        <f>IF(AND(R127&lt;&gt;"",OR(U127="No reply",U127="Unknown")),R127+2,"")</f>
        <v/>
      </c>
      <c r="Y127" s="45"/>
      <c r="Z127" s="43" t="s">
        <v>96</v>
      </c>
      <c r="AA127" s="43" t="str">
        <f>IF(L127="Hold","Do not send",IF(T127="Not sent","Send WhatsApp",IF(U127="Demo booked","Prepare demo",IF(W127="Booked","Prepare demo",IF(AND(X127&lt;&gt;"",Y127=""),"Send follow-up","Review")))))</f>
        <v>Do not send</v>
      </c>
      <c r="AB127" s="43"/>
      <c r="AC127" s="43" t="s">
        <v>733</v>
      </c>
      <c r="AD127" s="43">
        <f>IF(AA127="Prepare demo",1,IF(AA127="Send follow-up",2,IF(AA127="Send WhatsApp",3,IF(AA127="Review",4,IF(AA127="Do not send",9,5)))))</f>
        <v>9</v>
      </c>
      <c r="AE127" s="43">
        <f>IF(M127="High",1,IF(M127="Medium",2,IF(M127="Normal",3,IF(M127="Hold",9,4))))</f>
        <v>9</v>
      </c>
      <c r="AF127" s="43">
        <f>IF(T127="Read",1,IF(T127="Delivered",2,IF(T127="Sent",3,IF(T127="Not sent",4,IF(T127="Failed",9,5)))))</f>
        <v>4</v>
      </c>
      <c r="AG127" s="43">
        <f>IF(U127="Demo booked",1,IF(U127="Interested",2,IF(U127="Replied",3,IF(U127="No reply",5,IF(U127="Not interested",8,IF(U127="Bad number",9,6))))))</f>
        <v>6</v>
      </c>
      <c r="AH127" s="46">
        <f>AD127*1000+AN127*100+AE127*10+AG127</f>
        <v>9596</v>
      </c>
      <c r="AI127" s="45">
        <f>MAX(IF(R127="",0,R127),IF(Y127="",0,Y127))</f>
        <v>0</v>
      </c>
      <c r="AJ127" s="43" t="str">
        <f ca="1">IF(AND(X127&lt;&gt;"",Y127="",X127&lt;TODAY()),"Overdue",IF(AND(X127&lt;&gt;"",Y127="",X127=TODAY()),"Due today",IF(Y127&lt;&gt;"","Follow-up sent","")))</f>
        <v/>
      </c>
      <c r="AK127" s="50" t="s">
        <v>734</v>
      </c>
      <c r="AL127" s="50" t="s">
        <v>735</v>
      </c>
      <c r="AM127" s="50" t="s">
        <v>736</v>
      </c>
      <c r="AN127" s="50">
        <v>5</v>
      </c>
      <c r="AO127" s="54" t="s">
        <v>780</v>
      </c>
      <c r="AP127" s="57" t="s">
        <v>127</v>
      </c>
      <c r="AQ127" s="58"/>
      <c r="AR127" s="57"/>
    </row>
    <row r="128" spans="1:44" ht="121.5" customHeight="1" x14ac:dyDescent="0.25">
      <c r="A128" s="43" t="s">
        <v>781</v>
      </c>
      <c r="B128" s="43" t="s">
        <v>782</v>
      </c>
      <c r="C128" s="43" t="s">
        <v>782</v>
      </c>
      <c r="D128" s="44" t="s">
        <v>783</v>
      </c>
      <c r="E128" s="43"/>
      <c r="F128" s="43" t="s">
        <v>729</v>
      </c>
      <c r="G128" s="45"/>
      <c r="H128" s="45">
        <v>46161</v>
      </c>
      <c r="I128" s="43" t="s">
        <v>730</v>
      </c>
      <c r="J128" s="43" t="s">
        <v>731</v>
      </c>
      <c r="K128" s="43" t="str">
        <f>IF(LEN(D128)=10,"OK","Check")</f>
        <v>OK</v>
      </c>
      <c r="L128" s="43" t="s">
        <v>732</v>
      </c>
      <c r="M128" s="43" t="str">
        <f>IF(L128="Hold","Hold",IF(IFERROR(E128,0)&gt;=200,"High",IF(IFERROR(E128,0)&gt;=100,"Medium","Normal")))</f>
        <v>Hold</v>
      </c>
      <c r="N128" s="43" t="s">
        <v>90</v>
      </c>
      <c r="O128" s="43" t="s">
        <v>91</v>
      </c>
      <c r="P128" s="43" t="s">
        <v>92</v>
      </c>
      <c r="Q128" s="17" t="s">
        <v>93</v>
      </c>
      <c r="R128" s="45"/>
      <c r="S128" s="43"/>
      <c r="T128" s="43" t="s">
        <v>31</v>
      </c>
      <c r="U128" s="43" t="s">
        <v>94</v>
      </c>
      <c r="V128" s="43" t="s">
        <v>94</v>
      </c>
      <c r="W128" s="43" t="s">
        <v>95</v>
      </c>
      <c r="X128" s="45" t="str">
        <f>IF(AND(R128&lt;&gt;"",OR(U128="No reply",U128="Unknown")),R128+2,"")</f>
        <v/>
      </c>
      <c r="Y128" s="45"/>
      <c r="Z128" s="43" t="s">
        <v>96</v>
      </c>
      <c r="AA128" s="43" t="str">
        <f>IF(L128="Hold","Do not send",IF(T128="Not sent","Send WhatsApp",IF(U128="Demo booked","Prepare demo",IF(W128="Booked","Prepare demo",IF(AND(X128&lt;&gt;"",Y128=""),"Send follow-up","Review")))))</f>
        <v>Do not send</v>
      </c>
      <c r="AB128" s="43"/>
      <c r="AC128" s="43" t="s">
        <v>733</v>
      </c>
      <c r="AD128" s="43">
        <f>IF(AA128="Prepare demo",1,IF(AA128="Send follow-up",2,IF(AA128="Send WhatsApp",3,IF(AA128="Review",4,IF(AA128="Do not send",9,5)))))</f>
        <v>9</v>
      </c>
      <c r="AE128" s="43">
        <f>IF(M128="High",1,IF(M128="Medium",2,IF(M128="Normal",3,IF(M128="Hold",9,4))))</f>
        <v>9</v>
      </c>
      <c r="AF128" s="43">
        <f>IF(T128="Read",1,IF(T128="Delivered",2,IF(T128="Sent",3,IF(T128="Not sent",4,IF(T128="Failed",9,5)))))</f>
        <v>4</v>
      </c>
      <c r="AG128" s="43">
        <f>IF(U128="Demo booked",1,IF(U128="Interested",2,IF(U128="Replied",3,IF(U128="No reply",5,IF(U128="Not interested",8,IF(U128="Bad number",9,6))))))</f>
        <v>6</v>
      </c>
      <c r="AH128" s="46">
        <f>AD128*1000+AN128*100+AE128*10+AG128</f>
        <v>9596</v>
      </c>
      <c r="AI128" s="45">
        <f>MAX(IF(R128="",0,R128),IF(Y128="",0,Y128))</f>
        <v>0</v>
      </c>
      <c r="AJ128" s="43" t="str">
        <f ca="1">IF(AND(X128&lt;&gt;"",Y128="",X128&lt;TODAY()),"Overdue",IF(AND(X128&lt;&gt;"",Y128="",X128=TODAY()),"Due today",IF(Y128&lt;&gt;"","Follow-up sent","")))</f>
        <v/>
      </c>
      <c r="AK128" s="50" t="s">
        <v>734</v>
      </c>
      <c r="AL128" s="50" t="s">
        <v>735</v>
      </c>
      <c r="AM128" s="50" t="s">
        <v>736</v>
      </c>
      <c r="AN128" s="50">
        <v>5</v>
      </c>
      <c r="AO128" s="54" t="s">
        <v>784</v>
      </c>
      <c r="AP128" s="57" t="s">
        <v>127</v>
      </c>
      <c r="AQ128" s="58"/>
      <c r="AR128" s="57"/>
    </row>
    <row r="129" spans="1:44" ht="121.5" customHeight="1" x14ac:dyDescent="0.25">
      <c r="A129" s="43" t="s">
        <v>785</v>
      </c>
      <c r="B129" s="43" t="s">
        <v>786</v>
      </c>
      <c r="C129" s="43" t="s">
        <v>786</v>
      </c>
      <c r="D129" s="44" t="s">
        <v>787</v>
      </c>
      <c r="E129" s="43"/>
      <c r="F129" s="43" t="s">
        <v>729</v>
      </c>
      <c r="G129" s="45"/>
      <c r="H129" s="45">
        <v>46161</v>
      </c>
      <c r="I129" s="43" t="s">
        <v>730</v>
      </c>
      <c r="J129" s="43" t="s">
        <v>731</v>
      </c>
      <c r="K129" s="43" t="str">
        <f>IF(LEN(D129)=10,"OK","Check")</f>
        <v>OK</v>
      </c>
      <c r="L129" s="43" t="s">
        <v>732</v>
      </c>
      <c r="M129" s="43" t="str">
        <f>IF(L129="Hold","Hold",IF(IFERROR(E129,0)&gt;=200,"High",IF(IFERROR(E129,0)&gt;=100,"Medium","Normal")))</f>
        <v>Hold</v>
      </c>
      <c r="N129" s="43" t="s">
        <v>90</v>
      </c>
      <c r="O129" s="43" t="s">
        <v>91</v>
      </c>
      <c r="P129" s="43" t="s">
        <v>92</v>
      </c>
      <c r="Q129" s="17" t="s">
        <v>93</v>
      </c>
      <c r="R129" s="45"/>
      <c r="S129" s="43"/>
      <c r="T129" s="43" t="s">
        <v>31</v>
      </c>
      <c r="U129" s="43" t="s">
        <v>94</v>
      </c>
      <c r="V129" s="43" t="s">
        <v>94</v>
      </c>
      <c r="W129" s="43" t="s">
        <v>95</v>
      </c>
      <c r="X129" s="45" t="str">
        <f>IF(AND(R129&lt;&gt;"",OR(U129="No reply",U129="Unknown")),R129+2,"")</f>
        <v/>
      </c>
      <c r="Y129" s="45"/>
      <c r="Z129" s="43" t="s">
        <v>96</v>
      </c>
      <c r="AA129" s="43" t="str">
        <f>IF(L129="Hold","Do not send",IF(T129="Not sent","Send WhatsApp",IF(U129="Demo booked","Prepare demo",IF(W129="Booked","Prepare demo",IF(AND(X129&lt;&gt;"",Y129=""),"Send follow-up","Review")))))</f>
        <v>Do not send</v>
      </c>
      <c r="AB129" s="43"/>
      <c r="AC129" s="43" t="s">
        <v>733</v>
      </c>
      <c r="AD129" s="43">
        <f>IF(AA129="Prepare demo",1,IF(AA129="Send follow-up",2,IF(AA129="Send WhatsApp",3,IF(AA129="Review",4,IF(AA129="Do not send",9,5)))))</f>
        <v>9</v>
      </c>
      <c r="AE129" s="43">
        <f>IF(M129="High",1,IF(M129="Medium",2,IF(M129="Normal",3,IF(M129="Hold",9,4))))</f>
        <v>9</v>
      </c>
      <c r="AF129" s="43">
        <f>IF(T129="Read",1,IF(T129="Delivered",2,IF(T129="Sent",3,IF(T129="Not sent",4,IF(T129="Failed",9,5)))))</f>
        <v>4</v>
      </c>
      <c r="AG129" s="43">
        <f>IF(U129="Demo booked",1,IF(U129="Interested",2,IF(U129="Replied",3,IF(U129="No reply",5,IF(U129="Not interested",8,IF(U129="Bad number",9,6))))))</f>
        <v>6</v>
      </c>
      <c r="AH129" s="46">
        <f>AD129*1000+AN129*100+AE129*10+AG129</f>
        <v>9596</v>
      </c>
      <c r="AI129" s="45">
        <f>MAX(IF(R129="",0,R129),IF(Y129="",0,Y129))</f>
        <v>0</v>
      </c>
      <c r="AJ129" s="43" t="str">
        <f ca="1">IF(AND(X129&lt;&gt;"",Y129="",X129&lt;TODAY()),"Overdue",IF(AND(X129&lt;&gt;"",Y129="",X129=TODAY()),"Due today",IF(Y129&lt;&gt;"","Follow-up sent","")))</f>
        <v/>
      </c>
      <c r="AK129" s="50" t="s">
        <v>734</v>
      </c>
      <c r="AL129" s="50" t="s">
        <v>735</v>
      </c>
      <c r="AM129" s="50" t="s">
        <v>736</v>
      </c>
      <c r="AN129" s="50">
        <v>5</v>
      </c>
      <c r="AO129" s="54" t="s">
        <v>788</v>
      </c>
      <c r="AP129" s="57" t="s">
        <v>127</v>
      </c>
      <c r="AQ129" s="58"/>
      <c r="AR129" s="57"/>
    </row>
    <row r="130" spans="1:44" ht="121.5" customHeight="1" x14ac:dyDescent="0.25">
      <c r="A130" s="43" t="s">
        <v>789</v>
      </c>
      <c r="B130" s="43" t="s">
        <v>790</v>
      </c>
      <c r="C130" s="43"/>
      <c r="D130" s="44" t="s">
        <v>791</v>
      </c>
      <c r="E130" s="43"/>
      <c r="F130" s="43" t="s">
        <v>729</v>
      </c>
      <c r="G130" s="45"/>
      <c r="H130" s="45">
        <v>46161</v>
      </c>
      <c r="I130" s="43" t="s">
        <v>730</v>
      </c>
      <c r="J130" s="43" t="s">
        <v>731</v>
      </c>
      <c r="K130" s="43" t="str">
        <f>IF(LEN(D130)=10,"OK","Check")</f>
        <v>OK</v>
      </c>
      <c r="L130" s="43" t="s">
        <v>732</v>
      </c>
      <c r="M130" s="43" t="str">
        <f>IF(L130="Hold","Hold",IF(IFERROR(E130,0)&gt;=200,"High",IF(IFERROR(E130,0)&gt;=100,"Medium","Normal")))</f>
        <v>Hold</v>
      </c>
      <c r="N130" s="43" t="s">
        <v>90</v>
      </c>
      <c r="O130" s="43" t="s">
        <v>91</v>
      </c>
      <c r="P130" s="43" t="s">
        <v>92</v>
      </c>
      <c r="Q130" s="17" t="s">
        <v>93</v>
      </c>
      <c r="R130" s="45"/>
      <c r="S130" s="43"/>
      <c r="T130" s="43" t="s">
        <v>31</v>
      </c>
      <c r="U130" s="43" t="s">
        <v>94</v>
      </c>
      <c r="V130" s="43" t="s">
        <v>94</v>
      </c>
      <c r="W130" s="43" t="s">
        <v>95</v>
      </c>
      <c r="X130" s="45" t="str">
        <f>IF(AND(R130&lt;&gt;"",OR(U130="No reply",U130="Unknown")),R130+2,"")</f>
        <v/>
      </c>
      <c r="Y130" s="45"/>
      <c r="Z130" s="43" t="s">
        <v>96</v>
      </c>
      <c r="AA130" s="43" t="str">
        <f>IF(L130="Hold","Do not send",IF(T130="Not sent","Send WhatsApp",IF(U130="Demo booked","Prepare demo",IF(W130="Booked","Prepare demo",IF(AND(X130&lt;&gt;"",Y130=""),"Send follow-up","Review")))))</f>
        <v>Do not send</v>
      </c>
      <c r="AB130" s="43"/>
      <c r="AC130" s="43" t="s">
        <v>733</v>
      </c>
      <c r="AD130" s="43">
        <f>IF(AA130="Prepare demo",1,IF(AA130="Send follow-up",2,IF(AA130="Send WhatsApp",3,IF(AA130="Review",4,IF(AA130="Do not send",9,5)))))</f>
        <v>9</v>
      </c>
      <c r="AE130" s="43">
        <f>IF(M130="High",1,IF(M130="Medium",2,IF(M130="Normal",3,IF(M130="Hold",9,4))))</f>
        <v>9</v>
      </c>
      <c r="AF130" s="43">
        <f>IF(T130="Read",1,IF(T130="Delivered",2,IF(T130="Sent",3,IF(T130="Not sent",4,IF(T130="Failed",9,5)))))</f>
        <v>4</v>
      </c>
      <c r="AG130" s="43">
        <f>IF(U130="Demo booked",1,IF(U130="Interested",2,IF(U130="Replied",3,IF(U130="No reply",5,IF(U130="Not interested",8,IF(U130="Bad number",9,6))))))</f>
        <v>6</v>
      </c>
      <c r="AH130" s="46">
        <f>AD130*1000+AN130*100+AE130*10+AG130</f>
        <v>9596</v>
      </c>
      <c r="AI130" s="45">
        <f>MAX(IF(R130="",0,R130),IF(Y130="",0,Y130))</f>
        <v>0</v>
      </c>
      <c r="AJ130" s="43" t="str">
        <f ca="1">IF(AND(X130&lt;&gt;"",Y130="",X130&lt;TODAY()),"Overdue",IF(AND(X130&lt;&gt;"",Y130="",X130=TODAY()),"Due today",IF(Y130&lt;&gt;"","Follow-up sent","")))</f>
        <v/>
      </c>
      <c r="AK130" s="50" t="s">
        <v>734</v>
      </c>
      <c r="AL130" s="50" t="s">
        <v>735</v>
      </c>
      <c r="AM130" s="50" t="s">
        <v>736</v>
      </c>
      <c r="AN130" s="50">
        <v>5</v>
      </c>
      <c r="AO130" s="54" t="s">
        <v>792</v>
      </c>
      <c r="AP130" s="57" t="s">
        <v>127</v>
      </c>
      <c r="AQ130" s="58"/>
      <c r="AR130" s="57"/>
    </row>
    <row r="131" spans="1:44" ht="148.5" customHeight="1" x14ac:dyDescent="0.25">
      <c r="A131" s="43" t="s">
        <v>793</v>
      </c>
      <c r="B131" s="43" t="s">
        <v>790</v>
      </c>
      <c r="C131" s="43"/>
      <c r="D131" s="44" t="s">
        <v>794</v>
      </c>
      <c r="E131" s="43"/>
      <c r="F131" s="43" t="s">
        <v>729</v>
      </c>
      <c r="G131" s="45"/>
      <c r="H131" s="45">
        <v>46161</v>
      </c>
      <c r="I131" s="43" t="s">
        <v>730</v>
      </c>
      <c r="J131" s="43" t="s">
        <v>731</v>
      </c>
      <c r="K131" s="43" t="str">
        <f>IF(LEN(D131)=10,"OK","Check")</f>
        <v>OK</v>
      </c>
      <c r="L131" s="43" t="s">
        <v>732</v>
      </c>
      <c r="M131" s="43" t="str">
        <f>IF(L131="Hold","Hold",IF(IFERROR(E131,0)&gt;=200,"High",IF(IFERROR(E131,0)&gt;=100,"Medium","Normal")))</f>
        <v>Hold</v>
      </c>
      <c r="N131" s="43" t="s">
        <v>90</v>
      </c>
      <c r="O131" s="43" t="s">
        <v>91</v>
      </c>
      <c r="P131" s="43" t="s">
        <v>92</v>
      </c>
      <c r="Q131" s="17" t="s">
        <v>93</v>
      </c>
      <c r="R131" s="45"/>
      <c r="S131" s="43"/>
      <c r="T131" s="43" t="s">
        <v>31</v>
      </c>
      <c r="U131" s="43" t="s">
        <v>94</v>
      </c>
      <c r="V131" s="43" t="s">
        <v>94</v>
      </c>
      <c r="W131" s="43" t="s">
        <v>95</v>
      </c>
      <c r="X131" s="45" t="str">
        <f>IF(AND(R131&lt;&gt;"",OR(U131="No reply",U131="Unknown")),R131+2,"")</f>
        <v/>
      </c>
      <c r="Y131" s="45"/>
      <c r="Z131" s="43" t="s">
        <v>96</v>
      </c>
      <c r="AA131" s="43" t="str">
        <f>IF(L131="Hold","Do not send",IF(T131="Not sent","Send WhatsApp",IF(U131="Demo booked","Prepare demo",IF(W131="Booked","Prepare demo",IF(AND(X131&lt;&gt;"",Y131=""),"Send follow-up","Review")))))</f>
        <v>Do not send</v>
      </c>
      <c r="AB131" s="43"/>
      <c r="AC131" s="43" t="s">
        <v>733</v>
      </c>
      <c r="AD131" s="43">
        <f>IF(AA131="Prepare demo",1,IF(AA131="Send follow-up",2,IF(AA131="Send WhatsApp",3,IF(AA131="Review",4,IF(AA131="Do not send",9,5)))))</f>
        <v>9</v>
      </c>
      <c r="AE131" s="43">
        <f>IF(M131="High",1,IF(M131="Medium",2,IF(M131="Normal",3,IF(M131="Hold",9,4))))</f>
        <v>9</v>
      </c>
      <c r="AF131" s="43">
        <f>IF(T131="Read",1,IF(T131="Delivered",2,IF(T131="Sent",3,IF(T131="Not sent",4,IF(T131="Failed",9,5)))))</f>
        <v>4</v>
      </c>
      <c r="AG131" s="43">
        <f>IF(U131="Demo booked",1,IF(U131="Interested",2,IF(U131="Replied",3,IF(U131="No reply",5,IF(U131="Not interested",8,IF(U131="Bad number",9,6))))))</f>
        <v>6</v>
      </c>
      <c r="AH131" s="46">
        <f>AD131*1000+AN131*100+AE131*10+AG131</f>
        <v>9596</v>
      </c>
      <c r="AI131" s="45">
        <f>MAX(IF(R131="",0,R131),IF(Y131="",0,Y131))</f>
        <v>0</v>
      </c>
      <c r="AJ131" s="43" t="str">
        <f ca="1">IF(AND(X131&lt;&gt;"",Y131="",X131&lt;TODAY()),"Overdue",IF(AND(X131&lt;&gt;"",Y131="",X131=TODAY()),"Due today",IF(Y131&lt;&gt;"","Follow-up sent","")))</f>
        <v/>
      </c>
      <c r="AK131" s="50" t="s">
        <v>734</v>
      </c>
      <c r="AL131" s="50" t="s">
        <v>735</v>
      </c>
      <c r="AM131" s="50" t="s">
        <v>736</v>
      </c>
      <c r="AN131" s="50">
        <v>5</v>
      </c>
      <c r="AO131" s="54" t="s">
        <v>795</v>
      </c>
      <c r="AP131" s="57" t="s">
        <v>127</v>
      </c>
      <c r="AQ131" s="58"/>
      <c r="AR131" s="57"/>
    </row>
    <row r="132" spans="1:44" ht="108" customHeight="1" x14ac:dyDescent="0.25">
      <c r="A132" s="43" t="s">
        <v>796</v>
      </c>
      <c r="B132" s="43" t="s">
        <v>790</v>
      </c>
      <c r="C132" s="43"/>
      <c r="D132" s="44" t="s">
        <v>797</v>
      </c>
      <c r="E132" s="43"/>
      <c r="F132" s="43" t="s">
        <v>729</v>
      </c>
      <c r="G132" s="45"/>
      <c r="H132" s="45">
        <v>46161</v>
      </c>
      <c r="I132" s="43" t="s">
        <v>730</v>
      </c>
      <c r="J132" s="43" t="s">
        <v>731</v>
      </c>
      <c r="K132" s="43" t="str">
        <f>IF(LEN(D132)=10,"OK","Check")</f>
        <v>OK</v>
      </c>
      <c r="L132" s="43" t="s">
        <v>732</v>
      </c>
      <c r="M132" s="43" t="str">
        <f>IF(L132="Hold","Hold",IF(IFERROR(E132,0)&gt;=200,"High",IF(IFERROR(E132,0)&gt;=100,"Medium","Normal")))</f>
        <v>Hold</v>
      </c>
      <c r="N132" s="43" t="s">
        <v>90</v>
      </c>
      <c r="O132" s="43" t="s">
        <v>91</v>
      </c>
      <c r="P132" s="43" t="s">
        <v>92</v>
      </c>
      <c r="Q132" s="17" t="s">
        <v>93</v>
      </c>
      <c r="R132" s="45"/>
      <c r="S132" s="43"/>
      <c r="T132" s="43" t="s">
        <v>31</v>
      </c>
      <c r="U132" s="43" t="s">
        <v>94</v>
      </c>
      <c r="V132" s="43" t="s">
        <v>94</v>
      </c>
      <c r="W132" s="43" t="s">
        <v>95</v>
      </c>
      <c r="X132" s="45" t="str">
        <f>IF(AND(R132&lt;&gt;"",OR(U132="No reply",U132="Unknown")),R132+2,"")</f>
        <v/>
      </c>
      <c r="Y132" s="45"/>
      <c r="Z132" s="43" t="s">
        <v>96</v>
      </c>
      <c r="AA132" s="43" t="str">
        <f>IF(L132="Hold","Do not send",IF(T132="Not sent","Send WhatsApp",IF(U132="Demo booked","Prepare demo",IF(W132="Booked","Prepare demo",IF(AND(X132&lt;&gt;"",Y132=""),"Send follow-up","Review")))))</f>
        <v>Do not send</v>
      </c>
      <c r="AB132" s="43"/>
      <c r="AC132" s="43" t="s">
        <v>733</v>
      </c>
      <c r="AD132" s="43">
        <f>IF(AA132="Prepare demo",1,IF(AA132="Send follow-up",2,IF(AA132="Send WhatsApp",3,IF(AA132="Review",4,IF(AA132="Do not send",9,5)))))</f>
        <v>9</v>
      </c>
      <c r="AE132" s="43">
        <f>IF(M132="High",1,IF(M132="Medium",2,IF(M132="Normal",3,IF(M132="Hold",9,4))))</f>
        <v>9</v>
      </c>
      <c r="AF132" s="43">
        <f>IF(T132="Read",1,IF(T132="Delivered",2,IF(T132="Sent",3,IF(T132="Not sent",4,IF(T132="Failed",9,5)))))</f>
        <v>4</v>
      </c>
      <c r="AG132" s="43">
        <f>IF(U132="Demo booked",1,IF(U132="Interested",2,IF(U132="Replied",3,IF(U132="No reply",5,IF(U132="Not interested",8,IF(U132="Bad number",9,6))))))</f>
        <v>6</v>
      </c>
      <c r="AH132" s="46">
        <f>AD132*1000+AN132*100+AE132*10+AG132</f>
        <v>9596</v>
      </c>
      <c r="AI132" s="45">
        <f>MAX(IF(R132="",0,R132),IF(Y132="",0,Y132))</f>
        <v>0</v>
      </c>
      <c r="AJ132" s="43" t="str">
        <f ca="1">IF(AND(X132&lt;&gt;"",Y132="",X132&lt;TODAY()),"Overdue",IF(AND(X132&lt;&gt;"",Y132="",X132=TODAY()),"Due today",IF(Y132&lt;&gt;"","Follow-up sent","")))</f>
        <v/>
      </c>
      <c r="AK132" s="50" t="s">
        <v>734</v>
      </c>
      <c r="AL132" s="50" t="s">
        <v>735</v>
      </c>
      <c r="AM132" s="50" t="s">
        <v>736</v>
      </c>
      <c r="AN132" s="50">
        <v>5</v>
      </c>
      <c r="AO132" s="54" t="s">
        <v>798</v>
      </c>
      <c r="AP132" s="57" t="s">
        <v>127</v>
      </c>
      <c r="AQ132" s="58"/>
      <c r="AR132" s="57"/>
    </row>
    <row r="133" spans="1:44" ht="108" customHeight="1" x14ac:dyDescent="0.25">
      <c r="A133" s="43" t="s">
        <v>799</v>
      </c>
      <c r="B133" s="43" t="s">
        <v>790</v>
      </c>
      <c r="C133" s="43"/>
      <c r="D133" s="44" t="s">
        <v>800</v>
      </c>
      <c r="E133" s="43"/>
      <c r="F133" s="43" t="s">
        <v>729</v>
      </c>
      <c r="G133" s="45"/>
      <c r="H133" s="45">
        <v>46161</v>
      </c>
      <c r="I133" s="43" t="s">
        <v>730</v>
      </c>
      <c r="J133" s="43" t="s">
        <v>731</v>
      </c>
      <c r="K133" s="43" t="str">
        <f>IF(LEN(D133)=10,"OK","Check")</f>
        <v>OK</v>
      </c>
      <c r="L133" s="43" t="s">
        <v>732</v>
      </c>
      <c r="M133" s="43" t="str">
        <f>IF(L133="Hold","Hold",IF(IFERROR(E133,0)&gt;=200,"High",IF(IFERROR(E133,0)&gt;=100,"Medium","Normal")))</f>
        <v>Hold</v>
      </c>
      <c r="N133" s="43" t="s">
        <v>90</v>
      </c>
      <c r="O133" s="43" t="s">
        <v>91</v>
      </c>
      <c r="P133" s="43" t="s">
        <v>92</v>
      </c>
      <c r="Q133" s="17" t="s">
        <v>93</v>
      </c>
      <c r="R133" s="45"/>
      <c r="S133" s="43"/>
      <c r="T133" s="43" t="s">
        <v>31</v>
      </c>
      <c r="U133" s="43" t="s">
        <v>94</v>
      </c>
      <c r="V133" s="43" t="s">
        <v>94</v>
      </c>
      <c r="W133" s="43" t="s">
        <v>95</v>
      </c>
      <c r="X133" s="45" t="str">
        <f>IF(AND(R133&lt;&gt;"",OR(U133="No reply",U133="Unknown")),R133+2,"")</f>
        <v/>
      </c>
      <c r="Y133" s="45"/>
      <c r="Z133" s="43" t="s">
        <v>96</v>
      </c>
      <c r="AA133" s="43" t="str">
        <f>IF(L133="Hold","Do not send",IF(T133="Not sent","Send WhatsApp",IF(U133="Demo booked","Prepare demo",IF(W133="Booked","Prepare demo",IF(AND(X133&lt;&gt;"",Y133=""),"Send follow-up","Review")))))</f>
        <v>Do not send</v>
      </c>
      <c r="AB133" s="43"/>
      <c r="AC133" s="43" t="s">
        <v>733</v>
      </c>
      <c r="AD133" s="43">
        <f>IF(AA133="Prepare demo",1,IF(AA133="Send follow-up",2,IF(AA133="Send WhatsApp",3,IF(AA133="Review",4,IF(AA133="Do not send",9,5)))))</f>
        <v>9</v>
      </c>
      <c r="AE133" s="43">
        <f>IF(M133="High",1,IF(M133="Medium",2,IF(M133="Normal",3,IF(M133="Hold",9,4))))</f>
        <v>9</v>
      </c>
      <c r="AF133" s="43">
        <f>IF(T133="Read",1,IF(T133="Delivered",2,IF(T133="Sent",3,IF(T133="Not sent",4,IF(T133="Failed",9,5)))))</f>
        <v>4</v>
      </c>
      <c r="AG133" s="43">
        <f>IF(U133="Demo booked",1,IF(U133="Interested",2,IF(U133="Replied",3,IF(U133="No reply",5,IF(U133="Not interested",8,IF(U133="Bad number",9,6))))))</f>
        <v>6</v>
      </c>
      <c r="AH133" s="46">
        <f>AD133*1000+AN133*100+AE133*10+AG133</f>
        <v>9596</v>
      </c>
      <c r="AI133" s="45">
        <f>MAX(IF(R133="",0,R133),IF(Y133="",0,Y133))</f>
        <v>0</v>
      </c>
      <c r="AJ133" s="43" t="str">
        <f ca="1">IF(AND(X133&lt;&gt;"",Y133="",X133&lt;TODAY()),"Overdue",IF(AND(X133&lt;&gt;"",Y133="",X133=TODAY()),"Due today",IF(Y133&lt;&gt;"","Follow-up sent","")))</f>
        <v/>
      </c>
      <c r="AK133" s="50" t="s">
        <v>734</v>
      </c>
      <c r="AL133" s="50" t="s">
        <v>735</v>
      </c>
      <c r="AM133" s="50" t="s">
        <v>736</v>
      </c>
      <c r="AN133" s="50">
        <v>5</v>
      </c>
      <c r="AO133" s="54" t="s">
        <v>801</v>
      </c>
      <c r="AP133" s="57" t="s">
        <v>127</v>
      </c>
      <c r="AQ133" s="58"/>
      <c r="AR133" s="57"/>
    </row>
    <row r="134" spans="1:44" ht="148.5" customHeight="1" x14ac:dyDescent="0.25">
      <c r="A134" s="43" t="s">
        <v>802</v>
      </c>
      <c r="B134" s="43" t="s">
        <v>790</v>
      </c>
      <c r="C134" s="43"/>
      <c r="D134" s="44" t="s">
        <v>803</v>
      </c>
      <c r="E134" s="43"/>
      <c r="F134" s="43" t="s">
        <v>729</v>
      </c>
      <c r="G134" s="45"/>
      <c r="H134" s="45">
        <v>46161</v>
      </c>
      <c r="I134" s="43" t="s">
        <v>730</v>
      </c>
      <c r="J134" s="43" t="s">
        <v>731</v>
      </c>
      <c r="K134" s="43" t="str">
        <f>IF(LEN(D134)=10,"OK","Check")</f>
        <v>OK</v>
      </c>
      <c r="L134" s="43" t="s">
        <v>732</v>
      </c>
      <c r="M134" s="43" t="str">
        <f>IF(L134="Hold","Hold",IF(IFERROR(E134,0)&gt;=200,"High",IF(IFERROR(E134,0)&gt;=100,"Medium","Normal")))</f>
        <v>Hold</v>
      </c>
      <c r="N134" s="43" t="s">
        <v>90</v>
      </c>
      <c r="O134" s="43" t="s">
        <v>91</v>
      </c>
      <c r="P134" s="43" t="s">
        <v>92</v>
      </c>
      <c r="Q134" s="17" t="s">
        <v>93</v>
      </c>
      <c r="R134" s="45"/>
      <c r="S134" s="43"/>
      <c r="T134" s="43" t="s">
        <v>31</v>
      </c>
      <c r="U134" s="43" t="s">
        <v>94</v>
      </c>
      <c r="V134" s="43" t="s">
        <v>94</v>
      </c>
      <c r="W134" s="43" t="s">
        <v>95</v>
      </c>
      <c r="X134" s="45" t="str">
        <f>IF(AND(R134&lt;&gt;"",OR(U134="No reply",U134="Unknown")),R134+2,"")</f>
        <v/>
      </c>
      <c r="Y134" s="45"/>
      <c r="Z134" s="43" t="s">
        <v>96</v>
      </c>
      <c r="AA134" s="43" t="str">
        <f>IF(L134="Hold","Do not send",IF(T134="Not sent","Send WhatsApp",IF(U134="Demo booked","Prepare demo",IF(W134="Booked","Prepare demo",IF(AND(X134&lt;&gt;"",Y134=""),"Send follow-up","Review")))))</f>
        <v>Do not send</v>
      </c>
      <c r="AB134" s="43"/>
      <c r="AC134" s="43" t="s">
        <v>733</v>
      </c>
      <c r="AD134" s="43">
        <f>IF(AA134="Prepare demo",1,IF(AA134="Send follow-up",2,IF(AA134="Send WhatsApp",3,IF(AA134="Review",4,IF(AA134="Do not send",9,5)))))</f>
        <v>9</v>
      </c>
      <c r="AE134" s="43">
        <f>IF(M134="High",1,IF(M134="Medium",2,IF(M134="Normal",3,IF(M134="Hold",9,4))))</f>
        <v>9</v>
      </c>
      <c r="AF134" s="43">
        <f>IF(T134="Read",1,IF(T134="Delivered",2,IF(T134="Sent",3,IF(T134="Not sent",4,IF(T134="Failed",9,5)))))</f>
        <v>4</v>
      </c>
      <c r="AG134" s="43">
        <f>IF(U134="Demo booked",1,IF(U134="Interested",2,IF(U134="Replied",3,IF(U134="No reply",5,IF(U134="Not interested",8,IF(U134="Bad number",9,6))))))</f>
        <v>6</v>
      </c>
      <c r="AH134" s="46">
        <f>AD134*1000+AN134*100+AE134*10+AG134</f>
        <v>9596</v>
      </c>
      <c r="AI134" s="45">
        <f>MAX(IF(R134="",0,R134),IF(Y134="",0,Y134))</f>
        <v>0</v>
      </c>
      <c r="AJ134" s="43" t="str">
        <f ca="1">IF(AND(X134&lt;&gt;"",Y134="",X134&lt;TODAY()),"Overdue",IF(AND(X134&lt;&gt;"",Y134="",X134=TODAY()),"Due today",IF(Y134&lt;&gt;"","Follow-up sent","")))</f>
        <v/>
      </c>
      <c r="AK134" s="50" t="s">
        <v>734</v>
      </c>
      <c r="AL134" s="50" t="s">
        <v>735</v>
      </c>
      <c r="AM134" s="50" t="s">
        <v>736</v>
      </c>
      <c r="AN134" s="50">
        <v>5</v>
      </c>
      <c r="AO134" s="54" t="s">
        <v>804</v>
      </c>
      <c r="AP134" s="57" t="s">
        <v>127</v>
      </c>
      <c r="AQ134" s="58"/>
      <c r="AR134" s="57"/>
    </row>
    <row r="135" spans="1:44" ht="81" customHeight="1" x14ac:dyDescent="0.25">
      <c r="A135" s="43" t="s">
        <v>805</v>
      </c>
      <c r="B135" s="43" t="s">
        <v>790</v>
      </c>
      <c r="C135" s="43"/>
      <c r="D135" s="44" t="s">
        <v>806</v>
      </c>
      <c r="E135" s="43"/>
      <c r="F135" s="43" t="s">
        <v>729</v>
      </c>
      <c r="G135" s="45"/>
      <c r="H135" s="45">
        <v>46161</v>
      </c>
      <c r="I135" s="43" t="s">
        <v>730</v>
      </c>
      <c r="J135" s="43" t="s">
        <v>731</v>
      </c>
      <c r="K135" s="43" t="str">
        <f>IF(LEN(D135)=10,"OK","Check")</f>
        <v>OK</v>
      </c>
      <c r="L135" s="43" t="s">
        <v>732</v>
      </c>
      <c r="M135" s="43" t="str">
        <f>IF(L135="Hold","Hold",IF(IFERROR(E135,0)&gt;=200,"High",IF(IFERROR(E135,0)&gt;=100,"Medium","Normal")))</f>
        <v>Hold</v>
      </c>
      <c r="N135" s="43" t="s">
        <v>90</v>
      </c>
      <c r="O135" s="43" t="s">
        <v>91</v>
      </c>
      <c r="P135" s="43" t="s">
        <v>92</v>
      </c>
      <c r="Q135" s="17" t="s">
        <v>93</v>
      </c>
      <c r="R135" s="45"/>
      <c r="S135" s="43"/>
      <c r="T135" s="43" t="s">
        <v>31</v>
      </c>
      <c r="U135" s="43" t="s">
        <v>94</v>
      </c>
      <c r="V135" s="43" t="s">
        <v>94</v>
      </c>
      <c r="W135" s="43" t="s">
        <v>95</v>
      </c>
      <c r="X135" s="45" t="str">
        <f>IF(AND(R135&lt;&gt;"",OR(U135="No reply",U135="Unknown")),R135+2,"")</f>
        <v/>
      </c>
      <c r="Y135" s="45"/>
      <c r="Z135" s="43" t="s">
        <v>96</v>
      </c>
      <c r="AA135" s="43" t="str">
        <f>IF(L135="Hold","Do not send",IF(T135="Not sent","Send WhatsApp",IF(U135="Demo booked","Prepare demo",IF(W135="Booked","Prepare demo",IF(AND(X135&lt;&gt;"",Y135=""),"Send follow-up","Review")))))</f>
        <v>Do not send</v>
      </c>
      <c r="AB135" s="43"/>
      <c r="AC135" s="43" t="s">
        <v>733</v>
      </c>
      <c r="AD135" s="43">
        <f>IF(AA135="Prepare demo",1,IF(AA135="Send follow-up",2,IF(AA135="Send WhatsApp",3,IF(AA135="Review",4,IF(AA135="Do not send",9,5)))))</f>
        <v>9</v>
      </c>
      <c r="AE135" s="43">
        <f>IF(M135="High",1,IF(M135="Medium",2,IF(M135="Normal",3,IF(M135="Hold",9,4))))</f>
        <v>9</v>
      </c>
      <c r="AF135" s="43">
        <f>IF(T135="Read",1,IF(T135="Delivered",2,IF(T135="Sent",3,IF(T135="Not sent",4,IF(T135="Failed",9,5)))))</f>
        <v>4</v>
      </c>
      <c r="AG135" s="43">
        <f>IF(U135="Demo booked",1,IF(U135="Interested",2,IF(U135="Replied",3,IF(U135="No reply",5,IF(U135="Not interested",8,IF(U135="Bad number",9,6))))))</f>
        <v>6</v>
      </c>
      <c r="AH135" s="46">
        <f>AD135*1000+AN135*100+AE135*10+AG135</f>
        <v>9596</v>
      </c>
      <c r="AI135" s="45">
        <f>MAX(IF(R135="",0,R135),IF(Y135="",0,Y135))</f>
        <v>0</v>
      </c>
      <c r="AJ135" s="43" t="str">
        <f ca="1">IF(AND(X135&lt;&gt;"",Y135="",X135&lt;TODAY()),"Overdue",IF(AND(X135&lt;&gt;"",Y135="",X135=TODAY()),"Due today",IF(Y135&lt;&gt;"","Follow-up sent","")))</f>
        <v/>
      </c>
      <c r="AK135" s="50" t="s">
        <v>734</v>
      </c>
      <c r="AL135" s="50" t="s">
        <v>735</v>
      </c>
      <c r="AM135" s="50" t="s">
        <v>736</v>
      </c>
      <c r="AN135" s="50">
        <v>5</v>
      </c>
      <c r="AO135" s="54" t="s">
        <v>807</v>
      </c>
      <c r="AP135" s="57" t="s">
        <v>127</v>
      </c>
      <c r="AQ135" s="58"/>
      <c r="AR135" s="57"/>
    </row>
    <row r="136" spans="1:44" ht="81" customHeight="1" x14ac:dyDescent="0.25">
      <c r="A136" s="43" t="s">
        <v>808</v>
      </c>
      <c r="B136" s="43" t="s">
        <v>790</v>
      </c>
      <c r="C136" s="43"/>
      <c r="D136" s="44" t="s">
        <v>809</v>
      </c>
      <c r="E136" s="43"/>
      <c r="F136" s="43" t="s">
        <v>729</v>
      </c>
      <c r="G136" s="45"/>
      <c r="H136" s="45">
        <v>46161</v>
      </c>
      <c r="I136" s="43" t="s">
        <v>730</v>
      </c>
      <c r="J136" s="43" t="s">
        <v>731</v>
      </c>
      <c r="K136" s="43" t="str">
        <f>IF(LEN(D136)=10,"OK","Check")</f>
        <v>OK</v>
      </c>
      <c r="L136" s="43" t="s">
        <v>732</v>
      </c>
      <c r="M136" s="43" t="str">
        <f>IF(L136="Hold","Hold",IF(IFERROR(E136,0)&gt;=200,"High",IF(IFERROR(E136,0)&gt;=100,"Medium","Normal")))</f>
        <v>Hold</v>
      </c>
      <c r="N136" s="43" t="s">
        <v>90</v>
      </c>
      <c r="O136" s="43" t="s">
        <v>91</v>
      </c>
      <c r="P136" s="43" t="s">
        <v>92</v>
      </c>
      <c r="Q136" s="17" t="s">
        <v>93</v>
      </c>
      <c r="R136" s="45"/>
      <c r="S136" s="43"/>
      <c r="T136" s="43" t="s">
        <v>31</v>
      </c>
      <c r="U136" s="43" t="s">
        <v>94</v>
      </c>
      <c r="V136" s="43" t="s">
        <v>94</v>
      </c>
      <c r="W136" s="43" t="s">
        <v>95</v>
      </c>
      <c r="X136" s="45" t="str">
        <f>IF(AND(R136&lt;&gt;"",OR(U136="No reply",U136="Unknown")),R136+2,"")</f>
        <v/>
      </c>
      <c r="Y136" s="45"/>
      <c r="Z136" s="43" t="s">
        <v>96</v>
      </c>
      <c r="AA136" s="43" t="str">
        <f>IF(L136="Hold","Do not send",IF(T136="Not sent","Send WhatsApp",IF(U136="Demo booked","Prepare demo",IF(W136="Booked","Prepare demo",IF(AND(X136&lt;&gt;"",Y136=""),"Send follow-up","Review")))))</f>
        <v>Do not send</v>
      </c>
      <c r="AB136" s="43"/>
      <c r="AC136" s="43" t="s">
        <v>733</v>
      </c>
      <c r="AD136" s="43">
        <f>IF(AA136="Prepare demo",1,IF(AA136="Send follow-up",2,IF(AA136="Send WhatsApp",3,IF(AA136="Review",4,IF(AA136="Do not send",9,5)))))</f>
        <v>9</v>
      </c>
      <c r="AE136" s="43">
        <f>IF(M136="High",1,IF(M136="Medium",2,IF(M136="Normal",3,IF(M136="Hold",9,4))))</f>
        <v>9</v>
      </c>
      <c r="AF136" s="43">
        <f>IF(T136="Read",1,IF(T136="Delivered",2,IF(T136="Sent",3,IF(T136="Not sent",4,IF(T136="Failed",9,5)))))</f>
        <v>4</v>
      </c>
      <c r="AG136" s="43">
        <f>IF(U136="Demo booked",1,IF(U136="Interested",2,IF(U136="Replied",3,IF(U136="No reply",5,IF(U136="Not interested",8,IF(U136="Bad number",9,6))))))</f>
        <v>6</v>
      </c>
      <c r="AH136" s="46">
        <f>AD136*1000+AN136*100+AE136*10+AG136</f>
        <v>9596</v>
      </c>
      <c r="AI136" s="45">
        <f>MAX(IF(R136="",0,R136),IF(Y136="",0,Y136))</f>
        <v>0</v>
      </c>
      <c r="AJ136" s="43" t="str">
        <f ca="1">IF(AND(X136&lt;&gt;"",Y136="",X136&lt;TODAY()),"Overdue",IF(AND(X136&lt;&gt;"",Y136="",X136=TODAY()),"Due today",IF(Y136&lt;&gt;"","Follow-up sent","")))</f>
        <v/>
      </c>
      <c r="AK136" s="50" t="s">
        <v>734</v>
      </c>
      <c r="AL136" s="50" t="s">
        <v>735</v>
      </c>
      <c r="AM136" s="50" t="s">
        <v>736</v>
      </c>
      <c r="AN136" s="50">
        <v>5</v>
      </c>
      <c r="AO136" s="54" t="s">
        <v>810</v>
      </c>
      <c r="AP136" s="57" t="s">
        <v>127</v>
      </c>
      <c r="AQ136" s="58"/>
      <c r="AR136" s="57"/>
    </row>
    <row r="137" spans="1:44" ht="81" customHeight="1" x14ac:dyDescent="0.25">
      <c r="A137" s="43" t="s">
        <v>811</v>
      </c>
      <c r="B137" s="43" t="s">
        <v>790</v>
      </c>
      <c r="C137" s="43"/>
      <c r="D137" s="44" t="s">
        <v>812</v>
      </c>
      <c r="E137" s="43"/>
      <c r="F137" s="43" t="s">
        <v>729</v>
      </c>
      <c r="G137" s="45"/>
      <c r="H137" s="45">
        <v>46161</v>
      </c>
      <c r="I137" s="43" t="s">
        <v>730</v>
      </c>
      <c r="J137" s="43" t="s">
        <v>731</v>
      </c>
      <c r="K137" s="43" t="str">
        <f>IF(LEN(D137)=10,"OK","Check")</f>
        <v>OK</v>
      </c>
      <c r="L137" s="43" t="s">
        <v>732</v>
      </c>
      <c r="M137" s="43" t="str">
        <f>IF(L137="Hold","Hold",IF(IFERROR(E137,0)&gt;=200,"High",IF(IFERROR(E137,0)&gt;=100,"Medium","Normal")))</f>
        <v>Hold</v>
      </c>
      <c r="N137" s="43" t="s">
        <v>90</v>
      </c>
      <c r="O137" s="43" t="s">
        <v>91</v>
      </c>
      <c r="P137" s="43" t="s">
        <v>92</v>
      </c>
      <c r="Q137" s="17" t="s">
        <v>93</v>
      </c>
      <c r="R137" s="45"/>
      <c r="S137" s="43"/>
      <c r="T137" s="43" t="s">
        <v>31</v>
      </c>
      <c r="U137" s="43" t="s">
        <v>94</v>
      </c>
      <c r="V137" s="43" t="s">
        <v>94</v>
      </c>
      <c r="W137" s="43" t="s">
        <v>95</v>
      </c>
      <c r="X137" s="45" t="str">
        <f>IF(AND(R137&lt;&gt;"",OR(U137="No reply",U137="Unknown")),R137+2,"")</f>
        <v/>
      </c>
      <c r="Y137" s="45"/>
      <c r="Z137" s="43" t="s">
        <v>96</v>
      </c>
      <c r="AA137" s="43" t="str">
        <f>IF(L137="Hold","Do not send",IF(T137="Not sent","Send WhatsApp",IF(U137="Demo booked","Prepare demo",IF(W137="Booked","Prepare demo",IF(AND(X137&lt;&gt;"",Y137=""),"Send follow-up","Review")))))</f>
        <v>Do not send</v>
      </c>
      <c r="AB137" s="43"/>
      <c r="AC137" s="43" t="s">
        <v>733</v>
      </c>
      <c r="AD137" s="43">
        <f>IF(AA137="Prepare demo",1,IF(AA137="Send follow-up",2,IF(AA137="Send WhatsApp",3,IF(AA137="Review",4,IF(AA137="Do not send",9,5)))))</f>
        <v>9</v>
      </c>
      <c r="AE137" s="43">
        <f>IF(M137="High",1,IF(M137="Medium",2,IF(M137="Normal",3,IF(M137="Hold",9,4))))</f>
        <v>9</v>
      </c>
      <c r="AF137" s="43">
        <f>IF(T137="Read",1,IF(T137="Delivered",2,IF(T137="Sent",3,IF(T137="Not sent",4,IF(T137="Failed",9,5)))))</f>
        <v>4</v>
      </c>
      <c r="AG137" s="43">
        <f>IF(U137="Demo booked",1,IF(U137="Interested",2,IF(U137="Replied",3,IF(U137="No reply",5,IF(U137="Not interested",8,IF(U137="Bad number",9,6))))))</f>
        <v>6</v>
      </c>
      <c r="AH137" s="46">
        <f>AD137*1000+AN137*100+AE137*10+AG137</f>
        <v>9596</v>
      </c>
      <c r="AI137" s="45">
        <f>MAX(IF(R137="",0,R137),IF(Y137="",0,Y137))</f>
        <v>0</v>
      </c>
      <c r="AJ137" s="43" t="str">
        <f ca="1">IF(AND(X137&lt;&gt;"",Y137="",X137&lt;TODAY()),"Overdue",IF(AND(X137&lt;&gt;"",Y137="",X137=TODAY()),"Due today",IF(Y137&lt;&gt;"","Follow-up sent","")))</f>
        <v/>
      </c>
      <c r="AK137" s="50" t="s">
        <v>734</v>
      </c>
      <c r="AL137" s="50" t="s">
        <v>735</v>
      </c>
      <c r="AM137" s="50" t="s">
        <v>736</v>
      </c>
      <c r="AN137" s="50">
        <v>5</v>
      </c>
      <c r="AO137" s="54" t="s">
        <v>813</v>
      </c>
      <c r="AP137" s="57" t="s">
        <v>127</v>
      </c>
      <c r="AQ137" s="58"/>
      <c r="AR137" s="57"/>
    </row>
    <row r="138" spans="1:44" ht="121.5" customHeight="1" x14ac:dyDescent="0.25">
      <c r="A138" s="43" t="s">
        <v>814</v>
      </c>
      <c r="B138" s="43" t="s">
        <v>790</v>
      </c>
      <c r="C138" s="43"/>
      <c r="D138" s="44" t="s">
        <v>815</v>
      </c>
      <c r="E138" s="43"/>
      <c r="F138" s="43" t="s">
        <v>729</v>
      </c>
      <c r="G138" s="45"/>
      <c r="H138" s="45">
        <v>46161</v>
      </c>
      <c r="I138" s="43" t="s">
        <v>730</v>
      </c>
      <c r="J138" s="43" t="s">
        <v>731</v>
      </c>
      <c r="K138" s="43" t="str">
        <f>IF(LEN(D138)=10,"OK","Check")</f>
        <v>OK</v>
      </c>
      <c r="L138" s="43" t="s">
        <v>732</v>
      </c>
      <c r="M138" s="43" t="str">
        <f>IF(L138="Hold","Hold",IF(IFERROR(E138,0)&gt;=200,"High",IF(IFERROR(E138,0)&gt;=100,"Medium","Normal")))</f>
        <v>Hold</v>
      </c>
      <c r="N138" s="43" t="s">
        <v>90</v>
      </c>
      <c r="O138" s="43" t="s">
        <v>91</v>
      </c>
      <c r="P138" s="43" t="s">
        <v>92</v>
      </c>
      <c r="Q138" s="17" t="s">
        <v>93</v>
      </c>
      <c r="R138" s="45"/>
      <c r="S138" s="43"/>
      <c r="T138" s="43" t="s">
        <v>31</v>
      </c>
      <c r="U138" s="43" t="s">
        <v>94</v>
      </c>
      <c r="V138" s="43" t="s">
        <v>94</v>
      </c>
      <c r="W138" s="43" t="s">
        <v>95</v>
      </c>
      <c r="X138" s="45" t="str">
        <f>IF(AND(R138&lt;&gt;"",OR(U138="No reply",U138="Unknown")),R138+2,"")</f>
        <v/>
      </c>
      <c r="Y138" s="45"/>
      <c r="Z138" s="43" t="s">
        <v>96</v>
      </c>
      <c r="AA138" s="43" t="str">
        <f>IF(L138="Hold","Do not send",IF(T138="Not sent","Send WhatsApp",IF(U138="Demo booked","Prepare demo",IF(W138="Booked","Prepare demo",IF(AND(X138&lt;&gt;"",Y138=""),"Send follow-up","Review")))))</f>
        <v>Do not send</v>
      </c>
      <c r="AB138" s="43"/>
      <c r="AC138" s="43" t="s">
        <v>733</v>
      </c>
      <c r="AD138" s="43">
        <f>IF(AA138="Prepare demo",1,IF(AA138="Send follow-up",2,IF(AA138="Send WhatsApp",3,IF(AA138="Review",4,IF(AA138="Do not send",9,5)))))</f>
        <v>9</v>
      </c>
      <c r="AE138" s="43">
        <f>IF(M138="High",1,IF(M138="Medium",2,IF(M138="Normal",3,IF(M138="Hold",9,4))))</f>
        <v>9</v>
      </c>
      <c r="AF138" s="43">
        <f>IF(T138="Read",1,IF(T138="Delivered",2,IF(T138="Sent",3,IF(T138="Not sent",4,IF(T138="Failed",9,5)))))</f>
        <v>4</v>
      </c>
      <c r="AG138" s="43">
        <f>IF(U138="Demo booked",1,IF(U138="Interested",2,IF(U138="Replied",3,IF(U138="No reply",5,IF(U138="Not interested",8,IF(U138="Bad number",9,6))))))</f>
        <v>6</v>
      </c>
      <c r="AH138" s="46">
        <f>AD138*1000+AN138*100+AE138*10+AG138</f>
        <v>9596</v>
      </c>
      <c r="AI138" s="45">
        <f>MAX(IF(R138="",0,R138),IF(Y138="",0,Y138))</f>
        <v>0</v>
      </c>
      <c r="AJ138" s="43" t="str">
        <f ca="1">IF(AND(X138&lt;&gt;"",Y138="",X138&lt;TODAY()),"Overdue",IF(AND(X138&lt;&gt;"",Y138="",X138=TODAY()),"Due today",IF(Y138&lt;&gt;"","Follow-up sent","")))</f>
        <v/>
      </c>
      <c r="AK138" s="50" t="s">
        <v>734</v>
      </c>
      <c r="AL138" s="50" t="s">
        <v>735</v>
      </c>
      <c r="AM138" s="50" t="s">
        <v>736</v>
      </c>
      <c r="AN138" s="50">
        <v>5</v>
      </c>
      <c r="AO138" s="54" t="s">
        <v>816</v>
      </c>
      <c r="AP138" s="57" t="s">
        <v>127</v>
      </c>
      <c r="AQ138" s="58"/>
      <c r="AR138" s="57"/>
    </row>
    <row r="139" spans="1:44" ht="121.5" customHeight="1" x14ac:dyDescent="0.25">
      <c r="A139" s="43" t="s">
        <v>817</v>
      </c>
      <c r="B139" s="43" t="s">
        <v>790</v>
      </c>
      <c r="C139" s="43"/>
      <c r="D139" s="44" t="s">
        <v>818</v>
      </c>
      <c r="E139" s="43"/>
      <c r="F139" s="43" t="s">
        <v>729</v>
      </c>
      <c r="G139" s="45"/>
      <c r="H139" s="45">
        <v>46161</v>
      </c>
      <c r="I139" s="43" t="s">
        <v>730</v>
      </c>
      <c r="J139" s="43" t="s">
        <v>731</v>
      </c>
      <c r="K139" s="43" t="str">
        <f>IF(LEN(D139)=10,"OK","Check")</f>
        <v>OK</v>
      </c>
      <c r="L139" s="43" t="s">
        <v>732</v>
      </c>
      <c r="M139" s="43" t="str">
        <f>IF(L139="Hold","Hold",IF(IFERROR(E139,0)&gt;=200,"High",IF(IFERROR(E139,0)&gt;=100,"Medium","Normal")))</f>
        <v>Hold</v>
      </c>
      <c r="N139" s="43" t="s">
        <v>90</v>
      </c>
      <c r="O139" s="43" t="s">
        <v>91</v>
      </c>
      <c r="P139" s="43" t="s">
        <v>92</v>
      </c>
      <c r="Q139" s="17" t="s">
        <v>93</v>
      </c>
      <c r="R139" s="45"/>
      <c r="S139" s="43"/>
      <c r="T139" s="43" t="s">
        <v>31</v>
      </c>
      <c r="U139" s="43" t="s">
        <v>94</v>
      </c>
      <c r="V139" s="43" t="s">
        <v>94</v>
      </c>
      <c r="W139" s="43" t="s">
        <v>95</v>
      </c>
      <c r="X139" s="45" t="str">
        <f>IF(AND(R139&lt;&gt;"",OR(U139="No reply",U139="Unknown")),R139+2,"")</f>
        <v/>
      </c>
      <c r="Y139" s="45"/>
      <c r="Z139" s="43" t="s">
        <v>96</v>
      </c>
      <c r="AA139" s="43" t="str">
        <f>IF(L139="Hold","Do not send",IF(T139="Not sent","Send WhatsApp",IF(U139="Demo booked","Prepare demo",IF(W139="Booked","Prepare demo",IF(AND(X139&lt;&gt;"",Y139=""),"Send follow-up","Review")))))</f>
        <v>Do not send</v>
      </c>
      <c r="AB139" s="43"/>
      <c r="AC139" s="43" t="s">
        <v>733</v>
      </c>
      <c r="AD139" s="43">
        <f>IF(AA139="Prepare demo",1,IF(AA139="Send follow-up",2,IF(AA139="Send WhatsApp",3,IF(AA139="Review",4,IF(AA139="Do not send",9,5)))))</f>
        <v>9</v>
      </c>
      <c r="AE139" s="43">
        <f>IF(M139="High",1,IF(M139="Medium",2,IF(M139="Normal",3,IF(M139="Hold",9,4))))</f>
        <v>9</v>
      </c>
      <c r="AF139" s="43">
        <f>IF(T139="Read",1,IF(T139="Delivered",2,IF(T139="Sent",3,IF(T139="Not sent",4,IF(T139="Failed",9,5)))))</f>
        <v>4</v>
      </c>
      <c r="AG139" s="43">
        <f>IF(U139="Demo booked",1,IF(U139="Interested",2,IF(U139="Replied",3,IF(U139="No reply",5,IF(U139="Not interested",8,IF(U139="Bad number",9,6))))))</f>
        <v>6</v>
      </c>
      <c r="AH139" s="46">
        <f>AD139*1000+AN139*100+AE139*10+AG139</f>
        <v>9596</v>
      </c>
      <c r="AI139" s="45">
        <f>MAX(IF(R139="",0,R139),IF(Y139="",0,Y139))</f>
        <v>0</v>
      </c>
      <c r="AJ139" s="43" t="str">
        <f ca="1">IF(AND(X139&lt;&gt;"",Y139="",X139&lt;TODAY()),"Overdue",IF(AND(X139&lt;&gt;"",Y139="",X139=TODAY()),"Due today",IF(Y139&lt;&gt;"","Follow-up sent","")))</f>
        <v/>
      </c>
      <c r="AK139" s="50" t="s">
        <v>734</v>
      </c>
      <c r="AL139" s="50" t="s">
        <v>735</v>
      </c>
      <c r="AM139" s="50" t="s">
        <v>736</v>
      </c>
      <c r="AN139" s="50">
        <v>5</v>
      </c>
      <c r="AO139" s="54" t="s">
        <v>819</v>
      </c>
      <c r="AP139" s="57" t="s">
        <v>127</v>
      </c>
      <c r="AQ139" s="58"/>
      <c r="AR139" s="57"/>
    </row>
    <row r="140" spans="1:44" ht="54" customHeight="1" x14ac:dyDescent="0.25">
      <c r="A140" s="43" t="s">
        <v>820</v>
      </c>
      <c r="B140" s="43" t="s">
        <v>790</v>
      </c>
      <c r="C140" s="43"/>
      <c r="D140" s="44" t="s">
        <v>821</v>
      </c>
      <c r="E140" s="43"/>
      <c r="F140" s="43" t="s">
        <v>729</v>
      </c>
      <c r="G140" s="45"/>
      <c r="H140" s="45">
        <v>46161</v>
      </c>
      <c r="I140" s="43" t="s">
        <v>730</v>
      </c>
      <c r="J140" s="43" t="s">
        <v>731</v>
      </c>
      <c r="K140" s="43" t="str">
        <f>IF(LEN(D140)=10,"OK","Check")</f>
        <v>OK</v>
      </c>
      <c r="L140" s="43" t="s">
        <v>732</v>
      </c>
      <c r="M140" s="43" t="str">
        <f>IF(L140="Hold","Hold",IF(IFERROR(E140,0)&gt;=200,"High",IF(IFERROR(E140,0)&gt;=100,"Medium","Normal")))</f>
        <v>Hold</v>
      </c>
      <c r="N140" s="43" t="s">
        <v>90</v>
      </c>
      <c r="O140" s="43" t="s">
        <v>91</v>
      </c>
      <c r="P140" s="43" t="s">
        <v>92</v>
      </c>
      <c r="Q140" s="17" t="s">
        <v>93</v>
      </c>
      <c r="R140" s="45"/>
      <c r="S140" s="43"/>
      <c r="T140" s="43" t="s">
        <v>31</v>
      </c>
      <c r="U140" s="43" t="s">
        <v>94</v>
      </c>
      <c r="V140" s="43" t="s">
        <v>94</v>
      </c>
      <c r="W140" s="43" t="s">
        <v>95</v>
      </c>
      <c r="X140" s="45" t="str">
        <f>IF(AND(R140&lt;&gt;"",OR(U140="No reply",U140="Unknown")),R140+2,"")</f>
        <v/>
      </c>
      <c r="Y140" s="45"/>
      <c r="Z140" s="43" t="s">
        <v>96</v>
      </c>
      <c r="AA140" s="43" t="str">
        <f>IF(L140="Hold","Do not send",IF(T140="Not sent","Send WhatsApp",IF(U140="Demo booked","Prepare demo",IF(W140="Booked","Prepare demo",IF(AND(X140&lt;&gt;"",Y140=""),"Send follow-up","Review")))))</f>
        <v>Do not send</v>
      </c>
      <c r="AB140" s="43"/>
      <c r="AC140" s="43" t="s">
        <v>733</v>
      </c>
      <c r="AD140" s="43">
        <f>IF(AA140="Prepare demo",1,IF(AA140="Send follow-up",2,IF(AA140="Send WhatsApp",3,IF(AA140="Review",4,IF(AA140="Do not send",9,5)))))</f>
        <v>9</v>
      </c>
      <c r="AE140" s="43">
        <f>IF(M140="High",1,IF(M140="Medium",2,IF(M140="Normal",3,IF(M140="Hold",9,4))))</f>
        <v>9</v>
      </c>
      <c r="AF140" s="43">
        <f>IF(T140="Read",1,IF(T140="Delivered",2,IF(T140="Sent",3,IF(T140="Not sent",4,IF(T140="Failed",9,5)))))</f>
        <v>4</v>
      </c>
      <c r="AG140" s="43">
        <f>IF(U140="Demo booked",1,IF(U140="Interested",2,IF(U140="Replied",3,IF(U140="No reply",5,IF(U140="Not interested",8,IF(U140="Bad number",9,6))))))</f>
        <v>6</v>
      </c>
      <c r="AH140" s="46">
        <f>AD140*1000+AN140*100+AE140*10+AG140</f>
        <v>9596</v>
      </c>
      <c r="AI140" s="45">
        <f>MAX(IF(R140="",0,R140),IF(Y140="",0,Y140))</f>
        <v>0</v>
      </c>
      <c r="AJ140" s="43" t="str">
        <f ca="1">IF(AND(X140&lt;&gt;"",Y140="",X140&lt;TODAY()),"Overdue",IF(AND(X140&lt;&gt;"",Y140="",X140=TODAY()),"Due today",IF(Y140&lt;&gt;"","Follow-up sent","")))</f>
        <v/>
      </c>
      <c r="AK140" s="50" t="s">
        <v>734</v>
      </c>
      <c r="AL140" s="50" t="s">
        <v>735</v>
      </c>
      <c r="AM140" s="50" t="s">
        <v>736</v>
      </c>
      <c r="AN140" s="50">
        <v>5</v>
      </c>
      <c r="AO140" s="54" t="s">
        <v>822</v>
      </c>
      <c r="AP140" s="57" t="s">
        <v>127</v>
      </c>
      <c r="AQ140" s="58"/>
      <c r="AR140" s="57"/>
    </row>
    <row r="141" spans="1:44" ht="54" customHeight="1" x14ac:dyDescent="0.25">
      <c r="A141" s="43" t="s">
        <v>823</v>
      </c>
      <c r="B141" s="43" t="s">
        <v>824</v>
      </c>
      <c r="C141" s="43" t="s">
        <v>824</v>
      </c>
      <c r="D141" s="44" t="s">
        <v>825</v>
      </c>
      <c r="E141" s="43"/>
      <c r="F141" s="43" t="s">
        <v>729</v>
      </c>
      <c r="G141" s="45"/>
      <c r="H141" s="45">
        <v>46161</v>
      </c>
      <c r="I141" s="43" t="s">
        <v>730</v>
      </c>
      <c r="J141" s="43" t="s">
        <v>731</v>
      </c>
      <c r="K141" s="43" t="str">
        <f>IF(LEN(D141)=10,"OK","Check")</f>
        <v>OK</v>
      </c>
      <c r="L141" s="43" t="s">
        <v>732</v>
      </c>
      <c r="M141" s="43" t="str">
        <f>IF(L141="Hold","Hold",IF(IFERROR(E141,0)&gt;=200,"High",IF(IFERROR(E141,0)&gt;=100,"Medium","Normal")))</f>
        <v>Hold</v>
      </c>
      <c r="N141" s="43" t="s">
        <v>90</v>
      </c>
      <c r="O141" s="43" t="s">
        <v>91</v>
      </c>
      <c r="P141" s="43" t="s">
        <v>92</v>
      </c>
      <c r="Q141" s="17" t="s">
        <v>93</v>
      </c>
      <c r="R141" s="45"/>
      <c r="S141" s="43"/>
      <c r="T141" s="43" t="s">
        <v>31</v>
      </c>
      <c r="U141" s="43" t="s">
        <v>94</v>
      </c>
      <c r="V141" s="43" t="s">
        <v>94</v>
      </c>
      <c r="W141" s="43" t="s">
        <v>95</v>
      </c>
      <c r="X141" s="45" t="str">
        <f>IF(AND(R141&lt;&gt;"",OR(U141="No reply",U141="Unknown")),R141+2,"")</f>
        <v/>
      </c>
      <c r="Y141" s="45"/>
      <c r="Z141" s="43" t="s">
        <v>96</v>
      </c>
      <c r="AA141" s="43" t="str">
        <f>IF(L141="Hold","Do not send",IF(T141="Not sent","Send WhatsApp",IF(U141="Demo booked","Prepare demo",IF(W141="Booked","Prepare demo",IF(AND(X141&lt;&gt;"",Y141=""),"Send follow-up","Review")))))</f>
        <v>Do not send</v>
      </c>
      <c r="AB141" s="43"/>
      <c r="AC141" s="43" t="s">
        <v>733</v>
      </c>
      <c r="AD141" s="43">
        <f>IF(AA141="Prepare demo",1,IF(AA141="Send follow-up",2,IF(AA141="Send WhatsApp",3,IF(AA141="Review",4,IF(AA141="Do not send",9,5)))))</f>
        <v>9</v>
      </c>
      <c r="AE141" s="43">
        <f>IF(M141="High",1,IF(M141="Medium",2,IF(M141="Normal",3,IF(M141="Hold",9,4))))</f>
        <v>9</v>
      </c>
      <c r="AF141" s="43">
        <f>IF(T141="Read",1,IF(T141="Delivered",2,IF(T141="Sent",3,IF(T141="Not sent",4,IF(T141="Failed",9,5)))))</f>
        <v>4</v>
      </c>
      <c r="AG141" s="43">
        <f>IF(U141="Demo booked",1,IF(U141="Interested",2,IF(U141="Replied",3,IF(U141="No reply",5,IF(U141="Not interested",8,IF(U141="Bad number",9,6))))))</f>
        <v>6</v>
      </c>
      <c r="AH141" s="46">
        <f>AD141*1000+AN141*100+AE141*10+AG141</f>
        <v>9596</v>
      </c>
      <c r="AI141" s="45">
        <f>MAX(IF(R141="",0,R141),IF(Y141="",0,Y141))</f>
        <v>0</v>
      </c>
      <c r="AJ141" s="43" t="str">
        <f ca="1">IF(AND(X141&lt;&gt;"",Y141="",X141&lt;TODAY()),"Overdue",IF(AND(X141&lt;&gt;"",Y141="",X141=TODAY()),"Due today",IF(Y141&lt;&gt;"","Follow-up sent","")))</f>
        <v/>
      </c>
      <c r="AK141" s="50" t="s">
        <v>734</v>
      </c>
      <c r="AL141" s="50" t="s">
        <v>735</v>
      </c>
      <c r="AM141" s="50" t="s">
        <v>736</v>
      </c>
      <c r="AN141" s="50">
        <v>5</v>
      </c>
      <c r="AO141" s="54" t="s">
        <v>826</v>
      </c>
      <c r="AP141" s="57" t="s">
        <v>127</v>
      </c>
      <c r="AQ141" s="58"/>
      <c r="AR141" s="57"/>
    </row>
    <row r="142" spans="1:44" ht="54" customHeight="1" x14ac:dyDescent="0.25">
      <c r="A142" s="43" t="s">
        <v>827</v>
      </c>
      <c r="B142" s="43" t="s">
        <v>790</v>
      </c>
      <c r="C142" s="43"/>
      <c r="D142" s="44" t="s">
        <v>828</v>
      </c>
      <c r="E142" s="43"/>
      <c r="F142" s="43" t="s">
        <v>729</v>
      </c>
      <c r="G142" s="45"/>
      <c r="H142" s="45">
        <v>46161</v>
      </c>
      <c r="I142" s="43" t="s">
        <v>730</v>
      </c>
      <c r="J142" s="43" t="s">
        <v>731</v>
      </c>
      <c r="K142" s="43" t="str">
        <f>IF(LEN(D142)=10,"OK","Check")</f>
        <v>OK</v>
      </c>
      <c r="L142" s="43" t="s">
        <v>732</v>
      </c>
      <c r="M142" s="43" t="str">
        <f>IF(L142="Hold","Hold",IF(IFERROR(E142,0)&gt;=200,"High",IF(IFERROR(E142,0)&gt;=100,"Medium","Normal")))</f>
        <v>Hold</v>
      </c>
      <c r="N142" s="43" t="s">
        <v>90</v>
      </c>
      <c r="O142" s="43" t="s">
        <v>91</v>
      </c>
      <c r="P142" s="43" t="s">
        <v>92</v>
      </c>
      <c r="Q142" s="17" t="s">
        <v>93</v>
      </c>
      <c r="R142" s="45"/>
      <c r="S142" s="43"/>
      <c r="T142" s="43" t="s">
        <v>31</v>
      </c>
      <c r="U142" s="43" t="s">
        <v>94</v>
      </c>
      <c r="V142" s="43" t="s">
        <v>94</v>
      </c>
      <c r="W142" s="43" t="s">
        <v>95</v>
      </c>
      <c r="X142" s="45" t="str">
        <f>IF(AND(R142&lt;&gt;"",OR(U142="No reply",U142="Unknown")),R142+2,"")</f>
        <v/>
      </c>
      <c r="Y142" s="45"/>
      <c r="Z142" s="43" t="s">
        <v>96</v>
      </c>
      <c r="AA142" s="43" t="str">
        <f>IF(L142="Hold","Do not send",IF(T142="Not sent","Send WhatsApp",IF(U142="Demo booked","Prepare demo",IF(W142="Booked","Prepare demo",IF(AND(X142&lt;&gt;"",Y142=""),"Send follow-up","Review")))))</f>
        <v>Do not send</v>
      </c>
      <c r="AB142" s="43"/>
      <c r="AC142" s="43" t="s">
        <v>733</v>
      </c>
      <c r="AD142" s="43">
        <f>IF(AA142="Prepare demo",1,IF(AA142="Send follow-up",2,IF(AA142="Send WhatsApp",3,IF(AA142="Review",4,IF(AA142="Do not send",9,5)))))</f>
        <v>9</v>
      </c>
      <c r="AE142" s="43">
        <f>IF(M142="High",1,IF(M142="Medium",2,IF(M142="Normal",3,IF(M142="Hold",9,4))))</f>
        <v>9</v>
      </c>
      <c r="AF142" s="43">
        <f>IF(T142="Read",1,IF(T142="Delivered",2,IF(T142="Sent",3,IF(T142="Not sent",4,IF(T142="Failed",9,5)))))</f>
        <v>4</v>
      </c>
      <c r="AG142" s="43">
        <f>IF(U142="Demo booked",1,IF(U142="Interested",2,IF(U142="Replied",3,IF(U142="No reply",5,IF(U142="Not interested",8,IF(U142="Bad number",9,6))))))</f>
        <v>6</v>
      </c>
      <c r="AH142" s="46">
        <f>AD142*1000+AN142*100+AE142*10+AG142</f>
        <v>9596</v>
      </c>
      <c r="AI142" s="45">
        <f>MAX(IF(R142="",0,R142),IF(Y142="",0,Y142))</f>
        <v>0</v>
      </c>
      <c r="AJ142" s="43" t="str">
        <f ca="1">IF(AND(X142&lt;&gt;"",Y142="",X142&lt;TODAY()),"Overdue",IF(AND(X142&lt;&gt;"",Y142="",X142=TODAY()),"Due today",IF(Y142&lt;&gt;"","Follow-up sent","")))</f>
        <v/>
      </c>
      <c r="AK142" s="50" t="s">
        <v>734</v>
      </c>
      <c r="AL142" s="50" t="s">
        <v>735</v>
      </c>
      <c r="AM142" s="50" t="s">
        <v>736</v>
      </c>
      <c r="AN142" s="50">
        <v>5</v>
      </c>
      <c r="AO142" s="54" t="s">
        <v>829</v>
      </c>
      <c r="AP142" s="57" t="s">
        <v>127</v>
      </c>
      <c r="AQ142" s="58"/>
      <c r="AR142" s="57"/>
    </row>
    <row r="143" spans="1:44" ht="54" customHeight="1" x14ac:dyDescent="0.25">
      <c r="A143" s="43" t="s">
        <v>830</v>
      </c>
      <c r="B143" s="43" t="s">
        <v>790</v>
      </c>
      <c r="C143" s="43"/>
      <c r="D143" s="44" t="s">
        <v>831</v>
      </c>
      <c r="E143" s="43"/>
      <c r="F143" s="43" t="s">
        <v>729</v>
      </c>
      <c r="G143" s="45"/>
      <c r="H143" s="45">
        <v>46161</v>
      </c>
      <c r="I143" s="43" t="s">
        <v>730</v>
      </c>
      <c r="J143" s="43" t="s">
        <v>731</v>
      </c>
      <c r="K143" s="43" t="str">
        <f>IF(LEN(D143)=10,"OK","Check")</f>
        <v>OK</v>
      </c>
      <c r="L143" s="43" t="s">
        <v>732</v>
      </c>
      <c r="M143" s="43" t="str">
        <f>IF(L143="Hold","Hold",IF(IFERROR(E143,0)&gt;=200,"High",IF(IFERROR(E143,0)&gt;=100,"Medium","Normal")))</f>
        <v>Hold</v>
      </c>
      <c r="N143" s="43" t="s">
        <v>90</v>
      </c>
      <c r="O143" s="43" t="s">
        <v>91</v>
      </c>
      <c r="P143" s="43" t="s">
        <v>92</v>
      </c>
      <c r="Q143" s="17" t="s">
        <v>93</v>
      </c>
      <c r="R143" s="45"/>
      <c r="S143" s="43"/>
      <c r="T143" s="43" t="s">
        <v>31</v>
      </c>
      <c r="U143" s="43" t="s">
        <v>94</v>
      </c>
      <c r="V143" s="43" t="s">
        <v>94</v>
      </c>
      <c r="W143" s="43" t="s">
        <v>95</v>
      </c>
      <c r="X143" s="45" t="str">
        <f>IF(AND(R143&lt;&gt;"",OR(U143="No reply",U143="Unknown")),R143+2,"")</f>
        <v/>
      </c>
      <c r="Y143" s="45"/>
      <c r="Z143" s="43" t="s">
        <v>96</v>
      </c>
      <c r="AA143" s="43" t="str">
        <f>IF(L143="Hold","Do not send",IF(T143="Not sent","Send WhatsApp",IF(U143="Demo booked","Prepare demo",IF(W143="Booked","Prepare demo",IF(AND(X143&lt;&gt;"",Y143=""),"Send follow-up","Review")))))</f>
        <v>Do not send</v>
      </c>
      <c r="AB143" s="43"/>
      <c r="AC143" s="43" t="s">
        <v>733</v>
      </c>
      <c r="AD143" s="43">
        <f>IF(AA143="Prepare demo",1,IF(AA143="Send follow-up",2,IF(AA143="Send WhatsApp",3,IF(AA143="Review",4,IF(AA143="Do not send",9,5)))))</f>
        <v>9</v>
      </c>
      <c r="AE143" s="43">
        <f>IF(M143="High",1,IF(M143="Medium",2,IF(M143="Normal",3,IF(M143="Hold",9,4))))</f>
        <v>9</v>
      </c>
      <c r="AF143" s="43">
        <f>IF(T143="Read",1,IF(T143="Delivered",2,IF(T143="Sent",3,IF(T143="Not sent",4,IF(T143="Failed",9,5)))))</f>
        <v>4</v>
      </c>
      <c r="AG143" s="43">
        <f>IF(U143="Demo booked",1,IF(U143="Interested",2,IF(U143="Replied",3,IF(U143="No reply",5,IF(U143="Not interested",8,IF(U143="Bad number",9,6))))))</f>
        <v>6</v>
      </c>
      <c r="AH143" s="46">
        <f>AD143*1000+AN143*100+AE143*10+AG143</f>
        <v>9596</v>
      </c>
      <c r="AI143" s="45">
        <f>MAX(IF(R143="",0,R143),IF(Y143="",0,Y143))</f>
        <v>0</v>
      </c>
      <c r="AJ143" s="43" t="str">
        <f ca="1">IF(AND(X143&lt;&gt;"",Y143="",X143&lt;TODAY()),"Overdue",IF(AND(X143&lt;&gt;"",Y143="",X143=TODAY()),"Due today",IF(Y143&lt;&gt;"","Follow-up sent","")))</f>
        <v/>
      </c>
      <c r="AK143" s="50" t="s">
        <v>734</v>
      </c>
      <c r="AL143" s="50" t="s">
        <v>735</v>
      </c>
      <c r="AM143" s="50" t="s">
        <v>736</v>
      </c>
      <c r="AN143" s="50">
        <v>5</v>
      </c>
      <c r="AO143" s="54" t="s">
        <v>832</v>
      </c>
      <c r="AP143" s="57" t="s">
        <v>127</v>
      </c>
      <c r="AQ143" s="58"/>
      <c r="AR143" s="57"/>
    </row>
    <row r="144" spans="1:44" ht="54" customHeight="1" x14ac:dyDescent="0.25">
      <c r="A144" s="43" t="s">
        <v>833</v>
      </c>
      <c r="B144" s="43" t="s">
        <v>790</v>
      </c>
      <c r="C144" s="43"/>
      <c r="D144" s="44" t="s">
        <v>834</v>
      </c>
      <c r="E144" s="43"/>
      <c r="F144" s="43" t="s">
        <v>729</v>
      </c>
      <c r="G144" s="45"/>
      <c r="H144" s="45">
        <v>46161</v>
      </c>
      <c r="I144" s="43" t="s">
        <v>730</v>
      </c>
      <c r="J144" s="43" t="s">
        <v>731</v>
      </c>
      <c r="K144" s="43" t="str">
        <f>IF(LEN(D144)=10,"OK","Check")</f>
        <v>OK</v>
      </c>
      <c r="L144" s="43" t="s">
        <v>732</v>
      </c>
      <c r="M144" s="43" t="str">
        <f>IF(L144="Hold","Hold",IF(IFERROR(E144,0)&gt;=200,"High",IF(IFERROR(E144,0)&gt;=100,"Medium","Normal")))</f>
        <v>Hold</v>
      </c>
      <c r="N144" s="43" t="s">
        <v>90</v>
      </c>
      <c r="O144" s="43" t="s">
        <v>91</v>
      </c>
      <c r="P144" s="43" t="s">
        <v>92</v>
      </c>
      <c r="Q144" s="17" t="s">
        <v>93</v>
      </c>
      <c r="R144" s="45"/>
      <c r="S144" s="43"/>
      <c r="T144" s="43" t="s">
        <v>31</v>
      </c>
      <c r="U144" s="43" t="s">
        <v>94</v>
      </c>
      <c r="V144" s="43" t="s">
        <v>94</v>
      </c>
      <c r="W144" s="43" t="s">
        <v>95</v>
      </c>
      <c r="X144" s="45" t="str">
        <f>IF(AND(R144&lt;&gt;"",OR(U144="No reply",U144="Unknown")),R144+2,"")</f>
        <v/>
      </c>
      <c r="Y144" s="45"/>
      <c r="Z144" s="43" t="s">
        <v>96</v>
      </c>
      <c r="AA144" s="43" t="str">
        <f>IF(L144="Hold","Do not send",IF(T144="Not sent","Send WhatsApp",IF(U144="Demo booked","Prepare demo",IF(W144="Booked","Prepare demo",IF(AND(X144&lt;&gt;"",Y144=""),"Send follow-up","Review")))))</f>
        <v>Do not send</v>
      </c>
      <c r="AB144" s="43"/>
      <c r="AC144" s="43" t="s">
        <v>733</v>
      </c>
      <c r="AD144" s="43">
        <f>IF(AA144="Prepare demo",1,IF(AA144="Send follow-up",2,IF(AA144="Send WhatsApp",3,IF(AA144="Review",4,IF(AA144="Do not send",9,5)))))</f>
        <v>9</v>
      </c>
      <c r="AE144" s="43">
        <f>IF(M144="High",1,IF(M144="Medium",2,IF(M144="Normal",3,IF(M144="Hold",9,4))))</f>
        <v>9</v>
      </c>
      <c r="AF144" s="43">
        <f>IF(T144="Read",1,IF(T144="Delivered",2,IF(T144="Sent",3,IF(T144="Not sent",4,IF(T144="Failed",9,5)))))</f>
        <v>4</v>
      </c>
      <c r="AG144" s="43">
        <f>IF(U144="Demo booked",1,IF(U144="Interested",2,IF(U144="Replied",3,IF(U144="No reply",5,IF(U144="Not interested",8,IF(U144="Bad number",9,6))))))</f>
        <v>6</v>
      </c>
      <c r="AH144" s="46">
        <f>AD144*1000+AN144*100+AE144*10+AG144</f>
        <v>9596</v>
      </c>
      <c r="AI144" s="45">
        <f>MAX(IF(R144="",0,R144),IF(Y144="",0,Y144))</f>
        <v>0</v>
      </c>
      <c r="AJ144" s="43" t="str">
        <f ca="1">IF(AND(X144&lt;&gt;"",Y144="",X144&lt;TODAY()),"Overdue",IF(AND(X144&lt;&gt;"",Y144="",X144=TODAY()),"Due today",IF(Y144&lt;&gt;"","Follow-up sent","")))</f>
        <v/>
      </c>
      <c r="AK144" s="50" t="s">
        <v>734</v>
      </c>
      <c r="AL144" s="50" t="s">
        <v>735</v>
      </c>
      <c r="AM144" s="50" t="s">
        <v>736</v>
      </c>
      <c r="AN144" s="50">
        <v>5</v>
      </c>
      <c r="AO144" s="54" t="s">
        <v>835</v>
      </c>
      <c r="AP144" s="57" t="s">
        <v>127</v>
      </c>
      <c r="AQ144" s="58"/>
      <c r="AR144" s="57"/>
    </row>
    <row r="145" spans="1:44" ht="54" customHeight="1" x14ac:dyDescent="0.25">
      <c r="A145" s="43" t="s">
        <v>836</v>
      </c>
      <c r="B145" s="43" t="s">
        <v>790</v>
      </c>
      <c r="C145" s="43"/>
      <c r="D145" s="44" t="s">
        <v>837</v>
      </c>
      <c r="E145" s="43"/>
      <c r="F145" s="43" t="s">
        <v>729</v>
      </c>
      <c r="G145" s="45"/>
      <c r="H145" s="45">
        <v>46161</v>
      </c>
      <c r="I145" s="43" t="s">
        <v>730</v>
      </c>
      <c r="J145" s="43" t="s">
        <v>731</v>
      </c>
      <c r="K145" s="43" t="str">
        <f>IF(LEN(D145)=10,"OK","Check")</f>
        <v>OK</v>
      </c>
      <c r="L145" s="43" t="s">
        <v>732</v>
      </c>
      <c r="M145" s="43" t="str">
        <f>IF(L145="Hold","Hold",IF(IFERROR(E145,0)&gt;=200,"High",IF(IFERROR(E145,0)&gt;=100,"Medium","Normal")))</f>
        <v>Hold</v>
      </c>
      <c r="N145" s="43" t="s">
        <v>90</v>
      </c>
      <c r="O145" s="43" t="s">
        <v>91</v>
      </c>
      <c r="P145" s="43" t="s">
        <v>92</v>
      </c>
      <c r="Q145" s="17" t="s">
        <v>93</v>
      </c>
      <c r="R145" s="45"/>
      <c r="S145" s="43"/>
      <c r="T145" s="43" t="s">
        <v>31</v>
      </c>
      <c r="U145" s="43" t="s">
        <v>94</v>
      </c>
      <c r="V145" s="43" t="s">
        <v>94</v>
      </c>
      <c r="W145" s="43" t="s">
        <v>95</v>
      </c>
      <c r="X145" s="45" t="str">
        <f>IF(AND(R145&lt;&gt;"",OR(U145="No reply",U145="Unknown")),R145+2,"")</f>
        <v/>
      </c>
      <c r="Y145" s="45"/>
      <c r="Z145" s="43" t="s">
        <v>96</v>
      </c>
      <c r="AA145" s="43" t="str">
        <f>IF(L145="Hold","Do not send",IF(T145="Not sent","Send WhatsApp",IF(U145="Demo booked","Prepare demo",IF(W145="Booked","Prepare demo",IF(AND(X145&lt;&gt;"",Y145=""),"Send follow-up","Review")))))</f>
        <v>Do not send</v>
      </c>
      <c r="AB145" s="43"/>
      <c r="AC145" s="43" t="s">
        <v>733</v>
      </c>
      <c r="AD145" s="43">
        <f>IF(AA145="Prepare demo",1,IF(AA145="Send follow-up",2,IF(AA145="Send WhatsApp",3,IF(AA145="Review",4,IF(AA145="Do not send",9,5)))))</f>
        <v>9</v>
      </c>
      <c r="AE145" s="43">
        <f>IF(M145="High",1,IF(M145="Medium",2,IF(M145="Normal",3,IF(M145="Hold",9,4))))</f>
        <v>9</v>
      </c>
      <c r="AF145" s="43">
        <f>IF(T145="Read",1,IF(T145="Delivered",2,IF(T145="Sent",3,IF(T145="Not sent",4,IF(T145="Failed",9,5)))))</f>
        <v>4</v>
      </c>
      <c r="AG145" s="43">
        <f>IF(U145="Demo booked",1,IF(U145="Interested",2,IF(U145="Replied",3,IF(U145="No reply",5,IF(U145="Not interested",8,IF(U145="Bad number",9,6))))))</f>
        <v>6</v>
      </c>
      <c r="AH145" s="46">
        <f>AD145*1000+AN145*100+AE145*10+AG145</f>
        <v>9596</v>
      </c>
      <c r="AI145" s="45">
        <f>MAX(IF(R145="",0,R145),IF(Y145="",0,Y145))</f>
        <v>0</v>
      </c>
      <c r="AJ145" s="43" t="str">
        <f ca="1">IF(AND(X145&lt;&gt;"",Y145="",X145&lt;TODAY()),"Overdue",IF(AND(X145&lt;&gt;"",Y145="",X145=TODAY()),"Due today",IF(Y145&lt;&gt;"","Follow-up sent","")))</f>
        <v/>
      </c>
      <c r="AK145" s="50" t="s">
        <v>734</v>
      </c>
      <c r="AL145" s="50" t="s">
        <v>735</v>
      </c>
      <c r="AM145" s="50" t="s">
        <v>736</v>
      </c>
      <c r="AN145" s="50">
        <v>5</v>
      </c>
      <c r="AO145" s="54" t="s">
        <v>838</v>
      </c>
      <c r="AP145" s="57" t="s">
        <v>127</v>
      </c>
      <c r="AQ145" s="58"/>
      <c r="AR145" s="57"/>
    </row>
    <row r="146" spans="1:44" ht="54" customHeight="1" x14ac:dyDescent="0.25">
      <c r="A146" s="43" t="s">
        <v>839</v>
      </c>
      <c r="B146" s="43" t="s">
        <v>790</v>
      </c>
      <c r="C146" s="43"/>
      <c r="D146" s="44" t="s">
        <v>840</v>
      </c>
      <c r="E146" s="43"/>
      <c r="F146" s="43" t="s">
        <v>729</v>
      </c>
      <c r="G146" s="45"/>
      <c r="H146" s="45">
        <v>46161</v>
      </c>
      <c r="I146" s="43" t="s">
        <v>730</v>
      </c>
      <c r="J146" s="43" t="s">
        <v>731</v>
      </c>
      <c r="K146" s="43" t="str">
        <f>IF(LEN(D146)=10,"OK","Check")</f>
        <v>OK</v>
      </c>
      <c r="L146" s="43" t="s">
        <v>732</v>
      </c>
      <c r="M146" s="43" t="str">
        <f>IF(L146="Hold","Hold",IF(IFERROR(E146,0)&gt;=200,"High",IF(IFERROR(E146,0)&gt;=100,"Medium","Normal")))</f>
        <v>Hold</v>
      </c>
      <c r="N146" s="43" t="s">
        <v>90</v>
      </c>
      <c r="O146" s="43" t="s">
        <v>91</v>
      </c>
      <c r="P146" s="43" t="s">
        <v>92</v>
      </c>
      <c r="Q146" s="17" t="s">
        <v>93</v>
      </c>
      <c r="R146" s="45"/>
      <c r="S146" s="43"/>
      <c r="T146" s="43" t="s">
        <v>31</v>
      </c>
      <c r="U146" s="43" t="s">
        <v>94</v>
      </c>
      <c r="V146" s="43" t="s">
        <v>94</v>
      </c>
      <c r="W146" s="43" t="s">
        <v>95</v>
      </c>
      <c r="X146" s="45" t="str">
        <f>IF(AND(R146&lt;&gt;"",OR(U146="No reply",U146="Unknown")),R146+2,"")</f>
        <v/>
      </c>
      <c r="Y146" s="45"/>
      <c r="Z146" s="43" t="s">
        <v>96</v>
      </c>
      <c r="AA146" s="43" t="str">
        <f>IF(L146="Hold","Do not send",IF(T146="Not sent","Send WhatsApp",IF(U146="Demo booked","Prepare demo",IF(W146="Booked","Prepare demo",IF(AND(X146&lt;&gt;"",Y146=""),"Send follow-up","Review")))))</f>
        <v>Do not send</v>
      </c>
      <c r="AB146" s="43"/>
      <c r="AC146" s="43" t="s">
        <v>733</v>
      </c>
      <c r="AD146" s="43">
        <f>IF(AA146="Prepare demo",1,IF(AA146="Send follow-up",2,IF(AA146="Send WhatsApp",3,IF(AA146="Review",4,IF(AA146="Do not send",9,5)))))</f>
        <v>9</v>
      </c>
      <c r="AE146" s="43">
        <f>IF(M146="High",1,IF(M146="Medium",2,IF(M146="Normal",3,IF(M146="Hold",9,4))))</f>
        <v>9</v>
      </c>
      <c r="AF146" s="43">
        <f>IF(T146="Read",1,IF(T146="Delivered",2,IF(T146="Sent",3,IF(T146="Not sent",4,IF(T146="Failed",9,5)))))</f>
        <v>4</v>
      </c>
      <c r="AG146" s="43">
        <f>IF(U146="Demo booked",1,IF(U146="Interested",2,IF(U146="Replied",3,IF(U146="No reply",5,IF(U146="Not interested",8,IF(U146="Bad number",9,6))))))</f>
        <v>6</v>
      </c>
      <c r="AH146" s="46">
        <f>AD146*1000+AN146*100+AE146*10+AG146</f>
        <v>9596</v>
      </c>
      <c r="AI146" s="45">
        <f>MAX(IF(R146="",0,R146),IF(Y146="",0,Y146))</f>
        <v>0</v>
      </c>
      <c r="AJ146" s="43" t="str">
        <f ca="1">IF(AND(X146&lt;&gt;"",Y146="",X146&lt;TODAY()),"Overdue",IF(AND(X146&lt;&gt;"",Y146="",X146=TODAY()),"Due today",IF(Y146&lt;&gt;"","Follow-up sent","")))</f>
        <v/>
      </c>
      <c r="AK146" s="50" t="s">
        <v>734</v>
      </c>
      <c r="AL146" s="50" t="s">
        <v>735</v>
      </c>
      <c r="AM146" s="50" t="s">
        <v>736</v>
      </c>
      <c r="AN146" s="50">
        <v>5</v>
      </c>
      <c r="AO146" s="54" t="s">
        <v>841</v>
      </c>
      <c r="AP146" s="57" t="s">
        <v>127</v>
      </c>
      <c r="AQ146" s="58"/>
      <c r="AR146" s="57"/>
    </row>
    <row r="147" spans="1:44" ht="54" customHeight="1" x14ac:dyDescent="0.25">
      <c r="A147" s="43" t="s">
        <v>842</v>
      </c>
      <c r="B147" s="43" t="s">
        <v>790</v>
      </c>
      <c r="C147" s="43"/>
      <c r="D147" s="44" t="s">
        <v>843</v>
      </c>
      <c r="E147" s="43"/>
      <c r="F147" s="43" t="s">
        <v>729</v>
      </c>
      <c r="G147" s="45"/>
      <c r="H147" s="45">
        <v>46161</v>
      </c>
      <c r="I147" s="43" t="s">
        <v>730</v>
      </c>
      <c r="J147" s="43" t="s">
        <v>731</v>
      </c>
      <c r="K147" s="43" t="str">
        <f>IF(LEN(D147)=10,"OK","Check")</f>
        <v>OK</v>
      </c>
      <c r="L147" s="43" t="s">
        <v>732</v>
      </c>
      <c r="M147" s="43" t="str">
        <f>IF(L147="Hold","Hold",IF(IFERROR(E147,0)&gt;=200,"High",IF(IFERROR(E147,0)&gt;=100,"Medium","Normal")))</f>
        <v>Hold</v>
      </c>
      <c r="N147" s="43" t="s">
        <v>90</v>
      </c>
      <c r="O147" s="43" t="s">
        <v>91</v>
      </c>
      <c r="P147" s="43" t="s">
        <v>92</v>
      </c>
      <c r="Q147" s="17" t="s">
        <v>93</v>
      </c>
      <c r="R147" s="45"/>
      <c r="S147" s="43"/>
      <c r="T147" s="43" t="s">
        <v>31</v>
      </c>
      <c r="U147" s="43" t="s">
        <v>94</v>
      </c>
      <c r="V147" s="43" t="s">
        <v>94</v>
      </c>
      <c r="W147" s="43" t="s">
        <v>95</v>
      </c>
      <c r="X147" s="45" t="str">
        <f>IF(AND(R147&lt;&gt;"",OR(U147="No reply",U147="Unknown")),R147+2,"")</f>
        <v/>
      </c>
      <c r="Y147" s="45"/>
      <c r="Z147" s="43" t="s">
        <v>96</v>
      </c>
      <c r="AA147" s="43" t="str">
        <f>IF(L147="Hold","Do not send",IF(T147="Not sent","Send WhatsApp",IF(U147="Demo booked","Prepare demo",IF(W147="Booked","Prepare demo",IF(AND(X147&lt;&gt;"",Y147=""),"Send follow-up","Review")))))</f>
        <v>Do not send</v>
      </c>
      <c r="AB147" s="43"/>
      <c r="AC147" s="43" t="s">
        <v>733</v>
      </c>
      <c r="AD147" s="43">
        <f>IF(AA147="Prepare demo",1,IF(AA147="Send follow-up",2,IF(AA147="Send WhatsApp",3,IF(AA147="Review",4,IF(AA147="Do not send",9,5)))))</f>
        <v>9</v>
      </c>
      <c r="AE147" s="43">
        <f>IF(M147="High",1,IF(M147="Medium",2,IF(M147="Normal",3,IF(M147="Hold",9,4))))</f>
        <v>9</v>
      </c>
      <c r="AF147" s="43">
        <f>IF(T147="Read",1,IF(T147="Delivered",2,IF(T147="Sent",3,IF(T147="Not sent",4,IF(T147="Failed",9,5)))))</f>
        <v>4</v>
      </c>
      <c r="AG147" s="43">
        <f>IF(U147="Demo booked",1,IF(U147="Interested",2,IF(U147="Replied",3,IF(U147="No reply",5,IF(U147="Not interested",8,IF(U147="Bad number",9,6))))))</f>
        <v>6</v>
      </c>
      <c r="AH147" s="46">
        <f>AD147*1000+AN147*100+AE147*10+AG147</f>
        <v>9596</v>
      </c>
      <c r="AI147" s="45">
        <f>MAX(IF(R147="",0,R147),IF(Y147="",0,Y147))</f>
        <v>0</v>
      </c>
      <c r="AJ147" s="43" t="str">
        <f ca="1">IF(AND(X147&lt;&gt;"",Y147="",X147&lt;TODAY()),"Overdue",IF(AND(X147&lt;&gt;"",Y147="",X147=TODAY()),"Due today",IF(Y147&lt;&gt;"","Follow-up sent","")))</f>
        <v/>
      </c>
      <c r="AK147" s="50" t="s">
        <v>734</v>
      </c>
      <c r="AL147" s="50" t="s">
        <v>735</v>
      </c>
      <c r="AM147" s="50" t="s">
        <v>736</v>
      </c>
      <c r="AN147" s="50">
        <v>5</v>
      </c>
      <c r="AO147" s="54" t="s">
        <v>844</v>
      </c>
      <c r="AP147" s="57" t="s">
        <v>127</v>
      </c>
      <c r="AQ147" s="58"/>
      <c r="AR147" s="57"/>
    </row>
    <row r="148" spans="1:44" ht="54" customHeight="1" x14ac:dyDescent="0.25">
      <c r="A148" s="43" t="s">
        <v>845</v>
      </c>
      <c r="B148" s="43" t="s">
        <v>790</v>
      </c>
      <c r="C148" s="43"/>
      <c r="D148" s="44" t="s">
        <v>846</v>
      </c>
      <c r="E148" s="43"/>
      <c r="F148" s="43" t="s">
        <v>729</v>
      </c>
      <c r="G148" s="45"/>
      <c r="H148" s="45">
        <v>46161</v>
      </c>
      <c r="I148" s="43" t="s">
        <v>730</v>
      </c>
      <c r="J148" s="43" t="s">
        <v>731</v>
      </c>
      <c r="K148" s="43" t="str">
        <f>IF(LEN(D148)=10,"OK","Check")</f>
        <v>OK</v>
      </c>
      <c r="L148" s="43" t="s">
        <v>732</v>
      </c>
      <c r="M148" s="43" t="str">
        <f>IF(L148="Hold","Hold",IF(IFERROR(E148,0)&gt;=200,"High",IF(IFERROR(E148,0)&gt;=100,"Medium","Normal")))</f>
        <v>Hold</v>
      </c>
      <c r="N148" s="43" t="s">
        <v>90</v>
      </c>
      <c r="O148" s="43" t="s">
        <v>91</v>
      </c>
      <c r="P148" s="43" t="s">
        <v>92</v>
      </c>
      <c r="Q148" s="17" t="s">
        <v>93</v>
      </c>
      <c r="R148" s="45"/>
      <c r="S148" s="43"/>
      <c r="T148" s="43" t="s">
        <v>31</v>
      </c>
      <c r="U148" s="43" t="s">
        <v>94</v>
      </c>
      <c r="V148" s="43" t="s">
        <v>94</v>
      </c>
      <c r="W148" s="43" t="s">
        <v>95</v>
      </c>
      <c r="X148" s="45" t="str">
        <f>IF(AND(R148&lt;&gt;"",OR(U148="No reply",U148="Unknown")),R148+2,"")</f>
        <v/>
      </c>
      <c r="Y148" s="45"/>
      <c r="Z148" s="43" t="s">
        <v>96</v>
      </c>
      <c r="AA148" s="43" t="str">
        <f>IF(L148="Hold","Do not send",IF(T148="Not sent","Send WhatsApp",IF(U148="Demo booked","Prepare demo",IF(W148="Booked","Prepare demo",IF(AND(X148&lt;&gt;"",Y148=""),"Send follow-up","Review")))))</f>
        <v>Do not send</v>
      </c>
      <c r="AB148" s="43"/>
      <c r="AC148" s="43" t="s">
        <v>733</v>
      </c>
      <c r="AD148" s="43">
        <f>IF(AA148="Prepare demo",1,IF(AA148="Send follow-up",2,IF(AA148="Send WhatsApp",3,IF(AA148="Review",4,IF(AA148="Do not send",9,5)))))</f>
        <v>9</v>
      </c>
      <c r="AE148" s="43">
        <f>IF(M148="High",1,IF(M148="Medium",2,IF(M148="Normal",3,IF(M148="Hold",9,4))))</f>
        <v>9</v>
      </c>
      <c r="AF148" s="43">
        <f>IF(T148="Read",1,IF(T148="Delivered",2,IF(T148="Sent",3,IF(T148="Not sent",4,IF(T148="Failed",9,5)))))</f>
        <v>4</v>
      </c>
      <c r="AG148" s="43">
        <f>IF(U148="Demo booked",1,IF(U148="Interested",2,IF(U148="Replied",3,IF(U148="No reply",5,IF(U148="Not interested",8,IF(U148="Bad number",9,6))))))</f>
        <v>6</v>
      </c>
      <c r="AH148" s="46">
        <f>AD148*1000+AN148*100+AE148*10+AG148</f>
        <v>9596</v>
      </c>
      <c r="AI148" s="45">
        <f>MAX(IF(R148="",0,R148),IF(Y148="",0,Y148))</f>
        <v>0</v>
      </c>
      <c r="AJ148" s="43" t="str">
        <f ca="1">IF(AND(X148&lt;&gt;"",Y148="",X148&lt;TODAY()),"Overdue",IF(AND(X148&lt;&gt;"",Y148="",X148=TODAY()),"Due today",IF(Y148&lt;&gt;"","Follow-up sent","")))</f>
        <v/>
      </c>
      <c r="AK148" s="50" t="s">
        <v>734</v>
      </c>
      <c r="AL148" s="50" t="s">
        <v>735</v>
      </c>
      <c r="AM148" s="50" t="s">
        <v>736</v>
      </c>
      <c r="AN148" s="50">
        <v>5</v>
      </c>
      <c r="AO148" s="54" t="s">
        <v>847</v>
      </c>
      <c r="AP148" s="57" t="s">
        <v>127</v>
      </c>
      <c r="AQ148" s="58"/>
      <c r="AR148" s="57"/>
    </row>
    <row r="149" spans="1:44" ht="54" customHeight="1" x14ac:dyDescent="0.25">
      <c r="A149" s="43" t="s">
        <v>848</v>
      </c>
      <c r="B149" s="43" t="s">
        <v>790</v>
      </c>
      <c r="C149" s="43"/>
      <c r="D149" s="44" t="s">
        <v>849</v>
      </c>
      <c r="E149" s="43"/>
      <c r="F149" s="43" t="s">
        <v>729</v>
      </c>
      <c r="G149" s="45"/>
      <c r="H149" s="45">
        <v>46161</v>
      </c>
      <c r="I149" s="43" t="s">
        <v>730</v>
      </c>
      <c r="J149" s="43" t="s">
        <v>731</v>
      </c>
      <c r="K149" s="43" t="str">
        <f>IF(LEN(D149)=10,"OK","Check")</f>
        <v>OK</v>
      </c>
      <c r="L149" s="43" t="s">
        <v>732</v>
      </c>
      <c r="M149" s="43" t="str">
        <f>IF(L149="Hold","Hold",IF(IFERROR(E149,0)&gt;=200,"High",IF(IFERROR(E149,0)&gt;=100,"Medium","Normal")))</f>
        <v>Hold</v>
      </c>
      <c r="N149" s="43" t="s">
        <v>90</v>
      </c>
      <c r="O149" s="43" t="s">
        <v>91</v>
      </c>
      <c r="P149" s="43" t="s">
        <v>92</v>
      </c>
      <c r="Q149" s="17" t="s">
        <v>93</v>
      </c>
      <c r="R149" s="45"/>
      <c r="S149" s="43"/>
      <c r="T149" s="43" t="s">
        <v>31</v>
      </c>
      <c r="U149" s="43" t="s">
        <v>94</v>
      </c>
      <c r="V149" s="43" t="s">
        <v>94</v>
      </c>
      <c r="W149" s="43" t="s">
        <v>95</v>
      </c>
      <c r="X149" s="45" t="str">
        <f>IF(AND(R149&lt;&gt;"",OR(U149="No reply",U149="Unknown")),R149+2,"")</f>
        <v/>
      </c>
      <c r="Y149" s="45"/>
      <c r="Z149" s="43" t="s">
        <v>96</v>
      </c>
      <c r="AA149" s="43" t="str">
        <f>IF(L149="Hold","Do not send",IF(T149="Not sent","Send WhatsApp",IF(U149="Demo booked","Prepare demo",IF(W149="Booked","Prepare demo",IF(AND(X149&lt;&gt;"",Y149=""),"Send follow-up","Review")))))</f>
        <v>Do not send</v>
      </c>
      <c r="AB149" s="43"/>
      <c r="AC149" s="43" t="s">
        <v>733</v>
      </c>
      <c r="AD149" s="43">
        <f>IF(AA149="Prepare demo",1,IF(AA149="Send follow-up",2,IF(AA149="Send WhatsApp",3,IF(AA149="Review",4,IF(AA149="Do not send",9,5)))))</f>
        <v>9</v>
      </c>
      <c r="AE149" s="43">
        <f>IF(M149="High",1,IF(M149="Medium",2,IF(M149="Normal",3,IF(M149="Hold",9,4))))</f>
        <v>9</v>
      </c>
      <c r="AF149" s="43">
        <f>IF(T149="Read",1,IF(T149="Delivered",2,IF(T149="Sent",3,IF(T149="Not sent",4,IF(T149="Failed",9,5)))))</f>
        <v>4</v>
      </c>
      <c r="AG149" s="43">
        <f>IF(U149="Demo booked",1,IF(U149="Interested",2,IF(U149="Replied",3,IF(U149="No reply",5,IF(U149="Not interested",8,IF(U149="Bad number",9,6))))))</f>
        <v>6</v>
      </c>
      <c r="AH149" s="46">
        <f>AD149*1000+AN149*100+AE149*10+AG149</f>
        <v>9596</v>
      </c>
      <c r="AI149" s="45">
        <f>MAX(IF(R149="",0,R149),IF(Y149="",0,Y149))</f>
        <v>0</v>
      </c>
      <c r="AJ149" s="43" t="str">
        <f ca="1">IF(AND(X149&lt;&gt;"",Y149="",X149&lt;TODAY()),"Overdue",IF(AND(X149&lt;&gt;"",Y149="",X149=TODAY()),"Due today",IF(Y149&lt;&gt;"","Follow-up sent","")))</f>
        <v/>
      </c>
      <c r="AK149" s="50" t="s">
        <v>734</v>
      </c>
      <c r="AL149" s="50" t="s">
        <v>735</v>
      </c>
      <c r="AM149" s="50" t="s">
        <v>736</v>
      </c>
      <c r="AN149" s="50">
        <v>5</v>
      </c>
      <c r="AO149" s="54" t="s">
        <v>850</v>
      </c>
      <c r="AP149" s="57" t="s">
        <v>127</v>
      </c>
      <c r="AQ149" s="58"/>
      <c r="AR149" s="57"/>
    </row>
    <row r="150" spans="1:44" ht="54" customHeight="1" x14ac:dyDescent="0.25">
      <c r="A150" s="43" t="s">
        <v>851</v>
      </c>
      <c r="B150" s="43" t="s">
        <v>790</v>
      </c>
      <c r="C150" s="43"/>
      <c r="D150" s="44" t="s">
        <v>852</v>
      </c>
      <c r="E150" s="43"/>
      <c r="F150" s="43" t="s">
        <v>729</v>
      </c>
      <c r="G150" s="45"/>
      <c r="H150" s="45">
        <v>46161</v>
      </c>
      <c r="I150" s="43" t="s">
        <v>730</v>
      </c>
      <c r="J150" s="43" t="s">
        <v>731</v>
      </c>
      <c r="K150" s="43" t="str">
        <f>IF(LEN(D150)=10,"OK","Check")</f>
        <v>OK</v>
      </c>
      <c r="L150" s="43" t="s">
        <v>732</v>
      </c>
      <c r="M150" s="43" t="str">
        <f>IF(L150="Hold","Hold",IF(IFERROR(E150,0)&gt;=200,"High",IF(IFERROR(E150,0)&gt;=100,"Medium","Normal")))</f>
        <v>Hold</v>
      </c>
      <c r="N150" s="43" t="s">
        <v>90</v>
      </c>
      <c r="O150" s="43" t="s">
        <v>91</v>
      </c>
      <c r="P150" s="43" t="s">
        <v>92</v>
      </c>
      <c r="Q150" s="17" t="s">
        <v>93</v>
      </c>
      <c r="R150" s="45"/>
      <c r="S150" s="43"/>
      <c r="T150" s="43" t="s">
        <v>31</v>
      </c>
      <c r="U150" s="43" t="s">
        <v>94</v>
      </c>
      <c r="V150" s="43" t="s">
        <v>94</v>
      </c>
      <c r="W150" s="43" t="s">
        <v>95</v>
      </c>
      <c r="X150" s="45" t="str">
        <f>IF(AND(R150&lt;&gt;"",OR(U150="No reply",U150="Unknown")),R150+2,"")</f>
        <v/>
      </c>
      <c r="Y150" s="45"/>
      <c r="Z150" s="43" t="s">
        <v>96</v>
      </c>
      <c r="AA150" s="43" t="str">
        <f>IF(L150="Hold","Do not send",IF(T150="Not sent","Send WhatsApp",IF(U150="Demo booked","Prepare demo",IF(W150="Booked","Prepare demo",IF(AND(X150&lt;&gt;"",Y150=""),"Send follow-up","Review")))))</f>
        <v>Do not send</v>
      </c>
      <c r="AB150" s="43"/>
      <c r="AC150" s="43" t="s">
        <v>733</v>
      </c>
      <c r="AD150" s="43">
        <f>IF(AA150="Prepare demo",1,IF(AA150="Send follow-up",2,IF(AA150="Send WhatsApp",3,IF(AA150="Review",4,IF(AA150="Do not send",9,5)))))</f>
        <v>9</v>
      </c>
      <c r="AE150" s="43">
        <f>IF(M150="High",1,IF(M150="Medium",2,IF(M150="Normal",3,IF(M150="Hold",9,4))))</f>
        <v>9</v>
      </c>
      <c r="AF150" s="43">
        <f>IF(T150="Read",1,IF(T150="Delivered",2,IF(T150="Sent",3,IF(T150="Not sent",4,IF(T150="Failed",9,5)))))</f>
        <v>4</v>
      </c>
      <c r="AG150" s="43">
        <f>IF(U150="Demo booked",1,IF(U150="Interested",2,IF(U150="Replied",3,IF(U150="No reply",5,IF(U150="Not interested",8,IF(U150="Bad number",9,6))))))</f>
        <v>6</v>
      </c>
      <c r="AH150" s="46">
        <f>AD150*1000+AN150*100+AE150*10+AG150</f>
        <v>9596</v>
      </c>
      <c r="AI150" s="45">
        <f>MAX(IF(R150="",0,R150),IF(Y150="",0,Y150))</f>
        <v>0</v>
      </c>
      <c r="AJ150" s="43" t="str">
        <f ca="1">IF(AND(X150&lt;&gt;"",Y150="",X150&lt;TODAY()),"Overdue",IF(AND(X150&lt;&gt;"",Y150="",X150=TODAY()),"Due today",IF(Y150&lt;&gt;"","Follow-up sent","")))</f>
        <v/>
      </c>
      <c r="AK150" s="50" t="s">
        <v>734</v>
      </c>
      <c r="AL150" s="50" t="s">
        <v>735</v>
      </c>
      <c r="AM150" s="50" t="s">
        <v>736</v>
      </c>
      <c r="AN150" s="50">
        <v>5</v>
      </c>
      <c r="AO150" s="54" t="s">
        <v>853</v>
      </c>
      <c r="AP150" s="57" t="s">
        <v>127</v>
      </c>
      <c r="AQ150" s="58"/>
      <c r="AR150" s="57"/>
    </row>
    <row r="151" spans="1:44" ht="54" customHeight="1" x14ac:dyDescent="0.25">
      <c r="A151" s="43" t="s">
        <v>854</v>
      </c>
      <c r="B151" s="43" t="s">
        <v>790</v>
      </c>
      <c r="C151" s="43"/>
      <c r="D151" s="44" t="s">
        <v>855</v>
      </c>
      <c r="E151" s="43"/>
      <c r="F151" s="43" t="s">
        <v>729</v>
      </c>
      <c r="G151" s="45"/>
      <c r="H151" s="45">
        <v>46161</v>
      </c>
      <c r="I151" s="43" t="s">
        <v>730</v>
      </c>
      <c r="J151" s="43" t="s">
        <v>731</v>
      </c>
      <c r="K151" s="43" t="str">
        <f>IF(LEN(D151)=10,"OK","Check")</f>
        <v>OK</v>
      </c>
      <c r="L151" s="43" t="s">
        <v>732</v>
      </c>
      <c r="M151" s="43" t="str">
        <f>IF(L151="Hold","Hold",IF(IFERROR(E151,0)&gt;=200,"High",IF(IFERROR(E151,0)&gt;=100,"Medium","Normal")))</f>
        <v>Hold</v>
      </c>
      <c r="N151" s="43" t="s">
        <v>90</v>
      </c>
      <c r="O151" s="43" t="s">
        <v>91</v>
      </c>
      <c r="P151" s="43" t="s">
        <v>92</v>
      </c>
      <c r="Q151" s="17" t="s">
        <v>93</v>
      </c>
      <c r="R151" s="45"/>
      <c r="S151" s="43"/>
      <c r="T151" s="43" t="s">
        <v>31</v>
      </c>
      <c r="U151" s="43" t="s">
        <v>94</v>
      </c>
      <c r="V151" s="43" t="s">
        <v>94</v>
      </c>
      <c r="W151" s="43" t="s">
        <v>95</v>
      </c>
      <c r="X151" s="45" t="str">
        <f>IF(AND(R151&lt;&gt;"",OR(U151="No reply",U151="Unknown")),R151+2,"")</f>
        <v/>
      </c>
      <c r="Y151" s="45"/>
      <c r="Z151" s="43" t="s">
        <v>96</v>
      </c>
      <c r="AA151" s="43" t="str">
        <f>IF(L151="Hold","Do not send",IF(T151="Not sent","Send WhatsApp",IF(U151="Demo booked","Prepare demo",IF(W151="Booked","Prepare demo",IF(AND(X151&lt;&gt;"",Y151=""),"Send follow-up","Review")))))</f>
        <v>Do not send</v>
      </c>
      <c r="AB151" s="43"/>
      <c r="AC151" s="43" t="s">
        <v>733</v>
      </c>
      <c r="AD151" s="43">
        <f>IF(AA151="Prepare demo",1,IF(AA151="Send follow-up",2,IF(AA151="Send WhatsApp",3,IF(AA151="Review",4,IF(AA151="Do not send",9,5)))))</f>
        <v>9</v>
      </c>
      <c r="AE151" s="43">
        <f>IF(M151="High",1,IF(M151="Medium",2,IF(M151="Normal",3,IF(M151="Hold",9,4))))</f>
        <v>9</v>
      </c>
      <c r="AF151" s="43">
        <f>IF(T151="Read",1,IF(T151="Delivered",2,IF(T151="Sent",3,IF(T151="Not sent",4,IF(T151="Failed",9,5)))))</f>
        <v>4</v>
      </c>
      <c r="AG151" s="43">
        <f>IF(U151="Demo booked",1,IF(U151="Interested",2,IF(U151="Replied",3,IF(U151="No reply",5,IF(U151="Not interested",8,IF(U151="Bad number",9,6))))))</f>
        <v>6</v>
      </c>
      <c r="AH151" s="46">
        <f>AD151*1000+AN151*100+AE151*10+AG151</f>
        <v>9596</v>
      </c>
      <c r="AI151" s="45">
        <f>MAX(IF(R151="",0,R151),IF(Y151="",0,Y151))</f>
        <v>0</v>
      </c>
      <c r="AJ151" s="43" t="str">
        <f ca="1">IF(AND(X151&lt;&gt;"",Y151="",X151&lt;TODAY()),"Overdue",IF(AND(X151&lt;&gt;"",Y151="",X151=TODAY()),"Due today",IF(Y151&lt;&gt;"","Follow-up sent","")))</f>
        <v/>
      </c>
      <c r="AK151" s="50" t="s">
        <v>734</v>
      </c>
      <c r="AL151" s="50" t="s">
        <v>735</v>
      </c>
      <c r="AM151" s="50" t="s">
        <v>736</v>
      </c>
      <c r="AN151" s="50">
        <v>5</v>
      </c>
      <c r="AO151" s="54" t="s">
        <v>856</v>
      </c>
      <c r="AP151" s="57" t="s">
        <v>127</v>
      </c>
      <c r="AQ151" s="58"/>
      <c r="AR151" s="57"/>
    </row>
    <row r="152" spans="1:44" ht="54" customHeight="1" x14ac:dyDescent="0.25">
      <c r="A152" s="43" t="s">
        <v>857</v>
      </c>
      <c r="B152" s="43" t="s">
        <v>790</v>
      </c>
      <c r="C152" s="43"/>
      <c r="D152" s="44" t="s">
        <v>858</v>
      </c>
      <c r="E152" s="43"/>
      <c r="F152" s="43" t="s">
        <v>729</v>
      </c>
      <c r="G152" s="45"/>
      <c r="H152" s="45">
        <v>46161</v>
      </c>
      <c r="I152" s="43" t="s">
        <v>730</v>
      </c>
      <c r="J152" s="43" t="s">
        <v>731</v>
      </c>
      <c r="K152" s="43" t="str">
        <f>IF(LEN(D152)=10,"OK","Check")</f>
        <v>OK</v>
      </c>
      <c r="L152" s="43" t="s">
        <v>732</v>
      </c>
      <c r="M152" s="43" t="str">
        <f>IF(L152="Hold","Hold",IF(IFERROR(E152,0)&gt;=200,"High",IF(IFERROR(E152,0)&gt;=100,"Medium","Normal")))</f>
        <v>Hold</v>
      </c>
      <c r="N152" s="43" t="s">
        <v>90</v>
      </c>
      <c r="O152" s="43" t="s">
        <v>91</v>
      </c>
      <c r="P152" s="43" t="s">
        <v>92</v>
      </c>
      <c r="Q152" s="17" t="s">
        <v>93</v>
      </c>
      <c r="R152" s="45"/>
      <c r="S152" s="43"/>
      <c r="T152" s="43" t="s">
        <v>31</v>
      </c>
      <c r="U152" s="43" t="s">
        <v>94</v>
      </c>
      <c r="V152" s="43" t="s">
        <v>94</v>
      </c>
      <c r="W152" s="43" t="s">
        <v>95</v>
      </c>
      <c r="X152" s="45" t="str">
        <f>IF(AND(R152&lt;&gt;"",OR(U152="No reply",U152="Unknown")),R152+2,"")</f>
        <v/>
      </c>
      <c r="Y152" s="45"/>
      <c r="Z152" s="43" t="s">
        <v>96</v>
      </c>
      <c r="AA152" s="43" t="str">
        <f>IF(L152="Hold","Do not send",IF(T152="Not sent","Send WhatsApp",IF(U152="Demo booked","Prepare demo",IF(W152="Booked","Prepare demo",IF(AND(X152&lt;&gt;"",Y152=""),"Send follow-up","Review")))))</f>
        <v>Do not send</v>
      </c>
      <c r="AB152" s="43"/>
      <c r="AC152" s="43" t="s">
        <v>733</v>
      </c>
      <c r="AD152" s="43">
        <f>IF(AA152="Prepare demo",1,IF(AA152="Send follow-up",2,IF(AA152="Send WhatsApp",3,IF(AA152="Review",4,IF(AA152="Do not send",9,5)))))</f>
        <v>9</v>
      </c>
      <c r="AE152" s="43">
        <f>IF(M152="High",1,IF(M152="Medium",2,IF(M152="Normal",3,IF(M152="Hold",9,4))))</f>
        <v>9</v>
      </c>
      <c r="AF152" s="43">
        <f>IF(T152="Read",1,IF(T152="Delivered",2,IF(T152="Sent",3,IF(T152="Not sent",4,IF(T152="Failed",9,5)))))</f>
        <v>4</v>
      </c>
      <c r="AG152" s="43">
        <f>IF(U152="Demo booked",1,IF(U152="Interested",2,IF(U152="Replied",3,IF(U152="No reply",5,IF(U152="Not interested",8,IF(U152="Bad number",9,6))))))</f>
        <v>6</v>
      </c>
      <c r="AH152" s="46">
        <f>AD152*1000+AN152*100+AE152*10+AG152</f>
        <v>9596</v>
      </c>
      <c r="AI152" s="45">
        <f>MAX(IF(R152="",0,R152),IF(Y152="",0,Y152))</f>
        <v>0</v>
      </c>
      <c r="AJ152" s="43" t="str">
        <f ca="1">IF(AND(X152&lt;&gt;"",Y152="",X152&lt;TODAY()),"Overdue",IF(AND(X152&lt;&gt;"",Y152="",X152=TODAY()),"Due today",IF(Y152&lt;&gt;"","Follow-up sent","")))</f>
        <v/>
      </c>
      <c r="AK152" s="50" t="s">
        <v>734</v>
      </c>
      <c r="AL152" s="50" t="s">
        <v>735</v>
      </c>
      <c r="AM152" s="50" t="s">
        <v>736</v>
      </c>
      <c r="AN152" s="50">
        <v>5</v>
      </c>
      <c r="AO152" s="54" t="s">
        <v>859</v>
      </c>
      <c r="AP152" s="57" t="s">
        <v>127</v>
      </c>
      <c r="AQ152" s="58"/>
      <c r="AR152" s="57"/>
    </row>
    <row r="153" spans="1:44" ht="54" customHeight="1" x14ac:dyDescent="0.25">
      <c r="A153" s="43" t="s">
        <v>860</v>
      </c>
      <c r="B153" s="43" t="s">
        <v>790</v>
      </c>
      <c r="C153" s="43"/>
      <c r="D153" s="44" t="s">
        <v>861</v>
      </c>
      <c r="E153" s="43"/>
      <c r="F153" s="43" t="s">
        <v>729</v>
      </c>
      <c r="G153" s="45"/>
      <c r="H153" s="45">
        <v>46161</v>
      </c>
      <c r="I153" s="43" t="s">
        <v>730</v>
      </c>
      <c r="J153" s="43" t="s">
        <v>731</v>
      </c>
      <c r="K153" s="43" t="str">
        <f>IF(LEN(D153)=10,"OK","Check")</f>
        <v>OK</v>
      </c>
      <c r="L153" s="43" t="s">
        <v>732</v>
      </c>
      <c r="M153" s="43" t="str">
        <f>IF(L153="Hold","Hold",IF(IFERROR(E153,0)&gt;=200,"High",IF(IFERROR(E153,0)&gt;=100,"Medium","Normal")))</f>
        <v>Hold</v>
      </c>
      <c r="N153" s="43" t="s">
        <v>90</v>
      </c>
      <c r="O153" s="43" t="s">
        <v>91</v>
      </c>
      <c r="P153" s="43" t="s">
        <v>92</v>
      </c>
      <c r="Q153" s="17" t="s">
        <v>93</v>
      </c>
      <c r="R153" s="45"/>
      <c r="S153" s="43"/>
      <c r="T153" s="43" t="s">
        <v>31</v>
      </c>
      <c r="U153" s="43" t="s">
        <v>94</v>
      </c>
      <c r="V153" s="43" t="s">
        <v>94</v>
      </c>
      <c r="W153" s="43" t="s">
        <v>95</v>
      </c>
      <c r="X153" s="45" t="str">
        <f>IF(AND(R153&lt;&gt;"",OR(U153="No reply",U153="Unknown")),R153+2,"")</f>
        <v/>
      </c>
      <c r="Y153" s="45"/>
      <c r="Z153" s="43" t="s">
        <v>96</v>
      </c>
      <c r="AA153" s="43" t="str">
        <f>IF(L153="Hold","Do not send",IF(T153="Not sent","Send WhatsApp",IF(U153="Demo booked","Prepare demo",IF(W153="Booked","Prepare demo",IF(AND(X153&lt;&gt;"",Y153=""),"Send follow-up","Review")))))</f>
        <v>Do not send</v>
      </c>
      <c r="AB153" s="43"/>
      <c r="AC153" s="43" t="s">
        <v>733</v>
      </c>
      <c r="AD153" s="43">
        <f>IF(AA153="Prepare demo",1,IF(AA153="Send follow-up",2,IF(AA153="Send WhatsApp",3,IF(AA153="Review",4,IF(AA153="Do not send",9,5)))))</f>
        <v>9</v>
      </c>
      <c r="AE153" s="43">
        <f>IF(M153="High",1,IF(M153="Medium",2,IF(M153="Normal",3,IF(M153="Hold",9,4))))</f>
        <v>9</v>
      </c>
      <c r="AF153" s="43">
        <f>IF(T153="Read",1,IF(T153="Delivered",2,IF(T153="Sent",3,IF(T153="Not sent",4,IF(T153="Failed",9,5)))))</f>
        <v>4</v>
      </c>
      <c r="AG153" s="43">
        <f>IF(U153="Demo booked",1,IF(U153="Interested",2,IF(U153="Replied",3,IF(U153="No reply",5,IF(U153="Not interested",8,IF(U153="Bad number",9,6))))))</f>
        <v>6</v>
      </c>
      <c r="AH153" s="46">
        <f>AD153*1000+AN153*100+AE153*10+AG153</f>
        <v>9596</v>
      </c>
      <c r="AI153" s="45">
        <f>MAX(IF(R153="",0,R153),IF(Y153="",0,Y153))</f>
        <v>0</v>
      </c>
      <c r="AJ153" s="43" t="str">
        <f ca="1">IF(AND(X153&lt;&gt;"",Y153="",X153&lt;TODAY()),"Overdue",IF(AND(X153&lt;&gt;"",Y153="",X153=TODAY()),"Due today",IF(Y153&lt;&gt;"","Follow-up sent","")))</f>
        <v/>
      </c>
      <c r="AK153" s="50" t="s">
        <v>734</v>
      </c>
      <c r="AL153" s="50" t="s">
        <v>735</v>
      </c>
      <c r="AM153" s="50" t="s">
        <v>736</v>
      </c>
      <c r="AN153" s="50">
        <v>5</v>
      </c>
      <c r="AO153" s="54" t="s">
        <v>862</v>
      </c>
      <c r="AP153" s="57" t="s">
        <v>127</v>
      </c>
      <c r="AQ153" s="58"/>
      <c r="AR153" s="57"/>
    </row>
    <row r="154" spans="1:44" ht="54" customHeight="1" x14ac:dyDescent="0.25">
      <c r="A154" s="43" t="s">
        <v>863</v>
      </c>
      <c r="B154" s="43" t="s">
        <v>790</v>
      </c>
      <c r="C154" s="43"/>
      <c r="D154" s="44" t="s">
        <v>864</v>
      </c>
      <c r="E154" s="43"/>
      <c r="F154" s="43" t="s">
        <v>729</v>
      </c>
      <c r="G154" s="45"/>
      <c r="H154" s="45">
        <v>46161</v>
      </c>
      <c r="I154" s="43" t="s">
        <v>730</v>
      </c>
      <c r="J154" s="43" t="s">
        <v>731</v>
      </c>
      <c r="K154" s="43" t="str">
        <f>IF(LEN(D154)=10,"OK","Check")</f>
        <v>OK</v>
      </c>
      <c r="L154" s="43" t="s">
        <v>732</v>
      </c>
      <c r="M154" s="43" t="str">
        <f>IF(L154="Hold","Hold",IF(IFERROR(E154,0)&gt;=200,"High",IF(IFERROR(E154,0)&gt;=100,"Medium","Normal")))</f>
        <v>Hold</v>
      </c>
      <c r="N154" s="43" t="s">
        <v>90</v>
      </c>
      <c r="O154" s="43" t="s">
        <v>91</v>
      </c>
      <c r="P154" s="43" t="s">
        <v>92</v>
      </c>
      <c r="Q154" s="17" t="s">
        <v>93</v>
      </c>
      <c r="R154" s="45"/>
      <c r="S154" s="43"/>
      <c r="T154" s="43" t="s">
        <v>31</v>
      </c>
      <c r="U154" s="43" t="s">
        <v>94</v>
      </c>
      <c r="V154" s="43" t="s">
        <v>94</v>
      </c>
      <c r="W154" s="43" t="s">
        <v>95</v>
      </c>
      <c r="X154" s="45" t="str">
        <f>IF(AND(R154&lt;&gt;"",OR(U154="No reply",U154="Unknown")),R154+2,"")</f>
        <v/>
      </c>
      <c r="Y154" s="45"/>
      <c r="Z154" s="43" t="s">
        <v>96</v>
      </c>
      <c r="AA154" s="43" t="str">
        <f>IF(L154="Hold","Do not send",IF(T154="Not sent","Send WhatsApp",IF(U154="Demo booked","Prepare demo",IF(W154="Booked","Prepare demo",IF(AND(X154&lt;&gt;"",Y154=""),"Send follow-up","Review")))))</f>
        <v>Do not send</v>
      </c>
      <c r="AB154" s="43"/>
      <c r="AC154" s="43" t="s">
        <v>733</v>
      </c>
      <c r="AD154" s="43">
        <f>IF(AA154="Prepare demo",1,IF(AA154="Send follow-up",2,IF(AA154="Send WhatsApp",3,IF(AA154="Review",4,IF(AA154="Do not send",9,5)))))</f>
        <v>9</v>
      </c>
      <c r="AE154" s="43">
        <f>IF(M154="High",1,IF(M154="Medium",2,IF(M154="Normal",3,IF(M154="Hold",9,4))))</f>
        <v>9</v>
      </c>
      <c r="AF154" s="43">
        <f>IF(T154="Read",1,IF(T154="Delivered",2,IF(T154="Sent",3,IF(T154="Not sent",4,IF(T154="Failed",9,5)))))</f>
        <v>4</v>
      </c>
      <c r="AG154" s="43">
        <f>IF(U154="Demo booked",1,IF(U154="Interested",2,IF(U154="Replied",3,IF(U154="No reply",5,IF(U154="Not interested",8,IF(U154="Bad number",9,6))))))</f>
        <v>6</v>
      </c>
      <c r="AH154" s="46">
        <f>AD154*1000+AN154*100+AE154*10+AG154</f>
        <v>9596</v>
      </c>
      <c r="AI154" s="45">
        <f>MAX(IF(R154="",0,R154),IF(Y154="",0,Y154))</f>
        <v>0</v>
      </c>
      <c r="AJ154" s="43" t="str">
        <f ca="1">IF(AND(X154&lt;&gt;"",Y154="",X154&lt;TODAY()),"Overdue",IF(AND(X154&lt;&gt;"",Y154="",X154=TODAY()),"Due today",IF(Y154&lt;&gt;"","Follow-up sent","")))</f>
        <v/>
      </c>
      <c r="AK154" s="50" t="s">
        <v>734</v>
      </c>
      <c r="AL154" s="50" t="s">
        <v>735</v>
      </c>
      <c r="AM154" s="50" t="s">
        <v>736</v>
      </c>
      <c r="AN154" s="50">
        <v>5</v>
      </c>
      <c r="AO154" s="54" t="s">
        <v>865</v>
      </c>
      <c r="AP154" s="57" t="s">
        <v>127</v>
      </c>
      <c r="AQ154" s="58"/>
      <c r="AR154" s="57"/>
    </row>
    <row r="155" spans="1:44" ht="54" customHeight="1" x14ac:dyDescent="0.25">
      <c r="A155" s="43" t="s">
        <v>866</v>
      </c>
      <c r="B155" s="43" t="s">
        <v>790</v>
      </c>
      <c r="C155" s="43"/>
      <c r="D155" s="44" t="s">
        <v>867</v>
      </c>
      <c r="E155" s="43"/>
      <c r="F155" s="43" t="s">
        <v>729</v>
      </c>
      <c r="G155" s="45"/>
      <c r="H155" s="45">
        <v>46161</v>
      </c>
      <c r="I155" s="43" t="s">
        <v>730</v>
      </c>
      <c r="J155" s="43" t="s">
        <v>731</v>
      </c>
      <c r="K155" s="43" t="str">
        <f>IF(LEN(D155)=10,"OK","Check")</f>
        <v>OK</v>
      </c>
      <c r="L155" s="43" t="s">
        <v>732</v>
      </c>
      <c r="M155" s="43" t="str">
        <f>IF(L155="Hold","Hold",IF(IFERROR(E155,0)&gt;=200,"High",IF(IFERROR(E155,0)&gt;=100,"Medium","Normal")))</f>
        <v>Hold</v>
      </c>
      <c r="N155" s="43" t="s">
        <v>90</v>
      </c>
      <c r="O155" s="43" t="s">
        <v>91</v>
      </c>
      <c r="P155" s="43" t="s">
        <v>92</v>
      </c>
      <c r="Q155" s="17" t="s">
        <v>93</v>
      </c>
      <c r="R155" s="45"/>
      <c r="S155" s="43"/>
      <c r="T155" s="43" t="s">
        <v>31</v>
      </c>
      <c r="U155" s="43" t="s">
        <v>94</v>
      </c>
      <c r="V155" s="43" t="s">
        <v>94</v>
      </c>
      <c r="W155" s="43" t="s">
        <v>95</v>
      </c>
      <c r="X155" s="45" t="str">
        <f>IF(AND(R155&lt;&gt;"",OR(U155="No reply",U155="Unknown")),R155+2,"")</f>
        <v/>
      </c>
      <c r="Y155" s="45"/>
      <c r="Z155" s="43" t="s">
        <v>96</v>
      </c>
      <c r="AA155" s="43" t="str">
        <f>IF(L155="Hold","Do not send",IF(T155="Not sent","Send WhatsApp",IF(U155="Demo booked","Prepare demo",IF(W155="Booked","Prepare demo",IF(AND(X155&lt;&gt;"",Y155=""),"Send follow-up","Review")))))</f>
        <v>Do not send</v>
      </c>
      <c r="AB155" s="43"/>
      <c r="AC155" s="43" t="s">
        <v>733</v>
      </c>
      <c r="AD155" s="43">
        <f>IF(AA155="Prepare demo",1,IF(AA155="Send follow-up",2,IF(AA155="Send WhatsApp",3,IF(AA155="Review",4,IF(AA155="Do not send",9,5)))))</f>
        <v>9</v>
      </c>
      <c r="AE155" s="43">
        <f>IF(M155="High",1,IF(M155="Medium",2,IF(M155="Normal",3,IF(M155="Hold",9,4))))</f>
        <v>9</v>
      </c>
      <c r="AF155" s="43">
        <f>IF(T155="Read",1,IF(T155="Delivered",2,IF(T155="Sent",3,IF(T155="Not sent",4,IF(T155="Failed",9,5)))))</f>
        <v>4</v>
      </c>
      <c r="AG155" s="43">
        <f>IF(U155="Demo booked",1,IF(U155="Interested",2,IF(U155="Replied",3,IF(U155="No reply",5,IF(U155="Not interested",8,IF(U155="Bad number",9,6))))))</f>
        <v>6</v>
      </c>
      <c r="AH155" s="46">
        <f>AD155*1000+AN155*100+AE155*10+AG155</f>
        <v>9596</v>
      </c>
      <c r="AI155" s="45">
        <f>MAX(IF(R155="",0,R155),IF(Y155="",0,Y155))</f>
        <v>0</v>
      </c>
      <c r="AJ155" s="43" t="str">
        <f ca="1">IF(AND(X155&lt;&gt;"",Y155="",X155&lt;TODAY()),"Overdue",IF(AND(X155&lt;&gt;"",Y155="",X155=TODAY()),"Due today",IF(Y155&lt;&gt;"","Follow-up sent","")))</f>
        <v/>
      </c>
      <c r="AK155" s="50" t="s">
        <v>734</v>
      </c>
      <c r="AL155" s="50" t="s">
        <v>735</v>
      </c>
      <c r="AM155" s="50" t="s">
        <v>736</v>
      </c>
      <c r="AN155" s="50">
        <v>5</v>
      </c>
      <c r="AO155" s="54" t="s">
        <v>868</v>
      </c>
      <c r="AP155" s="57" t="s">
        <v>127</v>
      </c>
      <c r="AQ155" s="58"/>
      <c r="AR155" s="57"/>
    </row>
    <row r="156" spans="1:44" ht="54" customHeight="1" x14ac:dyDescent="0.25">
      <c r="A156" s="43" t="s">
        <v>869</v>
      </c>
      <c r="B156" s="43" t="s">
        <v>790</v>
      </c>
      <c r="C156" s="43"/>
      <c r="D156" s="44" t="s">
        <v>870</v>
      </c>
      <c r="E156" s="43"/>
      <c r="F156" s="43" t="s">
        <v>729</v>
      </c>
      <c r="G156" s="45"/>
      <c r="H156" s="45">
        <v>46161</v>
      </c>
      <c r="I156" s="43" t="s">
        <v>730</v>
      </c>
      <c r="J156" s="43" t="s">
        <v>731</v>
      </c>
      <c r="K156" s="43" t="str">
        <f>IF(LEN(D156)=10,"OK","Check")</f>
        <v>OK</v>
      </c>
      <c r="L156" s="43" t="s">
        <v>732</v>
      </c>
      <c r="M156" s="43" t="str">
        <f>IF(L156="Hold","Hold",IF(IFERROR(E156,0)&gt;=200,"High",IF(IFERROR(E156,0)&gt;=100,"Medium","Normal")))</f>
        <v>Hold</v>
      </c>
      <c r="N156" s="43" t="s">
        <v>90</v>
      </c>
      <c r="O156" s="43" t="s">
        <v>91</v>
      </c>
      <c r="P156" s="43" t="s">
        <v>92</v>
      </c>
      <c r="Q156" s="17" t="s">
        <v>93</v>
      </c>
      <c r="R156" s="45"/>
      <c r="S156" s="43"/>
      <c r="T156" s="43" t="s">
        <v>31</v>
      </c>
      <c r="U156" s="43" t="s">
        <v>94</v>
      </c>
      <c r="V156" s="43" t="s">
        <v>94</v>
      </c>
      <c r="W156" s="43" t="s">
        <v>95</v>
      </c>
      <c r="X156" s="45" t="str">
        <f>IF(AND(R156&lt;&gt;"",OR(U156="No reply",U156="Unknown")),R156+2,"")</f>
        <v/>
      </c>
      <c r="Y156" s="45"/>
      <c r="Z156" s="43" t="s">
        <v>96</v>
      </c>
      <c r="AA156" s="43" t="str">
        <f>IF(L156="Hold","Do not send",IF(T156="Not sent","Send WhatsApp",IF(U156="Demo booked","Prepare demo",IF(W156="Booked","Prepare demo",IF(AND(X156&lt;&gt;"",Y156=""),"Send follow-up","Review")))))</f>
        <v>Do not send</v>
      </c>
      <c r="AB156" s="43"/>
      <c r="AC156" s="43" t="s">
        <v>733</v>
      </c>
      <c r="AD156" s="43">
        <f>IF(AA156="Prepare demo",1,IF(AA156="Send follow-up",2,IF(AA156="Send WhatsApp",3,IF(AA156="Review",4,IF(AA156="Do not send",9,5)))))</f>
        <v>9</v>
      </c>
      <c r="AE156" s="43">
        <f>IF(M156="High",1,IF(M156="Medium",2,IF(M156="Normal",3,IF(M156="Hold",9,4))))</f>
        <v>9</v>
      </c>
      <c r="AF156" s="43">
        <f>IF(T156="Read",1,IF(T156="Delivered",2,IF(T156="Sent",3,IF(T156="Not sent",4,IF(T156="Failed",9,5)))))</f>
        <v>4</v>
      </c>
      <c r="AG156" s="43">
        <f>IF(U156="Demo booked",1,IF(U156="Interested",2,IF(U156="Replied",3,IF(U156="No reply",5,IF(U156="Not interested",8,IF(U156="Bad number",9,6))))))</f>
        <v>6</v>
      </c>
      <c r="AH156" s="46">
        <f>AD156*1000+AN156*100+AE156*10+AG156</f>
        <v>9596</v>
      </c>
      <c r="AI156" s="45">
        <f>MAX(IF(R156="",0,R156),IF(Y156="",0,Y156))</f>
        <v>0</v>
      </c>
      <c r="AJ156" s="43" t="str">
        <f ca="1">IF(AND(X156&lt;&gt;"",Y156="",X156&lt;TODAY()),"Overdue",IF(AND(X156&lt;&gt;"",Y156="",X156=TODAY()),"Due today",IF(Y156&lt;&gt;"","Follow-up sent","")))</f>
        <v/>
      </c>
      <c r="AK156" s="50" t="s">
        <v>734</v>
      </c>
      <c r="AL156" s="50" t="s">
        <v>735</v>
      </c>
      <c r="AM156" s="50" t="s">
        <v>736</v>
      </c>
      <c r="AN156" s="50">
        <v>5</v>
      </c>
      <c r="AO156" s="54" t="s">
        <v>871</v>
      </c>
      <c r="AP156" s="57" t="s">
        <v>127</v>
      </c>
      <c r="AQ156" s="58"/>
      <c r="AR156" s="57"/>
    </row>
    <row r="157" spans="1:44" ht="54" customHeight="1" x14ac:dyDescent="0.25">
      <c r="A157" s="43" t="s">
        <v>872</v>
      </c>
      <c r="B157" s="43" t="s">
        <v>790</v>
      </c>
      <c r="C157" s="43"/>
      <c r="D157" s="44" t="s">
        <v>873</v>
      </c>
      <c r="E157" s="43"/>
      <c r="F157" s="43" t="s">
        <v>729</v>
      </c>
      <c r="G157" s="45"/>
      <c r="H157" s="45">
        <v>46161</v>
      </c>
      <c r="I157" s="43" t="s">
        <v>730</v>
      </c>
      <c r="J157" s="43" t="s">
        <v>731</v>
      </c>
      <c r="K157" s="43" t="str">
        <f>IF(LEN(D157)=10,"OK","Check")</f>
        <v>OK</v>
      </c>
      <c r="L157" s="43" t="s">
        <v>732</v>
      </c>
      <c r="M157" s="43" t="str">
        <f>IF(L157="Hold","Hold",IF(IFERROR(E157,0)&gt;=200,"High",IF(IFERROR(E157,0)&gt;=100,"Medium","Normal")))</f>
        <v>Hold</v>
      </c>
      <c r="N157" s="43" t="s">
        <v>90</v>
      </c>
      <c r="O157" s="43" t="s">
        <v>91</v>
      </c>
      <c r="P157" s="43" t="s">
        <v>92</v>
      </c>
      <c r="Q157" s="17" t="s">
        <v>93</v>
      </c>
      <c r="R157" s="45"/>
      <c r="S157" s="43"/>
      <c r="T157" s="43" t="s">
        <v>31</v>
      </c>
      <c r="U157" s="43" t="s">
        <v>94</v>
      </c>
      <c r="V157" s="43" t="s">
        <v>94</v>
      </c>
      <c r="W157" s="43" t="s">
        <v>95</v>
      </c>
      <c r="X157" s="45" t="str">
        <f>IF(AND(R157&lt;&gt;"",OR(U157="No reply",U157="Unknown")),R157+2,"")</f>
        <v/>
      </c>
      <c r="Y157" s="45"/>
      <c r="Z157" s="43" t="s">
        <v>96</v>
      </c>
      <c r="AA157" s="43" t="str">
        <f>IF(L157="Hold","Do not send",IF(T157="Not sent","Send WhatsApp",IF(U157="Demo booked","Prepare demo",IF(W157="Booked","Prepare demo",IF(AND(X157&lt;&gt;"",Y157=""),"Send follow-up","Review")))))</f>
        <v>Do not send</v>
      </c>
      <c r="AB157" s="43"/>
      <c r="AC157" s="43" t="s">
        <v>733</v>
      </c>
      <c r="AD157" s="43">
        <f>IF(AA157="Prepare demo",1,IF(AA157="Send follow-up",2,IF(AA157="Send WhatsApp",3,IF(AA157="Review",4,IF(AA157="Do not send",9,5)))))</f>
        <v>9</v>
      </c>
      <c r="AE157" s="43">
        <f>IF(M157="High",1,IF(M157="Medium",2,IF(M157="Normal",3,IF(M157="Hold",9,4))))</f>
        <v>9</v>
      </c>
      <c r="AF157" s="43">
        <f>IF(T157="Read",1,IF(T157="Delivered",2,IF(T157="Sent",3,IF(T157="Not sent",4,IF(T157="Failed",9,5)))))</f>
        <v>4</v>
      </c>
      <c r="AG157" s="43">
        <f>IF(U157="Demo booked",1,IF(U157="Interested",2,IF(U157="Replied",3,IF(U157="No reply",5,IF(U157="Not interested",8,IF(U157="Bad number",9,6))))))</f>
        <v>6</v>
      </c>
      <c r="AH157" s="46">
        <f>AD157*1000+AN157*100+AE157*10+AG157</f>
        <v>9596</v>
      </c>
      <c r="AI157" s="45">
        <f>MAX(IF(R157="",0,R157),IF(Y157="",0,Y157))</f>
        <v>0</v>
      </c>
      <c r="AJ157" s="43" t="str">
        <f ca="1">IF(AND(X157&lt;&gt;"",Y157="",X157&lt;TODAY()),"Overdue",IF(AND(X157&lt;&gt;"",Y157="",X157=TODAY()),"Due today",IF(Y157&lt;&gt;"","Follow-up sent","")))</f>
        <v/>
      </c>
      <c r="AK157" s="50" t="s">
        <v>734</v>
      </c>
      <c r="AL157" s="50" t="s">
        <v>735</v>
      </c>
      <c r="AM157" s="50" t="s">
        <v>736</v>
      </c>
      <c r="AN157" s="50">
        <v>5</v>
      </c>
      <c r="AO157" s="54" t="s">
        <v>874</v>
      </c>
      <c r="AP157" s="57" t="s">
        <v>127</v>
      </c>
      <c r="AQ157" s="58"/>
      <c r="AR157" s="57"/>
    </row>
    <row r="158" spans="1:44" ht="54" customHeight="1" x14ac:dyDescent="0.25">
      <c r="A158" s="43" t="s">
        <v>875</v>
      </c>
      <c r="B158" s="43" t="s">
        <v>790</v>
      </c>
      <c r="C158" s="43"/>
      <c r="D158" s="44" t="s">
        <v>876</v>
      </c>
      <c r="E158" s="43"/>
      <c r="F158" s="43" t="s">
        <v>729</v>
      </c>
      <c r="G158" s="45"/>
      <c r="H158" s="45">
        <v>46161</v>
      </c>
      <c r="I158" s="43" t="s">
        <v>730</v>
      </c>
      <c r="J158" s="43" t="s">
        <v>731</v>
      </c>
      <c r="K158" s="43" t="str">
        <f>IF(LEN(D158)=10,"OK","Check")</f>
        <v>OK</v>
      </c>
      <c r="L158" s="43" t="s">
        <v>732</v>
      </c>
      <c r="M158" s="43" t="str">
        <f>IF(L158="Hold","Hold",IF(IFERROR(E158,0)&gt;=200,"High",IF(IFERROR(E158,0)&gt;=100,"Medium","Normal")))</f>
        <v>Hold</v>
      </c>
      <c r="N158" s="43" t="s">
        <v>90</v>
      </c>
      <c r="O158" s="43" t="s">
        <v>91</v>
      </c>
      <c r="P158" s="43" t="s">
        <v>92</v>
      </c>
      <c r="Q158" s="17" t="s">
        <v>93</v>
      </c>
      <c r="R158" s="45"/>
      <c r="S158" s="43"/>
      <c r="T158" s="43" t="s">
        <v>31</v>
      </c>
      <c r="U158" s="43" t="s">
        <v>94</v>
      </c>
      <c r="V158" s="43" t="s">
        <v>94</v>
      </c>
      <c r="W158" s="43" t="s">
        <v>95</v>
      </c>
      <c r="X158" s="45" t="str">
        <f>IF(AND(R158&lt;&gt;"",OR(U158="No reply",U158="Unknown")),R158+2,"")</f>
        <v/>
      </c>
      <c r="Y158" s="45"/>
      <c r="Z158" s="43" t="s">
        <v>96</v>
      </c>
      <c r="AA158" s="43" t="str">
        <f>IF(L158="Hold","Do not send",IF(T158="Not sent","Send WhatsApp",IF(U158="Demo booked","Prepare demo",IF(W158="Booked","Prepare demo",IF(AND(X158&lt;&gt;"",Y158=""),"Send follow-up","Review")))))</f>
        <v>Do not send</v>
      </c>
      <c r="AB158" s="43"/>
      <c r="AC158" s="43" t="s">
        <v>733</v>
      </c>
      <c r="AD158" s="43">
        <f>IF(AA158="Prepare demo",1,IF(AA158="Send follow-up",2,IF(AA158="Send WhatsApp",3,IF(AA158="Review",4,IF(AA158="Do not send",9,5)))))</f>
        <v>9</v>
      </c>
      <c r="AE158" s="43">
        <f>IF(M158="High",1,IF(M158="Medium",2,IF(M158="Normal",3,IF(M158="Hold",9,4))))</f>
        <v>9</v>
      </c>
      <c r="AF158" s="43">
        <f>IF(T158="Read",1,IF(T158="Delivered",2,IF(T158="Sent",3,IF(T158="Not sent",4,IF(T158="Failed",9,5)))))</f>
        <v>4</v>
      </c>
      <c r="AG158" s="43">
        <f>IF(U158="Demo booked",1,IF(U158="Interested",2,IF(U158="Replied",3,IF(U158="No reply",5,IF(U158="Not interested",8,IF(U158="Bad number",9,6))))))</f>
        <v>6</v>
      </c>
      <c r="AH158" s="46">
        <f>AD158*1000+AN158*100+AE158*10+AG158</f>
        <v>9596</v>
      </c>
      <c r="AI158" s="45">
        <f>MAX(IF(R158="",0,R158),IF(Y158="",0,Y158))</f>
        <v>0</v>
      </c>
      <c r="AJ158" s="43" t="str">
        <f ca="1">IF(AND(X158&lt;&gt;"",Y158="",X158&lt;TODAY()),"Overdue",IF(AND(X158&lt;&gt;"",Y158="",X158=TODAY()),"Due today",IF(Y158&lt;&gt;"","Follow-up sent","")))</f>
        <v/>
      </c>
      <c r="AK158" s="50" t="s">
        <v>734</v>
      </c>
      <c r="AL158" s="50" t="s">
        <v>735</v>
      </c>
      <c r="AM158" s="50" t="s">
        <v>736</v>
      </c>
      <c r="AN158" s="50">
        <v>5</v>
      </c>
      <c r="AO158" s="54" t="s">
        <v>877</v>
      </c>
      <c r="AP158" s="57" t="s">
        <v>127</v>
      </c>
      <c r="AQ158" s="58"/>
      <c r="AR158" s="57"/>
    </row>
    <row r="159" spans="1:44" ht="54" customHeight="1" x14ac:dyDescent="0.25">
      <c r="A159" s="43" t="s">
        <v>878</v>
      </c>
      <c r="B159" s="43" t="s">
        <v>790</v>
      </c>
      <c r="C159" s="43"/>
      <c r="D159" s="44" t="s">
        <v>879</v>
      </c>
      <c r="E159" s="43"/>
      <c r="F159" s="43" t="s">
        <v>729</v>
      </c>
      <c r="G159" s="45"/>
      <c r="H159" s="45">
        <v>46161</v>
      </c>
      <c r="I159" s="43" t="s">
        <v>730</v>
      </c>
      <c r="J159" s="43" t="s">
        <v>731</v>
      </c>
      <c r="K159" s="43" t="str">
        <f>IF(LEN(D159)=10,"OK","Check")</f>
        <v>OK</v>
      </c>
      <c r="L159" s="43" t="s">
        <v>732</v>
      </c>
      <c r="M159" s="43" t="str">
        <f>IF(L159="Hold","Hold",IF(IFERROR(E159,0)&gt;=200,"High",IF(IFERROR(E159,0)&gt;=100,"Medium","Normal")))</f>
        <v>Hold</v>
      </c>
      <c r="N159" s="43" t="s">
        <v>90</v>
      </c>
      <c r="O159" s="43" t="s">
        <v>91</v>
      </c>
      <c r="P159" s="43" t="s">
        <v>92</v>
      </c>
      <c r="Q159" s="17" t="s">
        <v>93</v>
      </c>
      <c r="R159" s="45"/>
      <c r="S159" s="43"/>
      <c r="T159" s="43" t="s">
        <v>31</v>
      </c>
      <c r="U159" s="43" t="s">
        <v>94</v>
      </c>
      <c r="V159" s="43" t="s">
        <v>94</v>
      </c>
      <c r="W159" s="43" t="s">
        <v>95</v>
      </c>
      <c r="X159" s="45" t="str">
        <f>IF(AND(R159&lt;&gt;"",OR(U159="No reply",U159="Unknown")),R159+2,"")</f>
        <v/>
      </c>
      <c r="Y159" s="45"/>
      <c r="Z159" s="43" t="s">
        <v>96</v>
      </c>
      <c r="AA159" s="43" t="str">
        <f>IF(L159="Hold","Do not send",IF(T159="Not sent","Send WhatsApp",IF(U159="Demo booked","Prepare demo",IF(W159="Booked","Prepare demo",IF(AND(X159&lt;&gt;"",Y159=""),"Send follow-up","Review")))))</f>
        <v>Do not send</v>
      </c>
      <c r="AB159" s="43"/>
      <c r="AC159" s="43" t="s">
        <v>733</v>
      </c>
      <c r="AD159" s="43">
        <f>IF(AA159="Prepare demo",1,IF(AA159="Send follow-up",2,IF(AA159="Send WhatsApp",3,IF(AA159="Review",4,IF(AA159="Do not send",9,5)))))</f>
        <v>9</v>
      </c>
      <c r="AE159" s="43">
        <f>IF(M159="High",1,IF(M159="Medium",2,IF(M159="Normal",3,IF(M159="Hold",9,4))))</f>
        <v>9</v>
      </c>
      <c r="AF159" s="43">
        <f>IF(T159="Read",1,IF(T159="Delivered",2,IF(T159="Sent",3,IF(T159="Not sent",4,IF(T159="Failed",9,5)))))</f>
        <v>4</v>
      </c>
      <c r="AG159" s="43">
        <f>IF(U159="Demo booked",1,IF(U159="Interested",2,IF(U159="Replied",3,IF(U159="No reply",5,IF(U159="Not interested",8,IF(U159="Bad number",9,6))))))</f>
        <v>6</v>
      </c>
      <c r="AH159" s="46">
        <f>AD159*1000+AN159*100+AE159*10+AG159</f>
        <v>9596</v>
      </c>
      <c r="AI159" s="45">
        <f>MAX(IF(R159="",0,R159),IF(Y159="",0,Y159))</f>
        <v>0</v>
      </c>
      <c r="AJ159" s="43" t="str">
        <f ca="1">IF(AND(X159&lt;&gt;"",Y159="",X159&lt;TODAY()),"Overdue",IF(AND(X159&lt;&gt;"",Y159="",X159=TODAY()),"Due today",IF(Y159&lt;&gt;"","Follow-up sent","")))</f>
        <v/>
      </c>
      <c r="AK159" s="50" t="s">
        <v>734</v>
      </c>
      <c r="AL159" s="50" t="s">
        <v>735</v>
      </c>
      <c r="AM159" s="50" t="s">
        <v>736</v>
      </c>
      <c r="AN159" s="50">
        <v>5</v>
      </c>
      <c r="AO159" s="54" t="s">
        <v>880</v>
      </c>
      <c r="AP159" s="57" t="s">
        <v>127</v>
      </c>
      <c r="AQ159" s="58"/>
      <c r="AR159" s="57"/>
    </row>
    <row r="160" spans="1:44" ht="54" customHeight="1" x14ac:dyDescent="0.25">
      <c r="A160" s="43" t="s">
        <v>881</v>
      </c>
      <c r="B160" s="43" t="s">
        <v>790</v>
      </c>
      <c r="C160" s="43"/>
      <c r="D160" s="44" t="s">
        <v>882</v>
      </c>
      <c r="E160" s="43"/>
      <c r="F160" s="43" t="s">
        <v>729</v>
      </c>
      <c r="G160" s="45"/>
      <c r="H160" s="45">
        <v>46161</v>
      </c>
      <c r="I160" s="43" t="s">
        <v>730</v>
      </c>
      <c r="J160" s="43" t="s">
        <v>731</v>
      </c>
      <c r="K160" s="43" t="str">
        <f>IF(LEN(D160)=10,"OK","Check")</f>
        <v>OK</v>
      </c>
      <c r="L160" s="43" t="s">
        <v>732</v>
      </c>
      <c r="M160" s="43" t="str">
        <f>IF(L160="Hold","Hold",IF(IFERROR(E160,0)&gt;=200,"High",IF(IFERROR(E160,0)&gt;=100,"Medium","Normal")))</f>
        <v>Hold</v>
      </c>
      <c r="N160" s="43" t="s">
        <v>90</v>
      </c>
      <c r="O160" s="43" t="s">
        <v>91</v>
      </c>
      <c r="P160" s="43" t="s">
        <v>92</v>
      </c>
      <c r="Q160" s="17" t="s">
        <v>93</v>
      </c>
      <c r="R160" s="45"/>
      <c r="S160" s="43"/>
      <c r="T160" s="43" t="s">
        <v>31</v>
      </c>
      <c r="U160" s="43" t="s">
        <v>94</v>
      </c>
      <c r="V160" s="43" t="s">
        <v>94</v>
      </c>
      <c r="W160" s="43" t="s">
        <v>95</v>
      </c>
      <c r="X160" s="45" t="str">
        <f>IF(AND(R160&lt;&gt;"",OR(U160="No reply",U160="Unknown")),R160+2,"")</f>
        <v/>
      </c>
      <c r="Y160" s="45"/>
      <c r="Z160" s="43" t="s">
        <v>96</v>
      </c>
      <c r="AA160" s="43" t="str">
        <f>IF(L160="Hold","Do not send",IF(T160="Not sent","Send WhatsApp",IF(U160="Demo booked","Prepare demo",IF(W160="Booked","Prepare demo",IF(AND(X160&lt;&gt;"",Y160=""),"Send follow-up","Review")))))</f>
        <v>Do not send</v>
      </c>
      <c r="AB160" s="43"/>
      <c r="AC160" s="43" t="s">
        <v>733</v>
      </c>
      <c r="AD160" s="43">
        <f>IF(AA160="Prepare demo",1,IF(AA160="Send follow-up",2,IF(AA160="Send WhatsApp",3,IF(AA160="Review",4,IF(AA160="Do not send",9,5)))))</f>
        <v>9</v>
      </c>
      <c r="AE160" s="43">
        <f>IF(M160="High",1,IF(M160="Medium",2,IF(M160="Normal",3,IF(M160="Hold",9,4))))</f>
        <v>9</v>
      </c>
      <c r="AF160" s="43">
        <f>IF(T160="Read",1,IF(T160="Delivered",2,IF(T160="Sent",3,IF(T160="Not sent",4,IF(T160="Failed",9,5)))))</f>
        <v>4</v>
      </c>
      <c r="AG160" s="43">
        <f>IF(U160="Demo booked",1,IF(U160="Interested",2,IF(U160="Replied",3,IF(U160="No reply",5,IF(U160="Not interested",8,IF(U160="Bad number",9,6))))))</f>
        <v>6</v>
      </c>
      <c r="AH160" s="46">
        <f>AD160*1000+AN160*100+AE160*10+AG160</f>
        <v>9596</v>
      </c>
      <c r="AI160" s="45">
        <f>MAX(IF(R160="",0,R160),IF(Y160="",0,Y160))</f>
        <v>0</v>
      </c>
      <c r="AJ160" s="43" t="str">
        <f ca="1">IF(AND(X160&lt;&gt;"",Y160="",X160&lt;TODAY()),"Overdue",IF(AND(X160&lt;&gt;"",Y160="",X160=TODAY()),"Due today",IF(Y160&lt;&gt;"","Follow-up sent","")))</f>
        <v/>
      </c>
      <c r="AK160" s="50" t="s">
        <v>734</v>
      </c>
      <c r="AL160" s="50" t="s">
        <v>735</v>
      </c>
      <c r="AM160" s="50" t="s">
        <v>736</v>
      </c>
      <c r="AN160" s="50">
        <v>5</v>
      </c>
      <c r="AO160" s="54" t="s">
        <v>883</v>
      </c>
      <c r="AP160" s="57" t="s">
        <v>127</v>
      </c>
      <c r="AQ160" s="58"/>
      <c r="AR160" s="57"/>
    </row>
    <row r="161" spans="1:44" ht="54" customHeight="1" x14ac:dyDescent="0.25">
      <c r="A161" s="43" t="s">
        <v>884</v>
      </c>
      <c r="B161" s="43" t="s">
        <v>885</v>
      </c>
      <c r="C161" s="43" t="s">
        <v>885</v>
      </c>
      <c r="D161" s="44" t="s">
        <v>886</v>
      </c>
      <c r="E161" s="43"/>
      <c r="F161" s="43" t="s">
        <v>729</v>
      </c>
      <c r="G161" s="45"/>
      <c r="H161" s="45">
        <v>46161</v>
      </c>
      <c r="I161" s="43" t="s">
        <v>730</v>
      </c>
      <c r="J161" s="43" t="s">
        <v>731</v>
      </c>
      <c r="K161" s="43" t="str">
        <f>IF(LEN(D161)=10,"OK","Check")</f>
        <v>OK</v>
      </c>
      <c r="L161" s="43" t="s">
        <v>732</v>
      </c>
      <c r="M161" s="43" t="str">
        <f>IF(L161="Hold","Hold",IF(IFERROR(E161,0)&gt;=200,"High",IF(IFERROR(E161,0)&gt;=100,"Medium","Normal")))</f>
        <v>Hold</v>
      </c>
      <c r="N161" s="43" t="s">
        <v>90</v>
      </c>
      <c r="O161" s="43" t="s">
        <v>91</v>
      </c>
      <c r="P161" s="43" t="s">
        <v>92</v>
      </c>
      <c r="Q161" s="17" t="s">
        <v>93</v>
      </c>
      <c r="R161" s="45"/>
      <c r="S161" s="43"/>
      <c r="T161" s="43" t="s">
        <v>31</v>
      </c>
      <c r="U161" s="43" t="s">
        <v>94</v>
      </c>
      <c r="V161" s="43" t="s">
        <v>94</v>
      </c>
      <c r="W161" s="43" t="s">
        <v>95</v>
      </c>
      <c r="X161" s="45" t="str">
        <f>IF(AND(R161&lt;&gt;"",OR(U161="No reply",U161="Unknown")),R161+2,"")</f>
        <v/>
      </c>
      <c r="Y161" s="45"/>
      <c r="Z161" s="43" t="s">
        <v>96</v>
      </c>
      <c r="AA161" s="43" t="str">
        <f>IF(L161="Hold","Do not send",IF(T161="Not sent","Send WhatsApp",IF(U161="Demo booked","Prepare demo",IF(W161="Booked","Prepare demo",IF(AND(X161&lt;&gt;"",Y161=""),"Send follow-up","Review")))))</f>
        <v>Do not send</v>
      </c>
      <c r="AB161" s="43"/>
      <c r="AC161" s="43" t="s">
        <v>733</v>
      </c>
      <c r="AD161" s="43">
        <f>IF(AA161="Prepare demo",1,IF(AA161="Send follow-up",2,IF(AA161="Send WhatsApp",3,IF(AA161="Review",4,IF(AA161="Do not send",9,5)))))</f>
        <v>9</v>
      </c>
      <c r="AE161" s="43">
        <f>IF(M161="High",1,IF(M161="Medium",2,IF(M161="Normal",3,IF(M161="Hold",9,4))))</f>
        <v>9</v>
      </c>
      <c r="AF161" s="43">
        <f>IF(T161="Read",1,IF(T161="Delivered",2,IF(T161="Sent",3,IF(T161="Not sent",4,IF(T161="Failed",9,5)))))</f>
        <v>4</v>
      </c>
      <c r="AG161" s="43">
        <f>IF(U161="Demo booked",1,IF(U161="Interested",2,IF(U161="Replied",3,IF(U161="No reply",5,IF(U161="Not interested",8,IF(U161="Bad number",9,6))))))</f>
        <v>6</v>
      </c>
      <c r="AH161" s="46">
        <f>AD161*1000+AN161*100+AE161*10+AG161</f>
        <v>9596</v>
      </c>
      <c r="AI161" s="45">
        <f>MAX(IF(R161="",0,R161),IF(Y161="",0,Y161))</f>
        <v>0</v>
      </c>
      <c r="AJ161" s="43" t="str">
        <f ca="1">IF(AND(X161&lt;&gt;"",Y161="",X161&lt;TODAY()),"Overdue",IF(AND(X161&lt;&gt;"",Y161="",X161=TODAY()),"Due today",IF(Y161&lt;&gt;"","Follow-up sent","")))</f>
        <v/>
      </c>
      <c r="AK161" s="50" t="s">
        <v>734</v>
      </c>
      <c r="AL161" s="50" t="s">
        <v>735</v>
      </c>
      <c r="AM161" s="50" t="s">
        <v>736</v>
      </c>
      <c r="AN161" s="50">
        <v>5</v>
      </c>
      <c r="AO161" s="54" t="s">
        <v>887</v>
      </c>
      <c r="AP161" s="57" t="s">
        <v>127</v>
      </c>
      <c r="AQ161" s="58"/>
      <c r="AR161" s="57"/>
    </row>
    <row r="162" spans="1:44" ht="54" customHeight="1" x14ac:dyDescent="0.25">
      <c r="A162" s="43" t="s">
        <v>888</v>
      </c>
      <c r="B162" s="43" t="s">
        <v>790</v>
      </c>
      <c r="C162" s="43"/>
      <c r="D162" s="44" t="s">
        <v>889</v>
      </c>
      <c r="E162" s="43"/>
      <c r="F162" s="43" t="s">
        <v>729</v>
      </c>
      <c r="G162" s="45"/>
      <c r="H162" s="45">
        <v>46161</v>
      </c>
      <c r="I162" s="43" t="s">
        <v>730</v>
      </c>
      <c r="J162" s="43" t="s">
        <v>731</v>
      </c>
      <c r="K162" s="43" t="str">
        <f>IF(LEN(D162)=10,"OK","Check")</f>
        <v>OK</v>
      </c>
      <c r="L162" s="43" t="s">
        <v>732</v>
      </c>
      <c r="M162" s="43" t="str">
        <f>IF(L162="Hold","Hold",IF(IFERROR(E162,0)&gt;=200,"High",IF(IFERROR(E162,0)&gt;=100,"Medium","Normal")))</f>
        <v>Hold</v>
      </c>
      <c r="N162" s="43" t="s">
        <v>90</v>
      </c>
      <c r="O162" s="43" t="s">
        <v>91</v>
      </c>
      <c r="P162" s="43" t="s">
        <v>92</v>
      </c>
      <c r="Q162" s="17" t="s">
        <v>93</v>
      </c>
      <c r="R162" s="45"/>
      <c r="S162" s="43"/>
      <c r="T162" s="43" t="s">
        <v>31</v>
      </c>
      <c r="U162" s="43" t="s">
        <v>94</v>
      </c>
      <c r="V162" s="43" t="s">
        <v>94</v>
      </c>
      <c r="W162" s="43" t="s">
        <v>95</v>
      </c>
      <c r="X162" s="45" t="str">
        <f>IF(AND(R162&lt;&gt;"",OR(U162="No reply",U162="Unknown")),R162+2,"")</f>
        <v/>
      </c>
      <c r="Y162" s="45"/>
      <c r="Z162" s="43" t="s">
        <v>96</v>
      </c>
      <c r="AA162" s="43" t="str">
        <f>IF(L162="Hold","Do not send",IF(T162="Not sent","Send WhatsApp",IF(U162="Demo booked","Prepare demo",IF(W162="Booked","Prepare demo",IF(AND(X162&lt;&gt;"",Y162=""),"Send follow-up","Review")))))</f>
        <v>Do not send</v>
      </c>
      <c r="AB162" s="43"/>
      <c r="AC162" s="43" t="s">
        <v>733</v>
      </c>
      <c r="AD162" s="43">
        <f>IF(AA162="Prepare demo",1,IF(AA162="Send follow-up",2,IF(AA162="Send WhatsApp",3,IF(AA162="Review",4,IF(AA162="Do not send",9,5)))))</f>
        <v>9</v>
      </c>
      <c r="AE162" s="43">
        <f>IF(M162="High",1,IF(M162="Medium",2,IF(M162="Normal",3,IF(M162="Hold",9,4))))</f>
        <v>9</v>
      </c>
      <c r="AF162" s="43">
        <f>IF(T162="Read",1,IF(T162="Delivered",2,IF(T162="Sent",3,IF(T162="Not sent",4,IF(T162="Failed",9,5)))))</f>
        <v>4</v>
      </c>
      <c r="AG162" s="43">
        <f>IF(U162="Demo booked",1,IF(U162="Interested",2,IF(U162="Replied",3,IF(U162="No reply",5,IF(U162="Not interested",8,IF(U162="Bad number",9,6))))))</f>
        <v>6</v>
      </c>
      <c r="AH162" s="46">
        <f>AD162*1000+AN162*100+AE162*10+AG162</f>
        <v>9596</v>
      </c>
      <c r="AI162" s="45">
        <f>MAX(IF(R162="",0,R162),IF(Y162="",0,Y162))</f>
        <v>0</v>
      </c>
      <c r="AJ162" s="43" t="str">
        <f ca="1">IF(AND(X162&lt;&gt;"",Y162="",X162&lt;TODAY()),"Overdue",IF(AND(X162&lt;&gt;"",Y162="",X162=TODAY()),"Due today",IF(Y162&lt;&gt;"","Follow-up sent","")))</f>
        <v/>
      </c>
      <c r="AK162" s="50" t="s">
        <v>734</v>
      </c>
      <c r="AL162" s="50" t="s">
        <v>735</v>
      </c>
      <c r="AM162" s="50" t="s">
        <v>736</v>
      </c>
      <c r="AN162" s="50">
        <v>5</v>
      </c>
      <c r="AO162" s="54" t="s">
        <v>890</v>
      </c>
      <c r="AP162" s="57" t="s">
        <v>127</v>
      </c>
      <c r="AQ162" s="58"/>
      <c r="AR162" s="57"/>
    </row>
    <row r="163" spans="1:44" ht="54" customHeight="1" x14ac:dyDescent="0.25">
      <c r="A163" s="43" t="s">
        <v>891</v>
      </c>
      <c r="B163" s="43" t="s">
        <v>790</v>
      </c>
      <c r="C163" s="43"/>
      <c r="D163" s="44" t="s">
        <v>892</v>
      </c>
      <c r="E163" s="43"/>
      <c r="F163" s="43" t="s">
        <v>729</v>
      </c>
      <c r="G163" s="45"/>
      <c r="H163" s="45">
        <v>46161</v>
      </c>
      <c r="I163" s="43" t="s">
        <v>730</v>
      </c>
      <c r="J163" s="43" t="s">
        <v>731</v>
      </c>
      <c r="K163" s="43" t="str">
        <f>IF(LEN(D163)=10,"OK","Check")</f>
        <v>OK</v>
      </c>
      <c r="L163" s="43" t="s">
        <v>732</v>
      </c>
      <c r="M163" s="43" t="str">
        <f>IF(L163="Hold","Hold",IF(IFERROR(E163,0)&gt;=200,"High",IF(IFERROR(E163,0)&gt;=100,"Medium","Normal")))</f>
        <v>Hold</v>
      </c>
      <c r="N163" s="43" t="s">
        <v>90</v>
      </c>
      <c r="O163" s="43" t="s">
        <v>91</v>
      </c>
      <c r="P163" s="43" t="s">
        <v>92</v>
      </c>
      <c r="Q163" s="17" t="s">
        <v>93</v>
      </c>
      <c r="R163" s="45"/>
      <c r="S163" s="43"/>
      <c r="T163" s="43" t="s">
        <v>31</v>
      </c>
      <c r="U163" s="43" t="s">
        <v>94</v>
      </c>
      <c r="V163" s="43" t="s">
        <v>94</v>
      </c>
      <c r="W163" s="43" t="s">
        <v>95</v>
      </c>
      <c r="X163" s="45" t="str">
        <f>IF(AND(R163&lt;&gt;"",OR(U163="No reply",U163="Unknown")),R163+2,"")</f>
        <v/>
      </c>
      <c r="Y163" s="45"/>
      <c r="Z163" s="43" t="s">
        <v>96</v>
      </c>
      <c r="AA163" s="43" t="str">
        <f>IF(L163="Hold","Do not send",IF(T163="Not sent","Send WhatsApp",IF(U163="Demo booked","Prepare demo",IF(W163="Booked","Prepare demo",IF(AND(X163&lt;&gt;"",Y163=""),"Send follow-up","Review")))))</f>
        <v>Do not send</v>
      </c>
      <c r="AB163" s="43"/>
      <c r="AC163" s="43" t="s">
        <v>733</v>
      </c>
      <c r="AD163" s="43">
        <f>IF(AA163="Prepare demo",1,IF(AA163="Send follow-up",2,IF(AA163="Send WhatsApp",3,IF(AA163="Review",4,IF(AA163="Do not send",9,5)))))</f>
        <v>9</v>
      </c>
      <c r="AE163" s="43">
        <f>IF(M163="High",1,IF(M163="Medium",2,IF(M163="Normal",3,IF(M163="Hold",9,4))))</f>
        <v>9</v>
      </c>
      <c r="AF163" s="43">
        <f>IF(T163="Read",1,IF(T163="Delivered",2,IF(T163="Sent",3,IF(T163="Not sent",4,IF(T163="Failed",9,5)))))</f>
        <v>4</v>
      </c>
      <c r="AG163" s="43">
        <f>IF(U163="Demo booked",1,IF(U163="Interested",2,IF(U163="Replied",3,IF(U163="No reply",5,IF(U163="Not interested",8,IF(U163="Bad number",9,6))))))</f>
        <v>6</v>
      </c>
      <c r="AH163" s="46">
        <f>AD163*1000+AN163*100+AE163*10+AG163</f>
        <v>9596</v>
      </c>
      <c r="AI163" s="45">
        <f>MAX(IF(R163="",0,R163),IF(Y163="",0,Y163))</f>
        <v>0</v>
      </c>
      <c r="AJ163" s="43" t="str">
        <f ca="1">IF(AND(X163&lt;&gt;"",Y163="",X163&lt;TODAY()),"Overdue",IF(AND(X163&lt;&gt;"",Y163="",X163=TODAY()),"Due today",IF(Y163&lt;&gt;"","Follow-up sent","")))</f>
        <v/>
      </c>
      <c r="AK163" s="50" t="s">
        <v>734</v>
      </c>
      <c r="AL163" s="50" t="s">
        <v>735</v>
      </c>
      <c r="AM163" s="50" t="s">
        <v>736</v>
      </c>
      <c r="AN163" s="50">
        <v>5</v>
      </c>
      <c r="AO163" s="54" t="s">
        <v>893</v>
      </c>
      <c r="AP163" s="57" t="s">
        <v>127</v>
      </c>
      <c r="AQ163" s="58"/>
      <c r="AR163" s="57"/>
    </row>
    <row r="164" spans="1:44" ht="54" customHeight="1" x14ac:dyDescent="0.25">
      <c r="A164" s="43" t="s">
        <v>894</v>
      </c>
      <c r="B164" s="43" t="s">
        <v>790</v>
      </c>
      <c r="C164" s="43"/>
      <c r="D164" s="44" t="s">
        <v>895</v>
      </c>
      <c r="E164" s="43"/>
      <c r="F164" s="43" t="s">
        <v>729</v>
      </c>
      <c r="G164" s="45"/>
      <c r="H164" s="45">
        <v>46161</v>
      </c>
      <c r="I164" s="43" t="s">
        <v>730</v>
      </c>
      <c r="J164" s="43" t="s">
        <v>731</v>
      </c>
      <c r="K164" s="43" t="str">
        <f>IF(LEN(D164)=10,"OK","Check")</f>
        <v>OK</v>
      </c>
      <c r="L164" s="43" t="s">
        <v>732</v>
      </c>
      <c r="M164" s="43" t="str">
        <f>IF(L164="Hold","Hold",IF(IFERROR(E164,0)&gt;=200,"High",IF(IFERROR(E164,0)&gt;=100,"Medium","Normal")))</f>
        <v>Hold</v>
      </c>
      <c r="N164" s="43" t="s">
        <v>90</v>
      </c>
      <c r="O164" s="43" t="s">
        <v>91</v>
      </c>
      <c r="P164" s="43" t="s">
        <v>92</v>
      </c>
      <c r="Q164" s="17" t="s">
        <v>93</v>
      </c>
      <c r="R164" s="45"/>
      <c r="S164" s="43"/>
      <c r="T164" s="43" t="s">
        <v>31</v>
      </c>
      <c r="U164" s="43" t="s">
        <v>94</v>
      </c>
      <c r="V164" s="43" t="s">
        <v>94</v>
      </c>
      <c r="W164" s="43" t="s">
        <v>95</v>
      </c>
      <c r="X164" s="45" t="str">
        <f>IF(AND(R164&lt;&gt;"",OR(U164="No reply",U164="Unknown")),R164+2,"")</f>
        <v/>
      </c>
      <c r="Y164" s="45"/>
      <c r="Z164" s="43" t="s">
        <v>96</v>
      </c>
      <c r="AA164" s="43" t="str">
        <f>IF(L164="Hold","Do not send",IF(T164="Not sent","Send WhatsApp",IF(U164="Demo booked","Prepare demo",IF(W164="Booked","Prepare demo",IF(AND(X164&lt;&gt;"",Y164=""),"Send follow-up","Review")))))</f>
        <v>Do not send</v>
      </c>
      <c r="AB164" s="43"/>
      <c r="AC164" s="43" t="s">
        <v>733</v>
      </c>
      <c r="AD164" s="43">
        <f>IF(AA164="Prepare demo",1,IF(AA164="Send follow-up",2,IF(AA164="Send WhatsApp",3,IF(AA164="Review",4,IF(AA164="Do not send",9,5)))))</f>
        <v>9</v>
      </c>
      <c r="AE164" s="43">
        <f>IF(M164="High",1,IF(M164="Medium",2,IF(M164="Normal",3,IF(M164="Hold",9,4))))</f>
        <v>9</v>
      </c>
      <c r="AF164" s="43">
        <f>IF(T164="Read",1,IF(T164="Delivered",2,IF(T164="Sent",3,IF(T164="Not sent",4,IF(T164="Failed",9,5)))))</f>
        <v>4</v>
      </c>
      <c r="AG164" s="43">
        <f>IF(U164="Demo booked",1,IF(U164="Interested",2,IF(U164="Replied",3,IF(U164="No reply",5,IF(U164="Not interested",8,IF(U164="Bad number",9,6))))))</f>
        <v>6</v>
      </c>
      <c r="AH164" s="46">
        <f>AD164*1000+AN164*100+AE164*10+AG164</f>
        <v>9596</v>
      </c>
      <c r="AI164" s="45">
        <f>MAX(IF(R164="",0,R164),IF(Y164="",0,Y164))</f>
        <v>0</v>
      </c>
      <c r="AJ164" s="43" t="str">
        <f ca="1">IF(AND(X164&lt;&gt;"",Y164="",X164&lt;TODAY()),"Overdue",IF(AND(X164&lt;&gt;"",Y164="",X164=TODAY()),"Due today",IF(Y164&lt;&gt;"","Follow-up sent","")))</f>
        <v/>
      </c>
      <c r="AK164" s="50" t="s">
        <v>734</v>
      </c>
      <c r="AL164" s="50" t="s">
        <v>735</v>
      </c>
      <c r="AM164" s="50" t="s">
        <v>736</v>
      </c>
      <c r="AN164" s="50">
        <v>5</v>
      </c>
      <c r="AO164" s="54" t="s">
        <v>896</v>
      </c>
      <c r="AP164" s="57" t="s">
        <v>127</v>
      </c>
      <c r="AQ164" s="58"/>
      <c r="AR164" s="57"/>
    </row>
    <row r="165" spans="1:44" ht="54" customHeight="1" x14ac:dyDescent="0.25">
      <c r="A165" s="43" t="s">
        <v>897</v>
      </c>
      <c r="B165" s="43" t="s">
        <v>790</v>
      </c>
      <c r="C165" s="43"/>
      <c r="D165" s="44" t="s">
        <v>898</v>
      </c>
      <c r="E165" s="43"/>
      <c r="F165" s="43" t="s">
        <v>729</v>
      </c>
      <c r="G165" s="45"/>
      <c r="H165" s="45">
        <v>46161</v>
      </c>
      <c r="I165" s="43" t="s">
        <v>730</v>
      </c>
      <c r="J165" s="43" t="s">
        <v>731</v>
      </c>
      <c r="K165" s="43" t="str">
        <f>IF(LEN(D165)=10,"OK","Check")</f>
        <v>OK</v>
      </c>
      <c r="L165" s="43" t="s">
        <v>732</v>
      </c>
      <c r="M165" s="43" t="str">
        <f>IF(L165="Hold","Hold",IF(IFERROR(E165,0)&gt;=200,"High",IF(IFERROR(E165,0)&gt;=100,"Medium","Normal")))</f>
        <v>Hold</v>
      </c>
      <c r="N165" s="43" t="s">
        <v>90</v>
      </c>
      <c r="O165" s="43" t="s">
        <v>91</v>
      </c>
      <c r="P165" s="43" t="s">
        <v>92</v>
      </c>
      <c r="Q165" s="17" t="s">
        <v>93</v>
      </c>
      <c r="R165" s="45"/>
      <c r="S165" s="43"/>
      <c r="T165" s="43" t="s">
        <v>31</v>
      </c>
      <c r="U165" s="43" t="s">
        <v>94</v>
      </c>
      <c r="V165" s="43" t="s">
        <v>94</v>
      </c>
      <c r="W165" s="43" t="s">
        <v>95</v>
      </c>
      <c r="X165" s="45" t="str">
        <f>IF(AND(R165&lt;&gt;"",OR(U165="No reply",U165="Unknown")),R165+2,"")</f>
        <v/>
      </c>
      <c r="Y165" s="45"/>
      <c r="Z165" s="43" t="s">
        <v>96</v>
      </c>
      <c r="AA165" s="43" t="str">
        <f>IF(L165="Hold","Do not send",IF(T165="Not sent","Send WhatsApp",IF(U165="Demo booked","Prepare demo",IF(W165="Booked","Prepare demo",IF(AND(X165&lt;&gt;"",Y165=""),"Send follow-up","Review")))))</f>
        <v>Do not send</v>
      </c>
      <c r="AB165" s="43"/>
      <c r="AC165" s="43" t="s">
        <v>733</v>
      </c>
      <c r="AD165" s="43">
        <f>IF(AA165="Prepare demo",1,IF(AA165="Send follow-up",2,IF(AA165="Send WhatsApp",3,IF(AA165="Review",4,IF(AA165="Do not send",9,5)))))</f>
        <v>9</v>
      </c>
      <c r="AE165" s="43">
        <f>IF(M165="High",1,IF(M165="Medium",2,IF(M165="Normal",3,IF(M165="Hold",9,4))))</f>
        <v>9</v>
      </c>
      <c r="AF165" s="43">
        <f>IF(T165="Read",1,IF(T165="Delivered",2,IF(T165="Sent",3,IF(T165="Not sent",4,IF(T165="Failed",9,5)))))</f>
        <v>4</v>
      </c>
      <c r="AG165" s="43">
        <f>IF(U165="Demo booked",1,IF(U165="Interested",2,IF(U165="Replied",3,IF(U165="No reply",5,IF(U165="Not interested",8,IF(U165="Bad number",9,6))))))</f>
        <v>6</v>
      </c>
      <c r="AH165" s="46">
        <f>AD165*1000+AN165*100+AE165*10+AG165</f>
        <v>9596</v>
      </c>
      <c r="AI165" s="45">
        <f>MAX(IF(R165="",0,R165),IF(Y165="",0,Y165))</f>
        <v>0</v>
      </c>
      <c r="AJ165" s="43" t="str">
        <f ca="1">IF(AND(X165&lt;&gt;"",Y165="",X165&lt;TODAY()),"Overdue",IF(AND(X165&lt;&gt;"",Y165="",X165=TODAY()),"Due today",IF(Y165&lt;&gt;"","Follow-up sent","")))</f>
        <v/>
      </c>
      <c r="AK165" s="50" t="s">
        <v>734</v>
      </c>
      <c r="AL165" s="50" t="s">
        <v>735</v>
      </c>
      <c r="AM165" s="50" t="s">
        <v>736</v>
      </c>
      <c r="AN165" s="50">
        <v>5</v>
      </c>
      <c r="AO165" s="54" t="s">
        <v>899</v>
      </c>
      <c r="AP165" s="57" t="s">
        <v>127</v>
      </c>
      <c r="AQ165" s="58"/>
      <c r="AR165" s="57"/>
    </row>
    <row r="166" spans="1:44" ht="54" customHeight="1" x14ac:dyDescent="0.25">
      <c r="A166" s="43" t="s">
        <v>900</v>
      </c>
      <c r="B166" s="43" t="s">
        <v>790</v>
      </c>
      <c r="C166" s="43"/>
      <c r="D166" s="44" t="s">
        <v>901</v>
      </c>
      <c r="E166" s="43"/>
      <c r="F166" s="43" t="s">
        <v>729</v>
      </c>
      <c r="G166" s="45"/>
      <c r="H166" s="45">
        <v>46161</v>
      </c>
      <c r="I166" s="43" t="s">
        <v>730</v>
      </c>
      <c r="J166" s="43" t="s">
        <v>731</v>
      </c>
      <c r="K166" s="43" t="str">
        <f>IF(LEN(D166)=10,"OK","Check")</f>
        <v>OK</v>
      </c>
      <c r="L166" s="43" t="s">
        <v>732</v>
      </c>
      <c r="M166" s="43" t="str">
        <f>IF(L166="Hold","Hold",IF(IFERROR(E166,0)&gt;=200,"High",IF(IFERROR(E166,0)&gt;=100,"Medium","Normal")))</f>
        <v>Hold</v>
      </c>
      <c r="N166" s="43" t="s">
        <v>90</v>
      </c>
      <c r="O166" s="43" t="s">
        <v>91</v>
      </c>
      <c r="P166" s="43" t="s">
        <v>92</v>
      </c>
      <c r="Q166" s="17" t="s">
        <v>93</v>
      </c>
      <c r="R166" s="45"/>
      <c r="S166" s="43"/>
      <c r="T166" s="43" t="s">
        <v>31</v>
      </c>
      <c r="U166" s="43" t="s">
        <v>94</v>
      </c>
      <c r="V166" s="43" t="s">
        <v>94</v>
      </c>
      <c r="W166" s="43" t="s">
        <v>95</v>
      </c>
      <c r="X166" s="45" t="str">
        <f>IF(AND(R166&lt;&gt;"",OR(U166="No reply",U166="Unknown")),R166+2,"")</f>
        <v/>
      </c>
      <c r="Y166" s="45"/>
      <c r="Z166" s="43" t="s">
        <v>96</v>
      </c>
      <c r="AA166" s="43" t="str">
        <f>IF(L166="Hold","Do not send",IF(T166="Not sent","Send WhatsApp",IF(U166="Demo booked","Prepare demo",IF(W166="Booked","Prepare demo",IF(AND(X166&lt;&gt;"",Y166=""),"Send follow-up","Review")))))</f>
        <v>Do not send</v>
      </c>
      <c r="AB166" s="43"/>
      <c r="AC166" s="43" t="s">
        <v>733</v>
      </c>
      <c r="AD166" s="43">
        <f>IF(AA166="Prepare demo",1,IF(AA166="Send follow-up",2,IF(AA166="Send WhatsApp",3,IF(AA166="Review",4,IF(AA166="Do not send",9,5)))))</f>
        <v>9</v>
      </c>
      <c r="AE166" s="43">
        <f>IF(M166="High",1,IF(M166="Medium",2,IF(M166="Normal",3,IF(M166="Hold",9,4))))</f>
        <v>9</v>
      </c>
      <c r="AF166" s="43">
        <f>IF(T166="Read",1,IF(T166="Delivered",2,IF(T166="Sent",3,IF(T166="Not sent",4,IF(T166="Failed",9,5)))))</f>
        <v>4</v>
      </c>
      <c r="AG166" s="43">
        <f>IF(U166="Demo booked",1,IF(U166="Interested",2,IF(U166="Replied",3,IF(U166="No reply",5,IF(U166="Not interested",8,IF(U166="Bad number",9,6))))))</f>
        <v>6</v>
      </c>
      <c r="AH166" s="46">
        <f>AD166*1000+AN166*100+AE166*10+AG166</f>
        <v>9596</v>
      </c>
      <c r="AI166" s="45">
        <f>MAX(IF(R166="",0,R166),IF(Y166="",0,Y166))</f>
        <v>0</v>
      </c>
      <c r="AJ166" s="43" t="str">
        <f ca="1">IF(AND(X166&lt;&gt;"",Y166="",X166&lt;TODAY()),"Overdue",IF(AND(X166&lt;&gt;"",Y166="",X166=TODAY()),"Due today",IF(Y166&lt;&gt;"","Follow-up sent","")))</f>
        <v/>
      </c>
      <c r="AK166" s="50" t="s">
        <v>734</v>
      </c>
      <c r="AL166" s="50" t="s">
        <v>735</v>
      </c>
      <c r="AM166" s="50" t="s">
        <v>736</v>
      </c>
      <c r="AN166" s="50">
        <v>5</v>
      </c>
      <c r="AO166" s="54" t="s">
        <v>902</v>
      </c>
      <c r="AP166" s="57" t="s">
        <v>127</v>
      </c>
      <c r="AQ166" s="58"/>
      <c r="AR166" s="57"/>
    </row>
    <row r="167" spans="1:44" ht="54" customHeight="1" x14ac:dyDescent="0.25">
      <c r="A167" s="43" t="s">
        <v>903</v>
      </c>
      <c r="B167" s="43" t="s">
        <v>790</v>
      </c>
      <c r="C167" s="43"/>
      <c r="D167" s="44" t="s">
        <v>904</v>
      </c>
      <c r="E167" s="43"/>
      <c r="F167" s="43" t="s">
        <v>729</v>
      </c>
      <c r="G167" s="45"/>
      <c r="H167" s="45">
        <v>46161</v>
      </c>
      <c r="I167" s="43" t="s">
        <v>730</v>
      </c>
      <c r="J167" s="43" t="s">
        <v>731</v>
      </c>
      <c r="K167" s="43" t="str">
        <f>IF(LEN(D167)=10,"OK","Check")</f>
        <v>OK</v>
      </c>
      <c r="L167" s="43" t="s">
        <v>732</v>
      </c>
      <c r="M167" s="43" t="str">
        <f>IF(L167="Hold","Hold",IF(IFERROR(E167,0)&gt;=200,"High",IF(IFERROR(E167,0)&gt;=100,"Medium","Normal")))</f>
        <v>Hold</v>
      </c>
      <c r="N167" s="43" t="s">
        <v>90</v>
      </c>
      <c r="O167" s="43" t="s">
        <v>91</v>
      </c>
      <c r="P167" s="43" t="s">
        <v>92</v>
      </c>
      <c r="Q167" s="17" t="s">
        <v>93</v>
      </c>
      <c r="R167" s="45"/>
      <c r="S167" s="43"/>
      <c r="T167" s="43" t="s">
        <v>31</v>
      </c>
      <c r="U167" s="43" t="s">
        <v>94</v>
      </c>
      <c r="V167" s="43" t="s">
        <v>94</v>
      </c>
      <c r="W167" s="43" t="s">
        <v>95</v>
      </c>
      <c r="X167" s="45" t="str">
        <f>IF(AND(R167&lt;&gt;"",OR(U167="No reply",U167="Unknown")),R167+2,"")</f>
        <v/>
      </c>
      <c r="Y167" s="45"/>
      <c r="Z167" s="43" t="s">
        <v>96</v>
      </c>
      <c r="AA167" s="43" t="str">
        <f>IF(L167="Hold","Do not send",IF(T167="Not sent","Send WhatsApp",IF(U167="Demo booked","Prepare demo",IF(W167="Booked","Prepare demo",IF(AND(X167&lt;&gt;"",Y167=""),"Send follow-up","Review")))))</f>
        <v>Do not send</v>
      </c>
      <c r="AB167" s="43"/>
      <c r="AC167" s="43" t="s">
        <v>733</v>
      </c>
      <c r="AD167" s="43">
        <f>IF(AA167="Prepare demo",1,IF(AA167="Send follow-up",2,IF(AA167="Send WhatsApp",3,IF(AA167="Review",4,IF(AA167="Do not send",9,5)))))</f>
        <v>9</v>
      </c>
      <c r="AE167" s="43">
        <f>IF(M167="High",1,IF(M167="Medium",2,IF(M167="Normal",3,IF(M167="Hold",9,4))))</f>
        <v>9</v>
      </c>
      <c r="AF167" s="43">
        <f>IF(T167="Read",1,IF(T167="Delivered",2,IF(T167="Sent",3,IF(T167="Not sent",4,IF(T167="Failed",9,5)))))</f>
        <v>4</v>
      </c>
      <c r="AG167" s="43">
        <f>IF(U167="Demo booked",1,IF(U167="Interested",2,IF(U167="Replied",3,IF(U167="No reply",5,IF(U167="Not interested",8,IF(U167="Bad number",9,6))))))</f>
        <v>6</v>
      </c>
      <c r="AH167" s="46">
        <f>AD167*1000+AN167*100+AE167*10+AG167</f>
        <v>9596</v>
      </c>
      <c r="AI167" s="45">
        <f>MAX(IF(R167="",0,R167),IF(Y167="",0,Y167))</f>
        <v>0</v>
      </c>
      <c r="AJ167" s="43" t="str">
        <f ca="1">IF(AND(X167&lt;&gt;"",Y167="",X167&lt;TODAY()),"Overdue",IF(AND(X167&lt;&gt;"",Y167="",X167=TODAY()),"Due today",IF(Y167&lt;&gt;"","Follow-up sent","")))</f>
        <v/>
      </c>
      <c r="AK167" s="50" t="s">
        <v>734</v>
      </c>
      <c r="AL167" s="50" t="s">
        <v>735</v>
      </c>
      <c r="AM167" s="50" t="s">
        <v>736</v>
      </c>
      <c r="AN167" s="50">
        <v>5</v>
      </c>
      <c r="AO167" s="54" t="s">
        <v>905</v>
      </c>
      <c r="AP167" s="57" t="s">
        <v>127</v>
      </c>
      <c r="AQ167" s="58"/>
      <c r="AR167" s="57"/>
    </row>
    <row r="168" spans="1:44" ht="54" customHeight="1" x14ac:dyDescent="0.25">
      <c r="A168" s="43" t="s">
        <v>906</v>
      </c>
      <c r="B168" s="43" t="s">
        <v>790</v>
      </c>
      <c r="C168" s="43"/>
      <c r="D168" s="44" t="s">
        <v>907</v>
      </c>
      <c r="E168" s="43"/>
      <c r="F168" s="43" t="s">
        <v>729</v>
      </c>
      <c r="G168" s="45"/>
      <c r="H168" s="45">
        <v>46161</v>
      </c>
      <c r="I168" s="43" t="s">
        <v>730</v>
      </c>
      <c r="J168" s="43" t="s">
        <v>731</v>
      </c>
      <c r="K168" s="43" t="str">
        <f>IF(LEN(D168)=10,"OK","Check")</f>
        <v>OK</v>
      </c>
      <c r="L168" s="43" t="s">
        <v>732</v>
      </c>
      <c r="M168" s="43" t="str">
        <f>IF(L168="Hold","Hold",IF(IFERROR(E168,0)&gt;=200,"High",IF(IFERROR(E168,0)&gt;=100,"Medium","Normal")))</f>
        <v>Hold</v>
      </c>
      <c r="N168" s="43" t="s">
        <v>90</v>
      </c>
      <c r="O168" s="43" t="s">
        <v>91</v>
      </c>
      <c r="P168" s="43" t="s">
        <v>92</v>
      </c>
      <c r="Q168" s="17" t="s">
        <v>93</v>
      </c>
      <c r="R168" s="45"/>
      <c r="S168" s="43"/>
      <c r="T168" s="43" t="s">
        <v>31</v>
      </c>
      <c r="U168" s="43" t="s">
        <v>94</v>
      </c>
      <c r="V168" s="43" t="s">
        <v>94</v>
      </c>
      <c r="W168" s="43" t="s">
        <v>95</v>
      </c>
      <c r="X168" s="45" t="str">
        <f>IF(AND(R168&lt;&gt;"",OR(U168="No reply",U168="Unknown")),R168+2,"")</f>
        <v/>
      </c>
      <c r="Y168" s="45"/>
      <c r="Z168" s="43" t="s">
        <v>96</v>
      </c>
      <c r="AA168" s="43" t="str">
        <f>IF(L168="Hold","Do not send",IF(T168="Not sent","Send WhatsApp",IF(U168="Demo booked","Prepare demo",IF(W168="Booked","Prepare demo",IF(AND(X168&lt;&gt;"",Y168=""),"Send follow-up","Review")))))</f>
        <v>Do not send</v>
      </c>
      <c r="AB168" s="43"/>
      <c r="AC168" s="43" t="s">
        <v>733</v>
      </c>
      <c r="AD168" s="43">
        <f>IF(AA168="Prepare demo",1,IF(AA168="Send follow-up",2,IF(AA168="Send WhatsApp",3,IF(AA168="Review",4,IF(AA168="Do not send",9,5)))))</f>
        <v>9</v>
      </c>
      <c r="AE168" s="43">
        <f>IF(M168="High",1,IF(M168="Medium",2,IF(M168="Normal",3,IF(M168="Hold",9,4))))</f>
        <v>9</v>
      </c>
      <c r="AF168" s="43">
        <f>IF(T168="Read",1,IF(T168="Delivered",2,IF(T168="Sent",3,IF(T168="Not sent",4,IF(T168="Failed",9,5)))))</f>
        <v>4</v>
      </c>
      <c r="AG168" s="43">
        <f>IF(U168="Demo booked",1,IF(U168="Interested",2,IF(U168="Replied",3,IF(U168="No reply",5,IF(U168="Not interested",8,IF(U168="Bad number",9,6))))))</f>
        <v>6</v>
      </c>
      <c r="AH168" s="46">
        <f>AD168*1000+AN168*100+AE168*10+AG168</f>
        <v>9596</v>
      </c>
      <c r="AI168" s="45">
        <f>MAX(IF(R168="",0,R168),IF(Y168="",0,Y168))</f>
        <v>0</v>
      </c>
      <c r="AJ168" s="43" t="str">
        <f ca="1">IF(AND(X168&lt;&gt;"",Y168="",X168&lt;TODAY()),"Overdue",IF(AND(X168&lt;&gt;"",Y168="",X168=TODAY()),"Due today",IF(Y168&lt;&gt;"","Follow-up sent","")))</f>
        <v/>
      </c>
      <c r="AK168" s="50" t="s">
        <v>734</v>
      </c>
      <c r="AL168" s="50" t="s">
        <v>735</v>
      </c>
      <c r="AM168" s="50" t="s">
        <v>736</v>
      </c>
      <c r="AN168" s="50">
        <v>5</v>
      </c>
      <c r="AO168" s="54" t="s">
        <v>908</v>
      </c>
      <c r="AP168" s="57" t="s">
        <v>127</v>
      </c>
      <c r="AQ168" s="58"/>
      <c r="AR168" s="57"/>
    </row>
    <row r="169" spans="1:44" ht="54" customHeight="1" x14ac:dyDescent="0.25">
      <c r="A169" s="43" t="s">
        <v>909</v>
      </c>
      <c r="B169" s="43" t="s">
        <v>790</v>
      </c>
      <c r="C169" s="43"/>
      <c r="D169" s="44" t="s">
        <v>910</v>
      </c>
      <c r="E169" s="43"/>
      <c r="F169" s="43" t="s">
        <v>729</v>
      </c>
      <c r="G169" s="45"/>
      <c r="H169" s="45">
        <v>46161</v>
      </c>
      <c r="I169" s="43" t="s">
        <v>730</v>
      </c>
      <c r="J169" s="43" t="s">
        <v>731</v>
      </c>
      <c r="K169" s="43" t="str">
        <f>IF(LEN(D169)=10,"OK","Check")</f>
        <v>OK</v>
      </c>
      <c r="L169" s="43" t="s">
        <v>732</v>
      </c>
      <c r="M169" s="43" t="str">
        <f>IF(L169="Hold","Hold",IF(IFERROR(E169,0)&gt;=200,"High",IF(IFERROR(E169,0)&gt;=100,"Medium","Normal")))</f>
        <v>Hold</v>
      </c>
      <c r="N169" s="43" t="s">
        <v>90</v>
      </c>
      <c r="O169" s="43" t="s">
        <v>91</v>
      </c>
      <c r="P169" s="43" t="s">
        <v>92</v>
      </c>
      <c r="Q169" s="17" t="s">
        <v>93</v>
      </c>
      <c r="R169" s="45"/>
      <c r="S169" s="43"/>
      <c r="T169" s="43" t="s">
        <v>31</v>
      </c>
      <c r="U169" s="43" t="s">
        <v>94</v>
      </c>
      <c r="V169" s="43" t="s">
        <v>94</v>
      </c>
      <c r="W169" s="43" t="s">
        <v>95</v>
      </c>
      <c r="X169" s="45" t="str">
        <f>IF(AND(R169&lt;&gt;"",OR(U169="No reply",U169="Unknown")),R169+2,"")</f>
        <v/>
      </c>
      <c r="Y169" s="45"/>
      <c r="Z169" s="43" t="s">
        <v>96</v>
      </c>
      <c r="AA169" s="43" t="str">
        <f>IF(L169="Hold","Do not send",IF(T169="Not sent","Send WhatsApp",IF(U169="Demo booked","Prepare demo",IF(W169="Booked","Prepare demo",IF(AND(X169&lt;&gt;"",Y169=""),"Send follow-up","Review")))))</f>
        <v>Do not send</v>
      </c>
      <c r="AB169" s="43"/>
      <c r="AC169" s="43" t="s">
        <v>733</v>
      </c>
      <c r="AD169" s="43">
        <f>IF(AA169="Prepare demo",1,IF(AA169="Send follow-up",2,IF(AA169="Send WhatsApp",3,IF(AA169="Review",4,IF(AA169="Do not send",9,5)))))</f>
        <v>9</v>
      </c>
      <c r="AE169" s="43">
        <f>IF(M169="High",1,IF(M169="Medium",2,IF(M169="Normal",3,IF(M169="Hold",9,4))))</f>
        <v>9</v>
      </c>
      <c r="AF169" s="43">
        <f>IF(T169="Read",1,IF(T169="Delivered",2,IF(T169="Sent",3,IF(T169="Not sent",4,IF(T169="Failed",9,5)))))</f>
        <v>4</v>
      </c>
      <c r="AG169" s="43">
        <f>IF(U169="Demo booked",1,IF(U169="Interested",2,IF(U169="Replied",3,IF(U169="No reply",5,IF(U169="Not interested",8,IF(U169="Bad number",9,6))))))</f>
        <v>6</v>
      </c>
      <c r="AH169" s="46">
        <f>AD169*1000+AN169*100+AE169*10+AG169</f>
        <v>9596</v>
      </c>
      <c r="AI169" s="45">
        <f>MAX(IF(R169="",0,R169),IF(Y169="",0,Y169))</f>
        <v>0</v>
      </c>
      <c r="AJ169" s="43" t="str">
        <f ca="1">IF(AND(X169&lt;&gt;"",Y169="",X169&lt;TODAY()),"Overdue",IF(AND(X169&lt;&gt;"",Y169="",X169=TODAY()),"Due today",IF(Y169&lt;&gt;"","Follow-up sent","")))</f>
        <v/>
      </c>
      <c r="AK169" s="50" t="s">
        <v>734</v>
      </c>
      <c r="AL169" s="50" t="s">
        <v>735</v>
      </c>
      <c r="AM169" s="50" t="s">
        <v>736</v>
      </c>
      <c r="AN169" s="50">
        <v>5</v>
      </c>
      <c r="AO169" s="54" t="s">
        <v>911</v>
      </c>
      <c r="AP169" s="57" t="s">
        <v>127</v>
      </c>
      <c r="AQ169" s="58"/>
      <c r="AR169" s="57"/>
    </row>
    <row r="170" spans="1:44" ht="54" customHeight="1" x14ac:dyDescent="0.25">
      <c r="A170" s="43" t="s">
        <v>912</v>
      </c>
      <c r="B170" s="43" t="s">
        <v>790</v>
      </c>
      <c r="C170" s="43"/>
      <c r="D170" s="44" t="s">
        <v>913</v>
      </c>
      <c r="E170" s="43"/>
      <c r="F170" s="43" t="s">
        <v>729</v>
      </c>
      <c r="G170" s="45"/>
      <c r="H170" s="45">
        <v>46161</v>
      </c>
      <c r="I170" s="43" t="s">
        <v>730</v>
      </c>
      <c r="J170" s="43" t="s">
        <v>731</v>
      </c>
      <c r="K170" s="43" t="str">
        <f>IF(LEN(D170)=10,"OK","Check")</f>
        <v>OK</v>
      </c>
      <c r="L170" s="43" t="s">
        <v>732</v>
      </c>
      <c r="M170" s="43" t="str">
        <f>IF(L170="Hold","Hold",IF(IFERROR(E170,0)&gt;=200,"High",IF(IFERROR(E170,0)&gt;=100,"Medium","Normal")))</f>
        <v>Hold</v>
      </c>
      <c r="N170" s="43" t="s">
        <v>90</v>
      </c>
      <c r="O170" s="43" t="s">
        <v>91</v>
      </c>
      <c r="P170" s="43" t="s">
        <v>92</v>
      </c>
      <c r="Q170" s="17" t="s">
        <v>93</v>
      </c>
      <c r="R170" s="45"/>
      <c r="S170" s="43"/>
      <c r="T170" s="43" t="s">
        <v>31</v>
      </c>
      <c r="U170" s="43" t="s">
        <v>94</v>
      </c>
      <c r="V170" s="43" t="s">
        <v>94</v>
      </c>
      <c r="W170" s="43" t="s">
        <v>95</v>
      </c>
      <c r="X170" s="45" t="str">
        <f>IF(AND(R170&lt;&gt;"",OR(U170="No reply",U170="Unknown")),R170+2,"")</f>
        <v/>
      </c>
      <c r="Y170" s="45"/>
      <c r="Z170" s="43" t="s">
        <v>96</v>
      </c>
      <c r="AA170" s="43" t="str">
        <f>IF(L170="Hold","Do not send",IF(T170="Not sent","Send WhatsApp",IF(U170="Demo booked","Prepare demo",IF(W170="Booked","Prepare demo",IF(AND(X170&lt;&gt;"",Y170=""),"Send follow-up","Review")))))</f>
        <v>Do not send</v>
      </c>
      <c r="AB170" s="43"/>
      <c r="AC170" s="43" t="s">
        <v>733</v>
      </c>
      <c r="AD170" s="43">
        <f>IF(AA170="Prepare demo",1,IF(AA170="Send follow-up",2,IF(AA170="Send WhatsApp",3,IF(AA170="Review",4,IF(AA170="Do not send",9,5)))))</f>
        <v>9</v>
      </c>
      <c r="AE170" s="43">
        <f>IF(M170="High",1,IF(M170="Medium",2,IF(M170="Normal",3,IF(M170="Hold",9,4))))</f>
        <v>9</v>
      </c>
      <c r="AF170" s="43">
        <f>IF(T170="Read",1,IF(T170="Delivered",2,IF(T170="Sent",3,IF(T170="Not sent",4,IF(T170="Failed",9,5)))))</f>
        <v>4</v>
      </c>
      <c r="AG170" s="43">
        <f>IF(U170="Demo booked",1,IF(U170="Interested",2,IF(U170="Replied",3,IF(U170="No reply",5,IF(U170="Not interested",8,IF(U170="Bad number",9,6))))))</f>
        <v>6</v>
      </c>
      <c r="AH170" s="46">
        <f>AD170*1000+AN170*100+AE170*10+AG170</f>
        <v>9596</v>
      </c>
      <c r="AI170" s="45">
        <f>MAX(IF(R170="",0,R170),IF(Y170="",0,Y170))</f>
        <v>0</v>
      </c>
      <c r="AJ170" s="43" t="str">
        <f ca="1">IF(AND(X170&lt;&gt;"",Y170="",X170&lt;TODAY()),"Overdue",IF(AND(X170&lt;&gt;"",Y170="",X170=TODAY()),"Due today",IF(Y170&lt;&gt;"","Follow-up sent","")))</f>
        <v/>
      </c>
      <c r="AK170" s="50" t="s">
        <v>734</v>
      </c>
      <c r="AL170" s="50" t="s">
        <v>735</v>
      </c>
      <c r="AM170" s="50" t="s">
        <v>736</v>
      </c>
      <c r="AN170" s="50">
        <v>5</v>
      </c>
      <c r="AO170" s="54" t="s">
        <v>914</v>
      </c>
      <c r="AP170" s="57" t="s">
        <v>127</v>
      </c>
      <c r="AQ170" s="58"/>
      <c r="AR170" s="57"/>
    </row>
    <row r="171" spans="1:44" ht="54" customHeight="1" x14ac:dyDescent="0.25">
      <c r="A171" s="43" t="s">
        <v>915</v>
      </c>
      <c r="B171" s="43" t="s">
        <v>790</v>
      </c>
      <c r="C171" s="43"/>
      <c r="D171" s="44" t="s">
        <v>916</v>
      </c>
      <c r="E171" s="43"/>
      <c r="F171" s="43" t="s">
        <v>729</v>
      </c>
      <c r="G171" s="45"/>
      <c r="H171" s="45">
        <v>46161</v>
      </c>
      <c r="I171" s="43" t="s">
        <v>730</v>
      </c>
      <c r="J171" s="43" t="s">
        <v>731</v>
      </c>
      <c r="K171" s="43" t="str">
        <f>IF(LEN(D171)=10,"OK","Check")</f>
        <v>OK</v>
      </c>
      <c r="L171" s="43" t="s">
        <v>732</v>
      </c>
      <c r="M171" s="43" t="str">
        <f>IF(L171="Hold","Hold",IF(IFERROR(E171,0)&gt;=200,"High",IF(IFERROR(E171,0)&gt;=100,"Medium","Normal")))</f>
        <v>Hold</v>
      </c>
      <c r="N171" s="43" t="s">
        <v>90</v>
      </c>
      <c r="O171" s="43" t="s">
        <v>91</v>
      </c>
      <c r="P171" s="43" t="s">
        <v>92</v>
      </c>
      <c r="Q171" s="17" t="s">
        <v>93</v>
      </c>
      <c r="R171" s="45"/>
      <c r="S171" s="43"/>
      <c r="T171" s="43" t="s">
        <v>31</v>
      </c>
      <c r="U171" s="43" t="s">
        <v>94</v>
      </c>
      <c r="V171" s="43" t="s">
        <v>94</v>
      </c>
      <c r="W171" s="43" t="s">
        <v>95</v>
      </c>
      <c r="X171" s="45" t="str">
        <f>IF(AND(R171&lt;&gt;"",OR(U171="No reply",U171="Unknown")),R171+2,"")</f>
        <v/>
      </c>
      <c r="Y171" s="45"/>
      <c r="Z171" s="43" t="s">
        <v>96</v>
      </c>
      <c r="AA171" s="43" t="str">
        <f>IF(L171="Hold","Do not send",IF(T171="Not sent","Send WhatsApp",IF(U171="Demo booked","Prepare demo",IF(W171="Booked","Prepare demo",IF(AND(X171&lt;&gt;"",Y171=""),"Send follow-up","Review")))))</f>
        <v>Do not send</v>
      </c>
      <c r="AB171" s="43"/>
      <c r="AC171" s="43" t="s">
        <v>733</v>
      </c>
      <c r="AD171" s="43">
        <f>IF(AA171="Prepare demo",1,IF(AA171="Send follow-up",2,IF(AA171="Send WhatsApp",3,IF(AA171="Review",4,IF(AA171="Do not send",9,5)))))</f>
        <v>9</v>
      </c>
      <c r="AE171" s="43">
        <f>IF(M171="High",1,IF(M171="Medium",2,IF(M171="Normal",3,IF(M171="Hold",9,4))))</f>
        <v>9</v>
      </c>
      <c r="AF171" s="43">
        <f>IF(T171="Read",1,IF(T171="Delivered",2,IF(T171="Sent",3,IF(T171="Not sent",4,IF(T171="Failed",9,5)))))</f>
        <v>4</v>
      </c>
      <c r="AG171" s="43">
        <f>IF(U171="Demo booked",1,IF(U171="Interested",2,IF(U171="Replied",3,IF(U171="No reply",5,IF(U171="Not interested",8,IF(U171="Bad number",9,6))))))</f>
        <v>6</v>
      </c>
      <c r="AH171" s="46">
        <f>AD171*1000+AN171*100+AE171*10+AG171</f>
        <v>9596</v>
      </c>
      <c r="AI171" s="45">
        <f>MAX(IF(R171="",0,R171),IF(Y171="",0,Y171))</f>
        <v>0</v>
      </c>
      <c r="AJ171" s="43" t="str">
        <f ca="1">IF(AND(X171&lt;&gt;"",Y171="",X171&lt;TODAY()),"Overdue",IF(AND(X171&lt;&gt;"",Y171="",X171=TODAY()),"Due today",IF(Y171&lt;&gt;"","Follow-up sent","")))</f>
        <v/>
      </c>
      <c r="AK171" s="50" t="s">
        <v>734</v>
      </c>
      <c r="AL171" s="50" t="s">
        <v>735</v>
      </c>
      <c r="AM171" s="50" t="s">
        <v>736</v>
      </c>
      <c r="AN171" s="50">
        <v>5</v>
      </c>
      <c r="AO171" s="54" t="s">
        <v>917</v>
      </c>
      <c r="AP171" s="57" t="s">
        <v>127</v>
      </c>
      <c r="AQ171" s="58"/>
      <c r="AR171" s="57"/>
    </row>
    <row r="172" spans="1:44" ht="54" customHeight="1" x14ac:dyDescent="0.25">
      <c r="A172" s="43" t="s">
        <v>918</v>
      </c>
      <c r="B172" s="43" t="s">
        <v>790</v>
      </c>
      <c r="C172" s="43"/>
      <c r="D172" s="44" t="s">
        <v>919</v>
      </c>
      <c r="E172" s="43"/>
      <c r="F172" s="43" t="s">
        <v>729</v>
      </c>
      <c r="G172" s="45"/>
      <c r="H172" s="45">
        <v>46161</v>
      </c>
      <c r="I172" s="43" t="s">
        <v>730</v>
      </c>
      <c r="J172" s="43" t="s">
        <v>731</v>
      </c>
      <c r="K172" s="43" t="str">
        <f>IF(LEN(D172)=10,"OK","Check")</f>
        <v>OK</v>
      </c>
      <c r="L172" s="43" t="s">
        <v>732</v>
      </c>
      <c r="M172" s="43" t="str">
        <f>IF(L172="Hold","Hold",IF(IFERROR(E172,0)&gt;=200,"High",IF(IFERROR(E172,0)&gt;=100,"Medium","Normal")))</f>
        <v>Hold</v>
      </c>
      <c r="N172" s="43" t="s">
        <v>90</v>
      </c>
      <c r="O172" s="43" t="s">
        <v>91</v>
      </c>
      <c r="P172" s="43" t="s">
        <v>92</v>
      </c>
      <c r="Q172" s="17" t="s">
        <v>93</v>
      </c>
      <c r="R172" s="45"/>
      <c r="S172" s="43"/>
      <c r="T172" s="43" t="s">
        <v>31</v>
      </c>
      <c r="U172" s="43" t="s">
        <v>94</v>
      </c>
      <c r="V172" s="43" t="s">
        <v>94</v>
      </c>
      <c r="W172" s="43" t="s">
        <v>95</v>
      </c>
      <c r="X172" s="45" t="str">
        <f>IF(AND(R172&lt;&gt;"",OR(U172="No reply",U172="Unknown")),R172+2,"")</f>
        <v/>
      </c>
      <c r="Y172" s="45"/>
      <c r="Z172" s="43" t="s">
        <v>96</v>
      </c>
      <c r="AA172" s="43" t="str">
        <f>IF(L172="Hold","Do not send",IF(T172="Not sent","Send WhatsApp",IF(U172="Demo booked","Prepare demo",IF(W172="Booked","Prepare demo",IF(AND(X172&lt;&gt;"",Y172=""),"Send follow-up","Review")))))</f>
        <v>Do not send</v>
      </c>
      <c r="AB172" s="43"/>
      <c r="AC172" s="43" t="s">
        <v>733</v>
      </c>
      <c r="AD172" s="43">
        <f>IF(AA172="Prepare demo",1,IF(AA172="Send follow-up",2,IF(AA172="Send WhatsApp",3,IF(AA172="Review",4,IF(AA172="Do not send",9,5)))))</f>
        <v>9</v>
      </c>
      <c r="AE172" s="43">
        <f>IF(M172="High",1,IF(M172="Medium",2,IF(M172="Normal",3,IF(M172="Hold",9,4))))</f>
        <v>9</v>
      </c>
      <c r="AF172" s="43">
        <f>IF(T172="Read",1,IF(T172="Delivered",2,IF(T172="Sent",3,IF(T172="Not sent",4,IF(T172="Failed",9,5)))))</f>
        <v>4</v>
      </c>
      <c r="AG172" s="43">
        <f>IF(U172="Demo booked",1,IF(U172="Interested",2,IF(U172="Replied",3,IF(U172="No reply",5,IF(U172="Not interested",8,IF(U172="Bad number",9,6))))))</f>
        <v>6</v>
      </c>
      <c r="AH172" s="46">
        <f>AD172*1000+AN172*100+AE172*10+AG172</f>
        <v>9596</v>
      </c>
      <c r="AI172" s="45">
        <f>MAX(IF(R172="",0,R172),IF(Y172="",0,Y172))</f>
        <v>0</v>
      </c>
      <c r="AJ172" s="43" t="str">
        <f ca="1">IF(AND(X172&lt;&gt;"",Y172="",X172&lt;TODAY()),"Overdue",IF(AND(X172&lt;&gt;"",Y172="",X172=TODAY()),"Due today",IF(Y172&lt;&gt;"","Follow-up sent","")))</f>
        <v/>
      </c>
      <c r="AK172" s="50" t="s">
        <v>734</v>
      </c>
      <c r="AL172" s="50" t="s">
        <v>735</v>
      </c>
      <c r="AM172" s="50" t="s">
        <v>736</v>
      </c>
      <c r="AN172" s="50">
        <v>5</v>
      </c>
      <c r="AO172" s="54" t="s">
        <v>920</v>
      </c>
      <c r="AP172" s="57" t="s">
        <v>127</v>
      </c>
      <c r="AQ172" s="58"/>
      <c r="AR172" s="57"/>
    </row>
    <row r="173" spans="1:44" ht="54" customHeight="1" x14ac:dyDescent="0.25">
      <c r="A173" s="43" t="s">
        <v>921</v>
      </c>
      <c r="B173" s="43" t="s">
        <v>790</v>
      </c>
      <c r="C173" s="43"/>
      <c r="D173" s="44" t="s">
        <v>922</v>
      </c>
      <c r="E173" s="43"/>
      <c r="F173" s="43" t="s">
        <v>729</v>
      </c>
      <c r="G173" s="45"/>
      <c r="H173" s="45">
        <v>46161</v>
      </c>
      <c r="I173" s="43" t="s">
        <v>730</v>
      </c>
      <c r="J173" s="43" t="s">
        <v>731</v>
      </c>
      <c r="K173" s="43" t="str">
        <f>IF(LEN(D173)=10,"OK","Check")</f>
        <v>OK</v>
      </c>
      <c r="L173" s="43" t="s">
        <v>732</v>
      </c>
      <c r="M173" s="43" t="str">
        <f>IF(L173="Hold","Hold",IF(IFERROR(E173,0)&gt;=200,"High",IF(IFERROR(E173,0)&gt;=100,"Medium","Normal")))</f>
        <v>Hold</v>
      </c>
      <c r="N173" s="43" t="s">
        <v>90</v>
      </c>
      <c r="O173" s="43" t="s">
        <v>91</v>
      </c>
      <c r="P173" s="43" t="s">
        <v>92</v>
      </c>
      <c r="Q173" s="17" t="s">
        <v>93</v>
      </c>
      <c r="R173" s="45"/>
      <c r="S173" s="43"/>
      <c r="T173" s="43" t="s">
        <v>31</v>
      </c>
      <c r="U173" s="43" t="s">
        <v>94</v>
      </c>
      <c r="V173" s="43" t="s">
        <v>94</v>
      </c>
      <c r="W173" s="43" t="s">
        <v>95</v>
      </c>
      <c r="X173" s="45" t="str">
        <f>IF(AND(R173&lt;&gt;"",OR(U173="No reply",U173="Unknown")),R173+2,"")</f>
        <v/>
      </c>
      <c r="Y173" s="45"/>
      <c r="Z173" s="43" t="s">
        <v>96</v>
      </c>
      <c r="AA173" s="43" t="str">
        <f>IF(L173="Hold","Do not send",IF(T173="Not sent","Send WhatsApp",IF(U173="Demo booked","Prepare demo",IF(W173="Booked","Prepare demo",IF(AND(X173&lt;&gt;"",Y173=""),"Send follow-up","Review")))))</f>
        <v>Do not send</v>
      </c>
      <c r="AB173" s="43"/>
      <c r="AC173" s="43" t="s">
        <v>733</v>
      </c>
      <c r="AD173" s="43">
        <f>IF(AA173="Prepare demo",1,IF(AA173="Send follow-up",2,IF(AA173="Send WhatsApp",3,IF(AA173="Review",4,IF(AA173="Do not send",9,5)))))</f>
        <v>9</v>
      </c>
      <c r="AE173" s="43">
        <f>IF(M173="High",1,IF(M173="Medium",2,IF(M173="Normal",3,IF(M173="Hold",9,4))))</f>
        <v>9</v>
      </c>
      <c r="AF173" s="43">
        <f>IF(T173="Read",1,IF(T173="Delivered",2,IF(T173="Sent",3,IF(T173="Not sent",4,IF(T173="Failed",9,5)))))</f>
        <v>4</v>
      </c>
      <c r="AG173" s="43">
        <f>IF(U173="Demo booked",1,IF(U173="Interested",2,IF(U173="Replied",3,IF(U173="No reply",5,IF(U173="Not interested",8,IF(U173="Bad number",9,6))))))</f>
        <v>6</v>
      </c>
      <c r="AH173" s="46">
        <f>AD173*1000+AN173*100+AE173*10+AG173</f>
        <v>9596</v>
      </c>
      <c r="AI173" s="45">
        <f>MAX(IF(R173="",0,R173),IF(Y173="",0,Y173))</f>
        <v>0</v>
      </c>
      <c r="AJ173" s="43" t="str">
        <f ca="1">IF(AND(X173&lt;&gt;"",Y173="",X173&lt;TODAY()),"Overdue",IF(AND(X173&lt;&gt;"",Y173="",X173=TODAY()),"Due today",IF(Y173&lt;&gt;"","Follow-up sent","")))</f>
        <v/>
      </c>
      <c r="AK173" s="50" t="s">
        <v>734</v>
      </c>
      <c r="AL173" s="50" t="s">
        <v>735</v>
      </c>
      <c r="AM173" s="50" t="s">
        <v>736</v>
      </c>
      <c r="AN173" s="50">
        <v>5</v>
      </c>
      <c r="AO173" s="54" t="s">
        <v>923</v>
      </c>
      <c r="AP173" s="57" t="s">
        <v>127</v>
      </c>
      <c r="AQ173" s="58"/>
      <c r="AR173" s="57"/>
    </row>
    <row r="174" spans="1:44" ht="54" customHeight="1" x14ac:dyDescent="0.25">
      <c r="A174" s="43" t="s">
        <v>924</v>
      </c>
      <c r="B174" s="43" t="s">
        <v>790</v>
      </c>
      <c r="C174" s="43"/>
      <c r="D174" s="44" t="s">
        <v>925</v>
      </c>
      <c r="E174" s="43"/>
      <c r="F174" s="43" t="s">
        <v>729</v>
      </c>
      <c r="G174" s="45"/>
      <c r="H174" s="45">
        <v>46161</v>
      </c>
      <c r="I174" s="43" t="s">
        <v>730</v>
      </c>
      <c r="J174" s="43" t="s">
        <v>731</v>
      </c>
      <c r="K174" s="43" t="str">
        <f>IF(LEN(D174)=10,"OK","Check")</f>
        <v>OK</v>
      </c>
      <c r="L174" s="43" t="s">
        <v>732</v>
      </c>
      <c r="M174" s="43" t="str">
        <f>IF(L174="Hold","Hold",IF(IFERROR(E174,0)&gt;=200,"High",IF(IFERROR(E174,0)&gt;=100,"Medium","Normal")))</f>
        <v>Hold</v>
      </c>
      <c r="N174" s="43" t="s">
        <v>90</v>
      </c>
      <c r="O174" s="43" t="s">
        <v>91</v>
      </c>
      <c r="P174" s="43" t="s">
        <v>92</v>
      </c>
      <c r="Q174" s="17" t="s">
        <v>93</v>
      </c>
      <c r="R174" s="45"/>
      <c r="S174" s="43"/>
      <c r="T174" s="43" t="s">
        <v>31</v>
      </c>
      <c r="U174" s="43" t="s">
        <v>94</v>
      </c>
      <c r="V174" s="43" t="s">
        <v>94</v>
      </c>
      <c r="W174" s="43" t="s">
        <v>95</v>
      </c>
      <c r="X174" s="45" t="str">
        <f>IF(AND(R174&lt;&gt;"",OR(U174="No reply",U174="Unknown")),R174+2,"")</f>
        <v/>
      </c>
      <c r="Y174" s="45"/>
      <c r="Z174" s="43" t="s">
        <v>96</v>
      </c>
      <c r="AA174" s="43" t="str">
        <f>IF(L174="Hold","Do not send",IF(T174="Not sent","Send WhatsApp",IF(U174="Demo booked","Prepare demo",IF(W174="Booked","Prepare demo",IF(AND(X174&lt;&gt;"",Y174=""),"Send follow-up","Review")))))</f>
        <v>Do not send</v>
      </c>
      <c r="AB174" s="43"/>
      <c r="AC174" s="43" t="s">
        <v>733</v>
      </c>
      <c r="AD174" s="43">
        <f>IF(AA174="Prepare demo",1,IF(AA174="Send follow-up",2,IF(AA174="Send WhatsApp",3,IF(AA174="Review",4,IF(AA174="Do not send",9,5)))))</f>
        <v>9</v>
      </c>
      <c r="AE174" s="43">
        <f>IF(M174="High",1,IF(M174="Medium",2,IF(M174="Normal",3,IF(M174="Hold",9,4))))</f>
        <v>9</v>
      </c>
      <c r="AF174" s="43">
        <f>IF(T174="Read",1,IF(T174="Delivered",2,IF(T174="Sent",3,IF(T174="Not sent",4,IF(T174="Failed",9,5)))))</f>
        <v>4</v>
      </c>
      <c r="AG174" s="43">
        <f>IF(U174="Demo booked",1,IF(U174="Interested",2,IF(U174="Replied",3,IF(U174="No reply",5,IF(U174="Not interested",8,IF(U174="Bad number",9,6))))))</f>
        <v>6</v>
      </c>
      <c r="AH174" s="46">
        <f>AD174*1000+AN174*100+AE174*10+AG174</f>
        <v>9596</v>
      </c>
      <c r="AI174" s="45">
        <f>MAX(IF(R174="",0,R174),IF(Y174="",0,Y174))</f>
        <v>0</v>
      </c>
      <c r="AJ174" s="43" t="str">
        <f ca="1">IF(AND(X174&lt;&gt;"",Y174="",X174&lt;TODAY()),"Overdue",IF(AND(X174&lt;&gt;"",Y174="",X174=TODAY()),"Due today",IF(Y174&lt;&gt;"","Follow-up sent","")))</f>
        <v/>
      </c>
      <c r="AK174" s="50" t="s">
        <v>734</v>
      </c>
      <c r="AL174" s="50" t="s">
        <v>735</v>
      </c>
      <c r="AM174" s="50" t="s">
        <v>736</v>
      </c>
      <c r="AN174" s="50">
        <v>5</v>
      </c>
      <c r="AO174" s="54" t="s">
        <v>926</v>
      </c>
      <c r="AP174" s="57" t="s">
        <v>127</v>
      </c>
      <c r="AQ174" s="58"/>
      <c r="AR174" s="57"/>
    </row>
    <row r="175" spans="1:44" ht="54" customHeight="1" x14ac:dyDescent="0.25">
      <c r="A175" s="43" t="s">
        <v>927</v>
      </c>
      <c r="B175" s="43" t="s">
        <v>790</v>
      </c>
      <c r="C175" s="43"/>
      <c r="D175" s="44" t="s">
        <v>928</v>
      </c>
      <c r="E175" s="43"/>
      <c r="F175" s="43" t="s">
        <v>729</v>
      </c>
      <c r="G175" s="45"/>
      <c r="H175" s="45">
        <v>46161</v>
      </c>
      <c r="I175" s="43" t="s">
        <v>730</v>
      </c>
      <c r="J175" s="43" t="s">
        <v>731</v>
      </c>
      <c r="K175" s="43" t="str">
        <f>IF(LEN(D175)=10,"OK","Check")</f>
        <v>OK</v>
      </c>
      <c r="L175" s="43" t="s">
        <v>732</v>
      </c>
      <c r="M175" s="43" t="str">
        <f>IF(L175="Hold","Hold",IF(IFERROR(E175,0)&gt;=200,"High",IF(IFERROR(E175,0)&gt;=100,"Medium","Normal")))</f>
        <v>Hold</v>
      </c>
      <c r="N175" s="43" t="s">
        <v>90</v>
      </c>
      <c r="O175" s="43" t="s">
        <v>91</v>
      </c>
      <c r="P175" s="43" t="s">
        <v>92</v>
      </c>
      <c r="Q175" s="17" t="s">
        <v>93</v>
      </c>
      <c r="R175" s="45"/>
      <c r="S175" s="43"/>
      <c r="T175" s="43" t="s">
        <v>31</v>
      </c>
      <c r="U175" s="43" t="s">
        <v>94</v>
      </c>
      <c r="V175" s="43" t="s">
        <v>94</v>
      </c>
      <c r="W175" s="43" t="s">
        <v>95</v>
      </c>
      <c r="X175" s="45" t="str">
        <f>IF(AND(R175&lt;&gt;"",OR(U175="No reply",U175="Unknown")),R175+2,"")</f>
        <v/>
      </c>
      <c r="Y175" s="45"/>
      <c r="Z175" s="43" t="s">
        <v>96</v>
      </c>
      <c r="AA175" s="43" t="str">
        <f>IF(L175="Hold","Do not send",IF(T175="Not sent","Send WhatsApp",IF(U175="Demo booked","Prepare demo",IF(W175="Booked","Prepare demo",IF(AND(X175&lt;&gt;"",Y175=""),"Send follow-up","Review")))))</f>
        <v>Do not send</v>
      </c>
      <c r="AB175" s="43"/>
      <c r="AC175" s="43" t="s">
        <v>733</v>
      </c>
      <c r="AD175" s="43">
        <f>IF(AA175="Prepare demo",1,IF(AA175="Send follow-up",2,IF(AA175="Send WhatsApp",3,IF(AA175="Review",4,IF(AA175="Do not send",9,5)))))</f>
        <v>9</v>
      </c>
      <c r="AE175" s="43">
        <f>IF(M175="High",1,IF(M175="Medium",2,IF(M175="Normal",3,IF(M175="Hold",9,4))))</f>
        <v>9</v>
      </c>
      <c r="AF175" s="43">
        <f>IF(T175="Read",1,IF(T175="Delivered",2,IF(T175="Sent",3,IF(T175="Not sent",4,IF(T175="Failed",9,5)))))</f>
        <v>4</v>
      </c>
      <c r="AG175" s="43">
        <f>IF(U175="Demo booked",1,IF(U175="Interested",2,IF(U175="Replied",3,IF(U175="No reply",5,IF(U175="Not interested",8,IF(U175="Bad number",9,6))))))</f>
        <v>6</v>
      </c>
      <c r="AH175" s="46">
        <f>AD175*1000+AN175*100+AE175*10+AG175</f>
        <v>9596</v>
      </c>
      <c r="AI175" s="45">
        <f>MAX(IF(R175="",0,R175),IF(Y175="",0,Y175))</f>
        <v>0</v>
      </c>
      <c r="AJ175" s="43" t="str">
        <f ca="1">IF(AND(X175&lt;&gt;"",Y175="",X175&lt;TODAY()),"Overdue",IF(AND(X175&lt;&gt;"",Y175="",X175=TODAY()),"Due today",IF(Y175&lt;&gt;"","Follow-up sent","")))</f>
        <v/>
      </c>
      <c r="AK175" s="50" t="s">
        <v>734</v>
      </c>
      <c r="AL175" s="50" t="s">
        <v>735</v>
      </c>
      <c r="AM175" s="50" t="s">
        <v>736</v>
      </c>
      <c r="AN175" s="50">
        <v>5</v>
      </c>
      <c r="AO175" s="54" t="s">
        <v>929</v>
      </c>
      <c r="AP175" s="57" t="s">
        <v>127</v>
      </c>
      <c r="AQ175" s="58"/>
      <c r="AR175" s="57"/>
    </row>
    <row r="176" spans="1:44" ht="54" customHeight="1" x14ac:dyDescent="0.25">
      <c r="A176" s="43" t="s">
        <v>930</v>
      </c>
      <c r="B176" s="43" t="s">
        <v>790</v>
      </c>
      <c r="C176" s="43"/>
      <c r="D176" s="44" t="s">
        <v>931</v>
      </c>
      <c r="E176" s="43"/>
      <c r="F176" s="43" t="s">
        <v>729</v>
      </c>
      <c r="G176" s="45"/>
      <c r="H176" s="45">
        <v>46161</v>
      </c>
      <c r="I176" s="43" t="s">
        <v>730</v>
      </c>
      <c r="J176" s="43" t="s">
        <v>731</v>
      </c>
      <c r="K176" s="43" t="str">
        <f>IF(LEN(D176)=10,"OK","Check")</f>
        <v>OK</v>
      </c>
      <c r="L176" s="43" t="s">
        <v>732</v>
      </c>
      <c r="M176" s="43" t="str">
        <f>IF(L176="Hold","Hold",IF(IFERROR(E176,0)&gt;=200,"High",IF(IFERROR(E176,0)&gt;=100,"Medium","Normal")))</f>
        <v>Hold</v>
      </c>
      <c r="N176" s="43" t="s">
        <v>90</v>
      </c>
      <c r="O176" s="43" t="s">
        <v>91</v>
      </c>
      <c r="P176" s="43" t="s">
        <v>92</v>
      </c>
      <c r="Q176" s="17" t="s">
        <v>93</v>
      </c>
      <c r="R176" s="45"/>
      <c r="S176" s="43"/>
      <c r="T176" s="43" t="s">
        <v>31</v>
      </c>
      <c r="U176" s="43" t="s">
        <v>94</v>
      </c>
      <c r="V176" s="43" t="s">
        <v>94</v>
      </c>
      <c r="W176" s="43" t="s">
        <v>95</v>
      </c>
      <c r="X176" s="45" t="str">
        <f>IF(AND(R176&lt;&gt;"",OR(U176="No reply",U176="Unknown")),R176+2,"")</f>
        <v/>
      </c>
      <c r="Y176" s="45"/>
      <c r="Z176" s="43" t="s">
        <v>96</v>
      </c>
      <c r="AA176" s="43" t="str">
        <f>IF(L176="Hold","Do not send",IF(T176="Not sent","Send WhatsApp",IF(U176="Demo booked","Prepare demo",IF(W176="Booked","Prepare demo",IF(AND(X176&lt;&gt;"",Y176=""),"Send follow-up","Review")))))</f>
        <v>Do not send</v>
      </c>
      <c r="AB176" s="43"/>
      <c r="AC176" s="43" t="s">
        <v>733</v>
      </c>
      <c r="AD176" s="43">
        <f>IF(AA176="Prepare demo",1,IF(AA176="Send follow-up",2,IF(AA176="Send WhatsApp",3,IF(AA176="Review",4,IF(AA176="Do not send",9,5)))))</f>
        <v>9</v>
      </c>
      <c r="AE176" s="43">
        <f>IF(M176="High",1,IF(M176="Medium",2,IF(M176="Normal",3,IF(M176="Hold",9,4))))</f>
        <v>9</v>
      </c>
      <c r="AF176" s="43">
        <f>IF(T176="Read",1,IF(T176="Delivered",2,IF(T176="Sent",3,IF(T176="Not sent",4,IF(T176="Failed",9,5)))))</f>
        <v>4</v>
      </c>
      <c r="AG176" s="43">
        <f>IF(U176="Demo booked",1,IF(U176="Interested",2,IF(U176="Replied",3,IF(U176="No reply",5,IF(U176="Not interested",8,IF(U176="Bad number",9,6))))))</f>
        <v>6</v>
      </c>
      <c r="AH176" s="46">
        <f>AD176*1000+AN176*100+AE176*10+AG176</f>
        <v>9596</v>
      </c>
      <c r="AI176" s="45">
        <f>MAX(IF(R176="",0,R176),IF(Y176="",0,Y176))</f>
        <v>0</v>
      </c>
      <c r="AJ176" s="43" t="str">
        <f ca="1">IF(AND(X176&lt;&gt;"",Y176="",X176&lt;TODAY()),"Overdue",IF(AND(X176&lt;&gt;"",Y176="",X176=TODAY()),"Due today",IF(Y176&lt;&gt;"","Follow-up sent","")))</f>
        <v/>
      </c>
      <c r="AK176" s="50" t="s">
        <v>734</v>
      </c>
      <c r="AL176" s="50" t="s">
        <v>735</v>
      </c>
      <c r="AM176" s="50" t="s">
        <v>736</v>
      </c>
      <c r="AN176" s="50">
        <v>5</v>
      </c>
      <c r="AO176" s="54" t="s">
        <v>932</v>
      </c>
      <c r="AP176" s="57" t="s">
        <v>127</v>
      </c>
      <c r="AQ176" s="58"/>
      <c r="AR176" s="57"/>
    </row>
    <row r="177" spans="1:44" ht="54" customHeight="1" x14ac:dyDescent="0.25">
      <c r="A177" s="43" t="s">
        <v>933</v>
      </c>
      <c r="B177" s="43" t="s">
        <v>790</v>
      </c>
      <c r="C177" s="43"/>
      <c r="D177" s="44" t="s">
        <v>934</v>
      </c>
      <c r="E177" s="43"/>
      <c r="F177" s="43" t="s">
        <v>729</v>
      </c>
      <c r="G177" s="45"/>
      <c r="H177" s="45">
        <v>46161</v>
      </c>
      <c r="I177" s="43" t="s">
        <v>730</v>
      </c>
      <c r="J177" s="43" t="s">
        <v>731</v>
      </c>
      <c r="K177" s="43" t="str">
        <f>IF(LEN(D177)=10,"OK","Check")</f>
        <v>OK</v>
      </c>
      <c r="L177" s="43" t="s">
        <v>732</v>
      </c>
      <c r="M177" s="43" t="str">
        <f>IF(L177="Hold","Hold",IF(IFERROR(E177,0)&gt;=200,"High",IF(IFERROR(E177,0)&gt;=100,"Medium","Normal")))</f>
        <v>Hold</v>
      </c>
      <c r="N177" s="43" t="s">
        <v>90</v>
      </c>
      <c r="O177" s="43" t="s">
        <v>91</v>
      </c>
      <c r="P177" s="43" t="s">
        <v>92</v>
      </c>
      <c r="Q177" s="17" t="s">
        <v>93</v>
      </c>
      <c r="R177" s="45"/>
      <c r="S177" s="43"/>
      <c r="T177" s="43" t="s">
        <v>31</v>
      </c>
      <c r="U177" s="43" t="s">
        <v>94</v>
      </c>
      <c r="V177" s="43" t="s">
        <v>94</v>
      </c>
      <c r="W177" s="43" t="s">
        <v>95</v>
      </c>
      <c r="X177" s="45" t="str">
        <f>IF(AND(R177&lt;&gt;"",OR(U177="No reply",U177="Unknown")),R177+2,"")</f>
        <v/>
      </c>
      <c r="Y177" s="45"/>
      <c r="Z177" s="43" t="s">
        <v>96</v>
      </c>
      <c r="AA177" s="43" t="str">
        <f>IF(L177="Hold","Do not send",IF(T177="Not sent","Send WhatsApp",IF(U177="Demo booked","Prepare demo",IF(W177="Booked","Prepare demo",IF(AND(X177&lt;&gt;"",Y177=""),"Send follow-up","Review")))))</f>
        <v>Do not send</v>
      </c>
      <c r="AB177" s="43"/>
      <c r="AC177" s="43" t="s">
        <v>733</v>
      </c>
      <c r="AD177" s="43">
        <f>IF(AA177="Prepare demo",1,IF(AA177="Send follow-up",2,IF(AA177="Send WhatsApp",3,IF(AA177="Review",4,IF(AA177="Do not send",9,5)))))</f>
        <v>9</v>
      </c>
      <c r="AE177" s="43">
        <f>IF(M177="High",1,IF(M177="Medium",2,IF(M177="Normal",3,IF(M177="Hold",9,4))))</f>
        <v>9</v>
      </c>
      <c r="AF177" s="43">
        <f>IF(T177="Read",1,IF(T177="Delivered",2,IF(T177="Sent",3,IF(T177="Not sent",4,IF(T177="Failed",9,5)))))</f>
        <v>4</v>
      </c>
      <c r="AG177" s="43">
        <f>IF(U177="Demo booked",1,IF(U177="Interested",2,IF(U177="Replied",3,IF(U177="No reply",5,IF(U177="Not interested",8,IF(U177="Bad number",9,6))))))</f>
        <v>6</v>
      </c>
      <c r="AH177" s="46">
        <f>AD177*1000+AN177*100+AE177*10+AG177</f>
        <v>9596</v>
      </c>
      <c r="AI177" s="45">
        <f>MAX(IF(R177="",0,R177),IF(Y177="",0,Y177))</f>
        <v>0</v>
      </c>
      <c r="AJ177" s="43" t="str">
        <f ca="1">IF(AND(X177&lt;&gt;"",Y177="",X177&lt;TODAY()),"Overdue",IF(AND(X177&lt;&gt;"",Y177="",X177=TODAY()),"Due today",IF(Y177&lt;&gt;"","Follow-up sent","")))</f>
        <v/>
      </c>
      <c r="AK177" s="50" t="s">
        <v>734</v>
      </c>
      <c r="AL177" s="50" t="s">
        <v>735</v>
      </c>
      <c r="AM177" s="50" t="s">
        <v>736</v>
      </c>
      <c r="AN177" s="50">
        <v>5</v>
      </c>
      <c r="AO177" s="54" t="s">
        <v>935</v>
      </c>
      <c r="AP177" s="57" t="s">
        <v>127</v>
      </c>
      <c r="AQ177" s="58"/>
      <c r="AR177" s="57"/>
    </row>
    <row r="178" spans="1:44" ht="54" customHeight="1" x14ac:dyDescent="0.25">
      <c r="A178" s="43" t="s">
        <v>936</v>
      </c>
      <c r="B178" s="43" t="s">
        <v>790</v>
      </c>
      <c r="C178" s="43"/>
      <c r="D178" s="44" t="s">
        <v>937</v>
      </c>
      <c r="E178" s="43"/>
      <c r="F178" s="43" t="s">
        <v>729</v>
      </c>
      <c r="G178" s="45"/>
      <c r="H178" s="45">
        <v>46161</v>
      </c>
      <c r="I178" s="43" t="s">
        <v>730</v>
      </c>
      <c r="J178" s="43" t="s">
        <v>731</v>
      </c>
      <c r="K178" s="43" t="str">
        <f>IF(LEN(D178)=10,"OK","Check")</f>
        <v>OK</v>
      </c>
      <c r="L178" s="43" t="s">
        <v>732</v>
      </c>
      <c r="M178" s="43" t="str">
        <f>IF(L178="Hold","Hold",IF(IFERROR(E178,0)&gt;=200,"High",IF(IFERROR(E178,0)&gt;=100,"Medium","Normal")))</f>
        <v>Hold</v>
      </c>
      <c r="N178" s="43" t="s">
        <v>90</v>
      </c>
      <c r="O178" s="43" t="s">
        <v>91</v>
      </c>
      <c r="P178" s="43" t="s">
        <v>92</v>
      </c>
      <c r="Q178" s="17" t="s">
        <v>93</v>
      </c>
      <c r="R178" s="45"/>
      <c r="S178" s="43"/>
      <c r="T178" s="43" t="s">
        <v>31</v>
      </c>
      <c r="U178" s="43" t="s">
        <v>94</v>
      </c>
      <c r="V178" s="43" t="s">
        <v>94</v>
      </c>
      <c r="W178" s="43" t="s">
        <v>95</v>
      </c>
      <c r="X178" s="45" t="str">
        <f>IF(AND(R178&lt;&gt;"",OR(U178="No reply",U178="Unknown")),R178+2,"")</f>
        <v/>
      </c>
      <c r="Y178" s="45"/>
      <c r="Z178" s="43" t="s">
        <v>96</v>
      </c>
      <c r="AA178" s="43" t="str">
        <f>IF(L178="Hold","Do not send",IF(T178="Not sent","Send WhatsApp",IF(U178="Demo booked","Prepare demo",IF(W178="Booked","Prepare demo",IF(AND(X178&lt;&gt;"",Y178=""),"Send follow-up","Review")))))</f>
        <v>Do not send</v>
      </c>
      <c r="AB178" s="43"/>
      <c r="AC178" s="43" t="s">
        <v>733</v>
      </c>
      <c r="AD178" s="43">
        <f>IF(AA178="Prepare demo",1,IF(AA178="Send follow-up",2,IF(AA178="Send WhatsApp",3,IF(AA178="Review",4,IF(AA178="Do not send",9,5)))))</f>
        <v>9</v>
      </c>
      <c r="AE178" s="43">
        <f>IF(M178="High",1,IF(M178="Medium",2,IF(M178="Normal",3,IF(M178="Hold",9,4))))</f>
        <v>9</v>
      </c>
      <c r="AF178" s="43">
        <f>IF(T178="Read",1,IF(T178="Delivered",2,IF(T178="Sent",3,IF(T178="Not sent",4,IF(T178="Failed",9,5)))))</f>
        <v>4</v>
      </c>
      <c r="AG178" s="43">
        <f>IF(U178="Demo booked",1,IF(U178="Interested",2,IF(U178="Replied",3,IF(U178="No reply",5,IF(U178="Not interested",8,IF(U178="Bad number",9,6))))))</f>
        <v>6</v>
      </c>
      <c r="AH178" s="46">
        <f>AD178*1000+AN178*100+AE178*10+AG178</f>
        <v>9596</v>
      </c>
      <c r="AI178" s="45">
        <f>MAX(IF(R178="",0,R178),IF(Y178="",0,Y178))</f>
        <v>0</v>
      </c>
      <c r="AJ178" s="43" t="str">
        <f ca="1">IF(AND(X178&lt;&gt;"",Y178="",X178&lt;TODAY()),"Overdue",IF(AND(X178&lt;&gt;"",Y178="",X178=TODAY()),"Due today",IF(Y178&lt;&gt;"","Follow-up sent","")))</f>
        <v/>
      </c>
      <c r="AK178" s="50" t="s">
        <v>734</v>
      </c>
      <c r="AL178" s="50" t="s">
        <v>735</v>
      </c>
      <c r="AM178" s="50" t="s">
        <v>736</v>
      </c>
      <c r="AN178" s="50">
        <v>5</v>
      </c>
      <c r="AO178" s="54" t="s">
        <v>938</v>
      </c>
      <c r="AP178" s="57" t="s">
        <v>127</v>
      </c>
      <c r="AQ178" s="58"/>
      <c r="AR178" s="57"/>
    </row>
    <row r="179" spans="1:44" ht="54" customHeight="1" x14ac:dyDescent="0.25">
      <c r="A179" s="43" t="s">
        <v>939</v>
      </c>
      <c r="B179" s="43" t="s">
        <v>790</v>
      </c>
      <c r="C179" s="43"/>
      <c r="D179" s="44" t="s">
        <v>940</v>
      </c>
      <c r="E179" s="43"/>
      <c r="F179" s="43" t="s">
        <v>729</v>
      </c>
      <c r="G179" s="45"/>
      <c r="H179" s="45">
        <v>46161</v>
      </c>
      <c r="I179" s="43" t="s">
        <v>730</v>
      </c>
      <c r="J179" s="43" t="s">
        <v>731</v>
      </c>
      <c r="K179" s="43" t="str">
        <f>IF(LEN(D179)=10,"OK","Check")</f>
        <v>OK</v>
      </c>
      <c r="L179" s="43" t="s">
        <v>732</v>
      </c>
      <c r="M179" s="43" t="str">
        <f>IF(L179="Hold","Hold",IF(IFERROR(E179,0)&gt;=200,"High",IF(IFERROR(E179,0)&gt;=100,"Medium","Normal")))</f>
        <v>Hold</v>
      </c>
      <c r="N179" s="43" t="s">
        <v>90</v>
      </c>
      <c r="O179" s="43" t="s">
        <v>91</v>
      </c>
      <c r="P179" s="43" t="s">
        <v>92</v>
      </c>
      <c r="Q179" s="17" t="s">
        <v>93</v>
      </c>
      <c r="R179" s="45"/>
      <c r="S179" s="43"/>
      <c r="T179" s="43" t="s">
        <v>31</v>
      </c>
      <c r="U179" s="43" t="s">
        <v>94</v>
      </c>
      <c r="V179" s="43" t="s">
        <v>94</v>
      </c>
      <c r="W179" s="43" t="s">
        <v>95</v>
      </c>
      <c r="X179" s="45" t="str">
        <f>IF(AND(R179&lt;&gt;"",OR(U179="No reply",U179="Unknown")),R179+2,"")</f>
        <v/>
      </c>
      <c r="Y179" s="45"/>
      <c r="Z179" s="43" t="s">
        <v>96</v>
      </c>
      <c r="AA179" s="43" t="str">
        <f>IF(L179="Hold","Do not send",IF(T179="Not sent","Send WhatsApp",IF(U179="Demo booked","Prepare demo",IF(W179="Booked","Prepare demo",IF(AND(X179&lt;&gt;"",Y179=""),"Send follow-up","Review")))))</f>
        <v>Do not send</v>
      </c>
      <c r="AB179" s="43"/>
      <c r="AC179" s="43" t="s">
        <v>733</v>
      </c>
      <c r="AD179" s="43">
        <f>IF(AA179="Prepare demo",1,IF(AA179="Send follow-up",2,IF(AA179="Send WhatsApp",3,IF(AA179="Review",4,IF(AA179="Do not send",9,5)))))</f>
        <v>9</v>
      </c>
      <c r="AE179" s="43">
        <f>IF(M179="High",1,IF(M179="Medium",2,IF(M179="Normal",3,IF(M179="Hold",9,4))))</f>
        <v>9</v>
      </c>
      <c r="AF179" s="43">
        <f>IF(T179="Read",1,IF(T179="Delivered",2,IF(T179="Sent",3,IF(T179="Not sent",4,IF(T179="Failed",9,5)))))</f>
        <v>4</v>
      </c>
      <c r="AG179" s="43">
        <f>IF(U179="Demo booked",1,IF(U179="Interested",2,IF(U179="Replied",3,IF(U179="No reply",5,IF(U179="Not interested",8,IF(U179="Bad number",9,6))))))</f>
        <v>6</v>
      </c>
      <c r="AH179" s="46">
        <f>AD179*1000+AN179*100+AE179*10+AG179</f>
        <v>9596</v>
      </c>
      <c r="AI179" s="45">
        <f>MAX(IF(R179="",0,R179),IF(Y179="",0,Y179))</f>
        <v>0</v>
      </c>
      <c r="AJ179" s="43" t="str">
        <f ca="1">IF(AND(X179&lt;&gt;"",Y179="",X179&lt;TODAY()),"Overdue",IF(AND(X179&lt;&gt;"",Y179="",X179=TODAY()),"Due today",IF(Y179&lt;&gt;"","Follow-up sent","")))</f>
        <v/>
      </c>
      <c r="AK179" s="50" t="s">
        <v>734</v>
      </c>
      <c r="AL179" s="50" t="s">
        <v>735</v>
      </c>
      <c r="AM179" s="50" t="s">
        <v>736</v>
      </c>
      <c r="AN179" s="50">
        <v>5</v>
      </c>
      <c r="AO179" s="54" t="s">
        <v>941</v>
      </c>
      <c r="AP179" s="57" t="s">
        <v>127</v>
      </c>
      <c r="AQ179" s="58"/>
      <c r="AR179" s="57"/>
    </row>
    <row r="180" spans="1:44" ht="54" customHeight="1" x14ac:dyDescent="0.25">
      <c r="A180" s="43" t="s">
        <v>942</v>
      </c>
      <c r="B180" s="43" t="s">
        <v>790</v>
      </c>
      <c r="C180" s="43"/>
      <c r="D180" s="44" t="s">
        <v>943</v>
      </c>
      <c r="E180" s="43"/>
      <c r="F180" s="43" t="s">
        <v>729</v>
      </c>
      <c r="G180" s="45"/>
      <c r="H180" s="45">
        <v>46161</v>
      </c>
      <c r="I180" s="43" t="s">
        <v>730</v>
      </c>
      <c r="J180" s="43" t="s">
        <v>731</v>
      </c>
      <c r="K180" s="43" t="str">
        <f>IF(LEN(D180)=10,"OK","Check")</f>
        <v>OK</v>
      </c>
      <c r="L180" s="43" t="s">
        <v>732</v>
      </c>
      <c r="M180" s="43" t="str">
        <f>IF(L180="Hold","Hold",IF(IFERROR(E180,0)&gt;=200,"High",IF(IFERROR(E180,0)&gt;=100,"Medium","Normal")))</f>
        <v>Hold</v>
      </c>
      <c r="N180" s="43" t="s">
        <v>90</v>
      </c>
      <c r="O180" s="43" t="s">
        <v>91</v>
      </c>
      <c r="P180" s="43" t="s">
        <v>92</v>
      </c>
      <c r="Q180" s="17" t="s">
        <v>93</v>
      </c>
      <c r="R180" s="45"/>
      <c r="S180" s="43"/>
      <c r="T180" s="43" t="s">
        <v>31</v>
      </c>
      <c r="U180" s="43" t="s">
        <v>94</v>
      </c>
      <c r="V180" s="43" t="s">
        <v>94</v>
      </c>
      <c r="W180" s="43" t="s">
        <v>95</v>
      </c>
      <c r="X180" s="45" t="str">
        <f>IF(AND(R180&lt;&gt;"",OR(U180="No reply",U180="Unknown")),R180+2,"")</f>
        <v/>
      </c>
      <c r="Y180" s="45"/>
      <c r="Z180" s="43" t="s">
        <v>96</v>
      </c>
      <c r="AA180" s="43" t="str">
        <f>IF(L180="Hold","Do not send",IF(T180="Not sent","Send WhatsApp",IF(U180="Demo booked","Prepare demo",IF(W180="Booked","Prepare demo",IF(AND(X180&lt;&gt;"",Y180=""),"Send follow-up","Review")))))</f>
        <v>Do not send</v>
      </c>
      <c r="AB180" s="43"/>
      <c r="AC180" s="43" t="s">
        <v>733</v>
      </c>
      <c r="AD180" s="43">
        <f>IF(AA180="Prepare demo",1,IF(AA180="Send follow-up",2,IF(AA180="Send WhatsApp",3,IF(AA180="Review",4,IF(AA180="Do not send",9,5)))))</f>
        <v>9</v>
      </c>
      <c r="AE180" s="43">
        <f>IF(M180="High",1,IF(M180="Medium",2,IF(M180="Normal",3,IF(M180="Hold",9,4))))</f>
        <v>9</v>
      </c>
      <c r="AF180" s="43">
        <f>IF(T180="Read",1,IF(T180="Delivered",2,IF(T180="Sent",3,IF(T180="Not sent",4,IF(T180="Failed",9,5)))))</f>
        <v>4</v>
      </c>
      <c r="AG180" s="43">
        <f>IF(U180="Demo booked",1,IF(U180="Interested",2,IF(U180="Replied",3,IF(U180="No reply",5,IF(U180="Not interested",8,IF(U180="Bad number",9,6))))))</f>
        <v>6</v>
      </c>
      <c r="AH180" s="46">
        <f>AD180*1000+AN180*100+AE180*10+AG180</f>
        <v>9596</v>
      </c>
      <c r="AI180" s="45">
        <f>MAX(IF(R180="",0,R180),IF(Y180="",0,Y180))</f>
        <v>0</v>
      </c>
      <c r="AJ180" s="43" t="str">
        <f ca="1">IF(AND(X180&lt;&gt;"",Y180="",X180&lt;TODAY()),"Overdue",IF(AND(X180&lt;&gt;"",Y180="",X180=TODAY()),"Due today",IF(Y180&lt;&gt;"","Follow-up sent","")))</f>
        <v/>
      </c>
      <c r="AK180" s="50" t="s">
        <v>734</v>
      </c>
      <c r="AL180" s="50" t="s">
        <v>735</v>
      </c>
      <c r="AM180" s="50" t="s">
        <v>736</v>
      </c>
      <c r="AN180" s="50">
        <v>5</v>
      </c>
      <c r="AO180" s="54" t="s">
        <v>944</v>
      </c>
      <c r="AP180" s="57" t="s">
        <v>127</v>
      </c>
      <c r="AQ180" s="58"/>
      <c r="AR180" s="57"/>
    </row>
    <row r="181" spans="1:44" ht="54" customHeight="1" x14ac:dyDescent="0.25">
      <c r="A181" s="43" t="s">
        <v>945</v>
      </c>
      <c r="B181" s="43" t="s">
        <v>790</v>
      </c>
      <c r="C181" s="43"/>
      <c r="D181" s="44" t="s">
        <v>946</v>
      </c>
      <c r="E181" s="43"/>
      <c r="F181" s="43" t="s">
        <v>729</v>
      </c>
      <c r="G181" s="45"/>
      <c r="H181" s="45">
        <v>46161</v>
      </c>
      <c r="I181" s="43" t="s">
        <v>730</v>
      </c>
      <c r="J181" s="43" t="s">
        <v>731</v>
      </c>
      <c r="K181" s="43" t="str">
        <f>IF(LEN(D181)=10,"OK","Check")</f>
        <v>OK</v>
      </c>
      <c r="L181" s="43" t="s">
        <v>732</v>
      </c>
      <c r="M181" s="43" t="str">
        <f>IF(L181="Hold","Hold",IF(IFERROR(E181,0)&gt;=200,"High",IF(IFERROR(E181,0)&gt;=100,"Medium","Normal")))</f>
        <v>Hold</v>
      </c>
      <c r="N181" s="43" t="s">
        <v>90</v>
      </c>
      <c r="O181" s="43" t="s">
        <v>91</v>
      </c>
      <c r="P181" s="43" t="s">
        <v>92</v>
      </c>
      <c r="Q181" s="17" t="s">
        <v>93</v>
      </c>
      <c r="R181" s="45"/>
      <c r="S181" s="43"/>
      <c r="T181" s="43" t="s">
        <v>31</v>
      </c>
      <c r="U181" s="43" t="s">
        <v>94</v>
      </c>
      <c r="V181" s="43" t="s">
        <v>94</v>
      </c>
      <c r="W181" s="43" t="s">
        <v>95</v>
      </c>
      <c r="X181" s="45" t="str">
        <f>IF(AND(R181&lt;&gt;"",OR(U181="No reply",U181="Unknown")),R181+2,"")</f>
        <v/>
      </c>
      <c r="Y181" s="45"/>
      <c r="Z181" s="43" t="s">
        <v>96</v>
      </c>
      <c r="AA181" s="43" t="str">
        <f>IF(L181="Hold","Do not send",IF(T181="Not sent","Send WhatsApp",IF(U181="Demo booked","Prepare demo",IF(W181="Booked","Prepare demo",IF(AND(X181&lt;&gt;"",Y181=""),"Send follow-up","Review")))))</f>
        <v>Do not send</v>
      </c>
      <c r="AB181" s="43"/>
      <c r="AC181" s="43" t="s">
        <v>733</v>
      </c>
      <c r="AD181" s="43">
        <f>IF(AA181="Prepare demo",1,IF(AA181="Send follow-up",2,IF(AA181="Send WhatsApp",3,IF(AA181="Review",4,IF(AA181="Do not send",9,5)))))</f>
        <v>9</v>
      </c>
      <c r="AE181" s="43">
        <f>IF(M181="High",1,IF(M181="Medium",2,IF(M181="Normal",3,IF(M181="Hold",9,4))))</f>
        <v>9</v>
      </c>
      <c r="AF181" s="43">
        <f>IF(T181="Read",1,IF(T181="Delivered",2,IF(T181="Sent",3,IF(T181="Not sent",4,IF(T181="Failed",9,5)))))</f>
        <v>4</v>
      </c>
      <c r="AG181" s="43">
        <f>IF(U181="Demo booked",1,IF(U181="Interested",2,IF(U181="Replied",3,IF(U181="No reply",5,IF(U181="Not interested",8,IF(U181="Bad number",9,6))))))</f>
        <v>6</v>
      </c>
      <c r="AH181" s="46">
        <f>AD181*1000+AN181*100+AE181*10+AG181</f>
        <v>9596</v>
      </c>
      <c r="AI181" s="45">
        <f>MAX(IF(R181="",0,R181),IF(Y181="",0,Y181))</f>
        <v>0</v>
      </c>
      <c r="AJ181" s="43" t="str">
        <f ca="1">IF(AND(X181&lt;&gt;"",Y181="",X181&lt;TODAY()),"Overdue",IF(AND(X181&lt;&gt;"",Y181="",X181=TODAY()),"Due today",IF(Y181&lt;&gt;"","Follow-up sent","")))</f>
        <v/>
      </c>
      <c r="AK181" s="50" t="s">
        <v>734</v>
      </c>
      <c r="AL181" s="50" t="s">
        <v>735</v>
      </c>
      <c r="AM181" s="50" t="s">
        <v>736</v>
      </c>
      <c r="AN181" s="50">
        <v>5</v>
      </c>
      <c r="AO181" s="54" t="s">
        <v>947</v>
      </c>
      <c r="AP181" s="57" t="s">
        <v>127</v>
      </c>
      <c r="AQ181" s="58"/>
      <c r="AR181" s="57"/>
    </row>
    <row r="182" spans="1:44" ht="54" customHeight="1" x14ac:dyDescent="0.25">
      <c r="A182" s="43" t="s">
        <v>948</v>
      </c>
      <c r="B182" s="43" t="s">
        <v>790</v>
      </c>
      <c r="C182" s="43"/>
      <c r="D182" s="44" t="s">
        <v>949</v>
      </c>
      <c r="E182" s="43"/>
      <c r="F182" s="43" t="s">
        <v>729</v>
      </c>
      <c r="G182" s="45"/>
      <c r="H182" s="45">
        <v>46161</v>
      </c>
      <c r="I182" s="43" t="s">
        <v>730</v>
      </c>
      <c r="J182" s="43" t="s">
        <v>731</v>
      </c>
      <c r="K182" s="43" t="str">
        <f>IF(LEN(D182)=10,"OK","Check")</f>
        <v>OK</v>
      </c>
      <c r="L182" s="43" t="s">
        <v>732</v>
      </c>
      <c r="M182" s="43" t="str">
        <f>IF(L182="Hold","Hold",IF(IFERROR(E182,0)&gt;=200,"High",IF(IFERROR(E182,0)&gt;=100,"Medium","Normal")))</f>
        <v>Hold</v>
      </c>
      <c r="N182" s="43" t="s">
        <v>90</v>
      </c>
      <c r="O182" s="43" t="s">
        <v>91</v>
      </c>
      <c r="P182" s="43" t="s">
        <v>92</v>
      </c>
      <c r="Q182" s="17" t="s">
        <v>93</v>
      </c>
      <c r="R182" s="45"/>
      <c r="S182" s="43"/>
      <c r="T182" s="43" t="s">
        <v>31</v>
      </c>
      <c r="U182" s="43" t="s">
        <v>94</v>
      </c>
      <c r="V182" s="43" t="s">
        <v>94</v>
      </c>
      <c r="W182" s="43" t="s">
        <v>95</v>
      </c>
      <c r="X182" s="45" t="str">
        <f>IF(AND(R182&lt;&gt;"",OR(U182="No reply",U182="Unknown")),R182+2,"")</f>
        <v/>
      </c>
      <c r="Y182" s="45"/>
      <c r="Z182" s="43" t="s">
        <v>96</v>
      </c>
      <c r="AA182" s="43" t="str">
        <f>IF(L182="Hold","Do not send",IF(T182="Not sent","Send WhatsApp",IF(U182="Demo booked","Prepare demo",IF(W182="Booked","Prepare demo",IF(AND(X182&lt;&gt;"",Y182=""),"Send follow-up","Review")))))</f>
        <v>Do not send</v>
      </c>
      <c r="AB182" s="43"/>
      <c r="AC182" s="43" t="s">
        <v>733</v>
      </c>
      <c r="AD182" s="43">
        <f>IF(AA182="Prepare demo",1,IF(AA182="Send follow-up",2,IF(AA182="Send WhatsApp",3,IF(AA182="Review",4,IF(AA182="Do not send",9,5)))))</f>
        <v>9</v>
      </c>
      <c r="AE182" s="43">
        <f>IF(M182="High",1,IF(M182="Medium",2,IF(M182="Normal",3,IF(M182="Hold",9,4))))</f>
        <v>9</v>
      </c>
      <c r="AF182" s="43">
        <f>IF(T182="Read",1,IF(T182="Delivered",2,IF(T182="Sent",3,IF(T182="Not sent",4,IF(T182="Failed",9,5)))))</f>
        <v>4</v>
      </c>
      <c r="AG182" s="43">
        <f>IF(U182="Demo booked",1,IF(U182="Interested",2,IF(U182="Replied",3,IF(U182="No reply",5,IF(U182="Not interested",8,IF(U182="Bad number",9,6))))))</f>
        <v>6</v>
      </c>
      <c r="AH182" s="46">
        <f>AD182*1000+AN182*100+AE182*10+AG182</f>
        <v>9596</v>
      </c>
      <c r="AI182" s="45">
        <f>MAX(IF(R182="",0,R182),IF(Y182="",0,Y182))</f>
        <v>0</v>
      </c>
      <c r="AJ182" s="43" t="str">
        <f ca="1">IF(AND(X182&lt;&gt;"",Y182="",X182&lt;TODAY()),"Overdue",IF(AND(X182&lt;&gt;"",Y182="",X182=TODAY()),"Due today",IF(Y182&lt;&gt;"","Follow-up sent","")))</f>
        <v/>
      </c>
      <c r="AK182" s="50" t="s">
        <v>734</v>
      </c>
      <c r="AL182" s="50" t="s">
        <v>735</v>
      </c>
      <c r="AM182" s="50" t="s">
        <v>736</v>
      </c>
      <c r="AN182" s="50">
        <v>5</v>
      </c>
      <c r="AO182" s="54" t="s">
        <v>950</v>
      </c>
      <c r="AP182" s="57" t="s">
        <v>127</v>
      </c>
      <c r="AQ182" s="58"/>
      <c r="AR182" s="57"/>
    </row>
    <row r="183" spans="1:44" ht="54" customHeight="1" x14ac:dyDescent="0.25">
      <c r="A183" s="43" t="s">
        <v>951</v>
      </c>
      <c r="B183" s="43" t="s">
        <v>790</v>
      </c>
      <c r="C183" s="43"/>
      <c r="D183" s="44" t="s">
        <v>952</v>
      </c>
      <c r="E183" s="43"/>
      <c r="F183" s="43" t="s">
        <v>729</v>
      </c>
      <c r="G183" s="45"/>
      <c r="H183" s="45">
        <v>46161</v>
      </c>
      <c r="I183" s="43" t="s">
        <v>730</v>
      </c>
      <c r="J183" s="43" t="s">
        <v>731</v>
      </c>
      <c r="K183" s="43" t="str">
        <f>IF(LEN(D183)=10,"OK","Check")</f>
        <v>OK</v>
      </c>
      <c r="L183" s="43" t="s">
        <v>732</v>
      </c>
      <c r="M183" s="43" t="str">
        <f>IF(L183="Hold","Hold",IF(IFERROR(E183,0)&gt;=200,"High",IF(IFERROR(E183,0)&gt;=100,"Medium","Normal")))</f>
        <v>Hold</v>
      </c>
      <c r="N183" s="43" t="s">
        <v>90</v>
      </c>
      <c r="O183" s="43" t="s">
        <v>91</v>
      </c>
      <c r="P183" s="43" t="s">
        <v>92</v>
      </c>
      <c r="Q183" s="17" t="s">
        <v>93</v>
      </c>
      <c r="R183" s="45"/>
      <c r="S183" s="43"/>
      <c r="T183" s="43" t="s">
        <v>31</v>
      </c>
      <c r="U183" s="43" t="s">
        <v>94</v>
      </c>
      <c r="V183" s="43" t="s">
        <v>94</v>
      </c>
      <c r="W183" s="43" t="s">
        <v>95</v>
      </c>
      <c r="X183" s="45" t="str">
        <f>IF(AND(R183&lt;&gt;"",OR(U183="No reply",U183="Unknown")),R183+2,"")</f>
        <v/>
      </c>
      <c r="Y183" s="45"/>
      <c r="Z183" s="43" t="s">
        <v>96</v>
      </c>
      <c r="AA183" s="43" t="str">
        <f>IF(L183="Hold","Do not send",IF(T183="Not sent","Send WhatsApp",IF(U183="Demo booked","Prepare demo",IF(W183="Booked","Prepare demo",IF(AND(X183&lt;&gt;"",Y183=""),"Send follow-up","Review")))))</f>
        <v>Do not send</v>
      </c>
      <c r="AB183" s="43"/>
      <c r="AC183" s="43" t="s">
        <v>733</v>
      </c>
      <c r="AD183" s="43">
        <f>IF(AA183="Prepare demo",1,IF(AA183="Send follow-up",2,IF(AA183="Send WhatsApp",3,IF(AA183="Review",4,IF(AA183="Do not send",9,5)))))</f>
        <v>9</v>
      </c>
      <c r="AE183" s="43">
        <f>IF(M183="High",1,IF(M183="Medium",2,IF(M183="Normal",3,IF(M183="Hold",9,4))))</f>
        <v>9</v>
      </c>
      <c r="AF183" s="43">
        <f>IF(T183="Read",1,IF(T183="Delivered",2,IF(T183="Sent",3,IF(T183="Not sent",4,IF(T183="Failed",9,5)))))</f>
        <v>4</v>
      </c>
      <c r="AG183" s="43">
        <f>IF(U183="Demo booked",1,IF(U183="Interested",2,IF(U183="Replied",3,IF(U183="No reply",5,IF(U183="Not interested",8,IF(U183="Bad number",9,6))))))</f>
        <v>6</v>
      </c>
      <c r="AH183" s="46">
        <f>AD183*1000+AN183*100+AE183*10+AG183</f>
        <v>9596</v>
      </c>
      <c r="AI183" s="45">
        <f>MAX(IF(R183="",0,R183),IF(Y183="",0,Y183))</f>
        <v>0</v>
      </c>
      <c r="AJ183" s="43" t="str">
        <f ca="1">IF(AND(X183&lt;&gt;"",Y183="",X183&lt;TODAY()),"Overdue",IF(AND(X183&lt;&gt;"",Y183="",X183=TODAY()),"Due today",IF(Y183&lt;&gt;"","Follow-up sent","")))</f>
        <v/>
      </c>
      <c r="AK183" s="50" t="s">
        <v>734</v>
      </c>
      <c r="AL183" s="50" t="s">
        <v>735</v>
      </c>
      <c r="AM183" s="50" t="s">
        <v>736</v>
      </c>
      <c r="AN183" s="50">
        <v>5</v>
      </c>
      <c r="AO183" s="54" t="s">
        <v>953</v>
      </c>
      <c r="AP183" s="57" t="s">
        <v>127</v>
      </c>
      <c r="AQ183" s="58"/>
      <c r="AR183" s="57"/>
    </row>
    <row r="184" spans="1:44" ht="54" customHeight="1" x14ac:dyDescent="0.25">
      <c r="A184" s="43" t="s">
        <v>954</v>
      </c>
      <c r="B184" s="43" t="s">
        <v>790</v>
      </c>
      <c r="C184" s="43"/>
      <c r="D184" s="44" t="s">
        <v>955</v>
      </c>
      <c r="E184" s="43"/>
      <c r="F184" s="43" t="s">
        <v>729</v>
      </c>
      <c r="G184" s="45"/>
      <c r="H184" s="45">
        <v>46161</v>
      </c>
      <c r="I184" s="43" t="s">
        <v>730</v>
      </c>
      <c r="J184" s="43" t="s">
        <v>731</v>
      </c>
      <c r="K184" s="43" t="str">
        <f>IF(LEN(D184)=10,"OK","Check")</f>
        <v>OK</v>
      </c>
      <c r="L184" s="43" t="s">
        <v>732</v>
      </c>
      <c r="M184" s="43" t="str">
        <f>IF(L184="Hold","Hold",IF(IFERROR(E184,0)&gt;=200,"High",IF(IFERROR(E184,0)&gt;=100,"Medium","Normal")))</f>
        <v>Hold</v>
      </c>
      <c r="N184" s="43" t="s">
        <v>90</v>
      </c>
      <c r="O184" s="43" t="s">
        <v>91</v>
      </c>
      <c r="P184" s="43" t="s">
        <v>92</v>
      </c>
      <c r="Q184" s="17" t="s">
        <v>93</v>
      </c>
      <c r="R184" s="45"/>
      <c r="S184" s="43"/>
      <c r="T184" s="43" t="s">
        <v>31</v>
      </c>
      <c r="U184" s="43" t="s">
        <v>94</v>
      </c>
      <c r="V184" s="43" t="s">
        <v>94</v>
      </c>
      <c r="W184" s="43" t="s">
        <v>95</v>
      </c>
      <c r="X184" s="45" t="str">
        <f>IF(AND(R184&lt;&gt;"",OR(U184="No reply",U184="Unknown")),R184+2,"")</f>
        <v/>
      </c>
      <c r="Y184" s="45"/>
      <c r="Z184" s="43" t="s">
        <v>96</v>
      </c>
      <c r="AA184" s="43" t="str">
        <f>IF(L184="Hold","Do not send",IF(T184="Not sent","Send WhatsApp",IF(U184="Demo booked","Prepare demo",IF(W184="Booked","Prepare demo",IF(AND(X184&lt;&gt;"",Y184=""),"Send follow-up","Review")))))</f>
        <v>Do not send</v>
      </c>
      <c r="AB184" s="43"/>
      <c r="AC184" s="43" t="s">
        <v>733</v>
      </c>
      <c r="AD184" s="43">
        <f>IF(AA184="Prepare demo",1,IF(AA184="Send follow-up",2,IF(AA184="Send WhatsApp",3,IF(AA184="Review",4,IF(AA184="Do not send",9,5)))))</f>
        <v>9</v>
      </c>
      <c r="AE184" s="43">
        <f>IF(M184="High",1,IF(M184="Medium",2,IF(M184="Normal",3,IF(M184="Hold",9,4))))</f>
        <v>9</v>
      </c>
      <c r="AF184" s="43">
        <f>IF(T184="Read",1,IF(T184="Delivered",2,IF(T184="Sent",3,IF(T184="Not sent",4,IF(T184="Failed",9,5)))))</f>
        <v>4</v>
      </c>
      <c r="AG184" s="43">
        <f>IF(U184="Demo booked",1,IF(U184="Interested",2,IF(U184="Replied",3,IF(U184="No reply",5,IF(U184="Not interested",8,IF(U184="Bad number",9,6))))))</f>
        <v>6</v>
      </c>
      <c r="AH184" s="46">
        <f>AD184*1000+AN184*100+AE184*10+AG184</f>
        <v>9596</v>
      </c>
      <c r="AI184" s="45">
        <f>MAX(IF(R184="",0,R184),IF(Y184="",0,Y184))</f>
        <v>0</v>
      </c>
      <c r="AJ184" s="43" t="str">
        <f ca="1">IF(AND(X184&lt;&gt;"",Y184="",X184&lt;TODAY()),"Overdue",IF(AND(X184&lt;&gt;"",Y184="",X184=TODAY()),"Due today",IF(Y184&lt;&gt;"","Follow-up sent","")))</f>
        <v/>
      </c>
      <c r="AK184" s="50" t="s">
        <v>734</v>
      </c>
      <c r="AL184" s="50" t="s">
        <v>735</v>
      </c>
      <c r="AM184" s="50" t="s">
        <v>736</v>
      </c>
      <c r="AN184" s="50">
        <v>5</v>
      </c>
      <c r="AO184" s="54" t="s">
        <v>956</v>
      </c>
      <c r="AP184" s="57" t="s">
        <v>127</v>
      </c>
      <c r="AQ184" s="58"/>
      <c r="AR184" s="57"/>
    </row>
    <row r="185" spans="1:44" ht="54" customHeight="1" x14ac:dyDescent="0.25">
      <c r="A185" s="43" t="s">
        <v>957</v>
      </c>
      <c r="B185" s="43" t="s">
        <v>790</v>
      </c>
      <c r="C185" s="43"/>
      <c r="D185" s="44" t="s">
        <v>958</v>
      </c>
      <c r="E185" s="43"/>
      <c r="F185" s="43" t="s">
        <v>729</v>
      </c>
      <c r="G185" s="45"/>
      <c r="H185" s="45">
        <v>46161</v>
      </c>
      <c r="I185" s="43" t="s">
        <v>730</v>
      </c>
      <c r="J185" s="43" t="s">
        <v>731</v>
      </c>
      <c r="K185" s="43" t="str">
        <f>IF(LEN(D185)=10,"OK","Check")</f>
        <v>OK</v>
      </c>
      <c r="L185" s="43" t="s">
        <v>732</v>
      </c>
      <c r="M185" s="43" t="str">
        <f>IF(L185="Hold","Hold",IF(IFERROR(E185,0)&gt;=200,"High",IF(IFERROR(E185,0)&gt;=100,"Medium","Normal")))</f>
        <v>Hold</v>
      </c>
      <c r="N185" s="43" t="s">
        <v>90</v>
      </c>
      <c r="O185" s="43" t="s">
        <v>91</v>
      </c>
      <c r="P185" s="43" t="s">
        <v>92</v>
      </c>
      <c r="Q185" s="17" t="s">
        <v>93</v>
      </c>
      <c r="R185" s="45"/>
      <c r="S185" s="43"/>
      <c r="T185" s="43" t="s">
        <v>31</v>
      </c>
      <c r="U185" s="43" t="s">
        <v>94</v>
      </c>
      <c r="V185" s="43" t="s">
        <v>94</v>
      </c>
      <c r="W185" s="43" t="s">
        <v>95</v>
      </c>
      <c r="X185" s="45" t="str">
        <f>IF(AND(R185&lt;&gt;"",OR(U185="No reply",U185="Unknown")),R185+2,"")</f>
        <v/>
      </c>
      <c r="Y185" s="45"/>
      <c r="Z185" s="43" t="s">
        <v>96</v>
      </c>
      <c r="AA185" s="43" t="str">
        <f>IF(L185="Hold","Do not send",IF(T185="Not sent","Send WhatsApp",IF(U185="Demo booked","Prepare demo",IF(W185="Booked","Prepare demo",IF(AND(X185&lt;&gt;"",Y185=""),"Send follow-up","Review")))))</f>
        <v>Do not send</v>
      </c>
      <c r="AB185" s="43"/>
      <c r="AC185" s="43" t="s">
        <v>733</v>
      </c>
      <c r="AD185" s="43">
        <f>IF(AA185="Prepare demo",1,IF(AA185="Send follow-up",2,IF(AA185="Send WhatsApp",3,IF(AA185="Review",4,IF(AA185="Do not send",9,5)))))</f>
        <v>9</v>
      </c>
      <c r="AE185" s="43">
        <f>IF(M185="High",1,IF(M185="Medium",2,IF(M185="Normal",3,IF(M185="Hold",9,4))))</f>
        <v>9</v>
      </c>
      <c r="AF185" s="43">
        <f>IF(T185="Read",1,IF(T185="Delivered",2,IF(T185="Sent",3,IF(T185="Not sent",4,IF(T185="Failed",9,5)))))</f>
        <v>4</v>
      </c>
      <c r="AG185" s="43">
        <f>IF(U185="Demo booked",1,IF(U185="Interested",2,IF(U185="Replied",3,IF(U185="No reply",5,IF(U185="Not interested",8,IF(U185="Bad number",9,6))))))</f>
        <v>6</v>
      </c>
      <c r="AH185" s="46">
        <f>AD185*1000+AN185*100+AE185*10+AG185</f>
        <v>9596</v>
      </c>
      <c r="AI185" s="45">
        <f>MAX(IF(R185="",0,R185),IF(Y185="",0,Y185))</f>
        <v>0</v>
      </c>
      <c r="AJ185" s="43" t="str">
        <f ca="1">IF(AND(X185&lt;&gt;"",Y185="",X185&lt;TODAY()),"Overdue",IF(AND(X185&lt;&gt;"",Y185="",X185=TODAY()),"Due today",IF(Y185&lt;&gt;"","Follow-up sent","")))</f>
        <v/>
      </c>
      <c r="AK185" s="50" t="s">
        <v>734</v>
      </c>
      <c r="AL185" s="50" t="s">
        <v>735</v>
      </c>
      <c r="AM185" s="50" t="s">
        <v>736</v>
      </c>
      <c r="AN185" s="50">
        <v>5</v>
      </c>
      <c r="AO185" s="54" t="s">
        <v>959</v>
      </c>
      <c r="AP185" s="57" t="s">
        <v>127</v>
      </c>
      <c r="AQ185" s="58"/>
      <c r="AR185" s="57"/>
    </row>
    <row r="186" spans="1:44" ht="54" customHeight="1" x14ac:dyDescent="0.25">
      <c r="A186" s="43" t="s">
        <v>960</v>
      </c>
      <c r="B186" s="43" t="s">
        <v>790</v>
      </c>
      <c r="C186" s="43"/>
      <c r="D186" s="44" t="s">
        <v>961</v>
      </c>
      <c r="E186" s="43"/>
      <c r="F186" s="43" t="s">
        <v>729</v>
      </c>
      <c r="G186" s="45"/>
      <c r="H186" s="45">
        <v>46161</v>
      </c>
      <c r="I186" s="43" t="s">
        <v>730</v>
      </c>
      <c r="J186" s="43" t="s">
        <v>731</v>
      </c>
      <c r="K186" s="43" t="str">
        <f>IF(LEN(D186)=10,"OK","Check")</f>
        <v>OK</v>
      </c>
      <c r="L186" s="43" t="s">
        <v>732</v>
      </c>
      <c r="M186" s="43" t="str">
        <f>IF(L186="Hold","Hold",IF(IFERROR(E186,0)&gt;=200,"High",IF(IFERROR(E186,0)&gt;=100,"Medium","Normal")))</f>
        <v>Hold</v>
      </c>
      <c r="N186" s="43" t="s">
        <v>90</v>
      </c>
      <c r="O186" s="43" t="s">
        <v>91</v>
      </c>
      <c r="P186" s="43" t="s">
        <v>92</v>
      </c>
      <c r="Q186" s="17" t="s">
        <v>93</v>
      </c>
      <c r="R186" s="45"/>
      <c r="S186" s="43"/>
      <c r="T186" s="43" t="s">
        <v>31</v>
      </c>
      <c r="U186" s="43" t="s">
        <v>94</v>
      </c>
      <c r="V186" s="43" t="s">
        <v>94</v>
      </c>
      <c r="W186" s="43" t="s">
        <v>95</v>
      </c>
      <c r="X186" s="45" t="str">
        <f>IF(AND(R186&lt;&gt;"",OR(U186="No reply",U186="Unknown")),R186+2,"")</f>
        <v/>
      </c>
      <c r="Y186" s="45"/>
      <c r="Z186" s="43" t="s">
        <v>96</v>
      </c>
      <c r="AA186" s="43" t="str">
        <f>IF(L186="Hold","Do not send",IF(T186="Not sent","Send WhatsApp",IF(U186="Demo booked","Prepare demo",IF(W186="Booked","Prepare demo",IF(AND(X186&lt;&gt;"",Y186=""),"Send follow-up","Review")))))</f>
        <v>Do not send</v>
      </c>
      <c r="AB186" s="43"/>
      <c r="AC186" s="43" t="s">
        <v>733</v>
      </c>
      <c r="AD186" s="43">
        <f>IF(AA186="Prepare demo",1,IF(AA186="Send follow-up",2,IF(AA186="Send WhatsApp",3,IF(AA186="Review",4,IF(AA186="Do not send",9,5)))))</f>
        <v>9</v>
      </c>
      <c r="AE186" s="43">
        <f>IF(M186="High",1,IF(M186="Medium",2,IF(M186="Normal",3,IF(M186="Hold",9,4))))</f>
        <v>9</v>
      </c>
      <c r="AF186" s="43">
        <f>IF(T186="Read",1,IF(T186="Delivered",2,IF(T186="Sent",3,IF(T186="Not sent",4,IF(T186="Failed",9,5)))))</f>
        <v>4</v>
      </c>
      <c r="AG186" s="43">
        <f>IF(U186="Demo booked",1,IF(U186="Interested",2,IF(U186="Replied",3,IF(U186="No reply",5,IF(U186="Not interested",8,IF(U186="Bad number",9,6))))))</f>
        <v>6</v>
      </c>
      <c r="AH186" s="46">
        <f>AD186*1000+AN186*100+AE186*10+AG186</f>
        <v>9596</v>
      </c>
      <c r="AI186" s="45">
        <f>MAX(IF(R186="",0,R186),IF(Y186="",0,Y186))</f>
        <v>0</v>
      </c>
      <c r="AJ186" s="43" t="str">
        <f ca="1">IF(AND(X186&lt;&gt;"",Y186="",X186&lt;TODAY()),"Overdue",IF(AND(X186&lt;&gt;"",Y186="",X186=TODAY()),"Due today",IF(Y186&lt;&gt;"","Follow-up sent","")))</f>
        <v/>
      </c>
      <c r="AK186" s="50" t="s">
        <v>734</v>
      </c>
      <c r="AL186" s="50" t="s">
        <v>735</v>
      </c>
      <c r="AM186" s="50" t="s">
        <v>736</v>
      </c>
      <c r="AN186" s="50">
        <v>5</v>
      </c>
      <c r="AO186" s="54" t="s">
        <v>962</v>
      </c>
      <c r="AP186" s="57" t="s">
        <v>127</v>
      </c>
      <c r="AQ186" s="58"/>
      <c r="AR186" s="57"/>
    </row>
    <row r="187" spans="1:44" ht="54" customHeight="1" x14ac:dyDescent="0.25">
      <c r="A187" s="43" t="s">
        <v>963</v>
      </c>
      <c r="B187" s="43" t="s">
        <v>790</v>
      </c>
      <c r="C187" s="43"/>
      <c r="D187" s="44" t="s">
        <v>964</v>
      </c>
      <c r="E187" s="43"/>
      <c r="F187" s="43" t="s">
        <v>729</v>
      </c>
      <c r="G187" s="45"/>
      <c r="H187" s="45">
        <v>46161</v>
      </c>
      <c r="I187" s="43" t="s">
        <v>730</v>
      </c>
      <c r="J187" s="43" t="s">
        <v>731</v>
      </c>
      <c r="K187" s="43" t="str">
        <f>IF(LEN(D187)=10,"OK","Check")</f>
        <v>OK</v>
      </c>
      <c r="L187" s="43" t="s">
        <v>732</v>
      </c>
      <c r="M187" s="43" t="str">
        <f>IF(L187="Hold","Hold",IF(IFERROR(E187,0)&gt;=200,"High",IF(IFERROR(E187,0)&gt;=100,"Medium","Normal")))</f>
        <v>Hold</v>
      </c>
      <c r="N187" s="43" t="s">
        <v>90</v>
      </c>
      <c r="O187" s="43" t="s">
        <v>91</v>
      </c>
      <c r="P187" s="43" t="s">
        <v>92</v>
      </c>
      <c r="Q187" s="17" t="s">
        <v>93</v>
      </c>
      <c r="R187" s="45"/>
      <c r="S187" s="43"/>
      <c r="T187" s="43" t="s">
        <v>31</v>
      </c>
      <c r="U187" s="43" t="s">
        <v>94</v>
      </c>
      <c r="V187" s="43" t="s">
        <v>94</v>
      </c>
      <c r="W187" s="43" t="s">
        <v>95</v>
      </c>
      <c r="X187" s="45" t="str">
        <f>IF(AND(R187&lt;&gt;"",OR(U187="No reply",U187="Unknown")),R187+2,"")</f>
        <v/>
      </c>
      <c r="Y187" s="45"/>
      <c r="Z187" s="43" t="s">
        <v>96</v>
      </c>
      <c r="AA187" s="43" t="str">
        <f>IF(L187="Hold","Do not send",IF(T187="Not sent","Send WhatsApp",IF(U187="Demo booked","Prepare demo",IF(W187="Booked","Prepare demo",IF(AND(X187&lt;&gt;"",Y187=""),"Send follow-up","Review")))))</f>
        <v>Do not send</v>
      </c>
      <c r="AB187" s="43"/>
      <c r="AC187" s="43" t="s">
        <v>733</v>
      </c>
      <c r="AD187" s="43">
        <f>IF(AA187="Prepare demo",1,IF(AA187="Send follow-up",2,IF(AA187="Send WhatsApp",3,IF(AA187="Review",4,IF(AA187="Do not send",9,5)))))</f>
        <v>9</v>
      </c>
      <c r="AE187" s="43">
        <f>IF(M187="High",1,IF(M187="Medium",2,IF(M187="Normal",3,IF(M187="Hold",9,4))))</f>
        <v>9</v>
      </c>
      <c r="AF187" s="43">
        <f>IF(T187="Read",1,IF(T187="Delivered",2,IF(T187="Sent",3,IF(T187="Not sent",4,IF(T187="Failed",9,5)))))</f>
        <v>4</v>
      </c>
      <c r="AG187" s="43">
        <f>IF(U187="Demo booked",1,IF(U187="Interested",2,IF(U187="Replied",3,IF(U187="No reply",5,IF(U187="Not interested",8,IF(U187="Bad number",9,6))))))</f>
        <v>6</v>
      </c>
      <c r="AH187" s="46">
        <f>AD187*1000+AN187*100+AE187*10+AG187</f>
        <v>9596</v>
      </c>
      <c r="AI187" s="45">
        <f>MAX(IF(R187="",0,R187),IF(Y187="",0,Y187))</f>
        <v>0</v>
      </c>
      <c r="AJ187" s="43" t="str">
        <f ca="1">IF(AND(X187&lt;&gt;"",Y187="",X187&lt;TODAY()),"Overdue",IF(AND(X187&lt;&gt;"",Y187="",X187=TODAY()),"Due today",IF(Y187&lt;&gt;"","Follow-up sent","")))</f>
        <v/>
      </c>
      <c r="AK187" s="50" t="s">
        <v>734</v>
      </c>
      <c r="AL187" s="50" t="s">
        <v>735</v>
      </c>
      <c r="AM187" s="50" t="s">
        <v>736</v>
      </c>
      <c r="AN187" s="50">
        <v>5</v>
      </c>
      <c r="AO187" s="54" t="s">
        <v>965</v>
      </c>
      <c r="AP187" s="57" t="s">
        <v>127</v>
      </c>
      <c r="AQ187" s="58"/>
      <c r="AR187" s="57"/>
    </row>
    <row r="188" spans="1:44" ht="54" customHeight="1" x14ac:dyDescent="0.25">
      <c r="A188" s="43" t="s">
        <v>966</v>
      </c>
      <c r="B188" s="43" t="s">
        <v>790</v>
      </c>
      <c r="C188" s="43"/>
      <c r="D188" s="44" t="s">
        <v>967</v>
      </c>
      <c r="E188" s="43"/>
      <c r="F188" s="43" t="s">
        <v>729</v>
      </c>
      <c r="G188" s="45"/>
      <c r="H188" s="45">
        <v>46161</v>
      </c>
      <c r="I188" s="43" t="s">
        <v>730</v>
      </c>
      <c r="J188" s="43" t="s">
        <v>731</v>
      </c>
      <c r="K188" s="43" t="str">
        <f>IF(LEN(D188)=10,"OK","Check")</f>
        <v>OK</v>
      </c>
      <c r="L188" s="43" t="s">
        <v>732</v>
      </c>
      <c r="M188" s="43" t="str">
        <f>IF(L188="Hold","Hold",IF(IFERROR(E188,0)&gt;=200,"High",IF(IFERROR(E188,0)&gt;=100,"Medium","Normal")))</f>
        <v>Hold</v>
      </c>
      <c r="N188" s="43" t="s">
        <v>90</v>
      </c>
      <c r="O188" s="43" t="s">
        <v>91</v>
      </c>
      <c r="P188" s="43" t="s">
        <v>92</v>
      </c>
      <c r="Q188" s="17" t="s">
        <v>93</v>
      </c>
      <c r="R188" s="45"/>
      <c r="S188" s="43"/>
      <c r="T188" s="43" t="s">
        <v>31</v>
      </c>
      <c r="U188" s="43" t="s">
        <v>94</v>
      </c>
      <c r="V188" s="43" t="s">
        <v>94</v>
      </c>
      <c r="W188" s="43" t="s">
        <v>95</v>
      </c>
      <c r="X188" s="45" t="str">
        <f>IF(AND(R188&lt;&gt;"",OR(U188="No reply",U188="Unknown")),R188+2,"")</f>
        <v/>
      </c>
      <c r="Y188" s="45"/>
      <c r="Z188" s="43" t="s">
        <v>96</v>
      </c>
      <c r="AA188" s="43" t="str">
        <f>IF(L188="Hold","Do not send",IF(T188="Not sent","Send WhatsApp",IF(U188="Demo booked","Prepare demo",IF(W188="Booked","Prepare demo",IF(AND(X188&lt;&gt;"",Y188=""),"Send follow-up","Review")))))</f>
        <v>Do not send</v>
      </c>
      <c r="AB188" s="43"/>
      <c r="AC188" s="43" t="s">
        <v>733</v>
      </c>
      <c r="AD188" s="43">
        <f>IF(AA188="Prepare demo",1,IF(AA188="Send follow-up",2,IF(AA188="Send WhatsApp",3,IF(AA188="Review",4,IF(AA188="Do not send",9,5)))))</f>
        <v>9</v>
      </c>
      <c r="AE188" s="43">
        <f>IF(M188="High",1,IF(M188="Medium",2,IF(M188="Normal",3,IF(M188="Hold",9,4))))</f>
        <v>9</v>
      </c>
      <c r="AF188" s="43">
        <f>IF(T188="Read",1,IF(T188="Delivered",2,IF(T188="Sent",3,IF(T188="Not sent",4,IF(T188="Failed",9,5)))))</f>
        <v>4</v>
      </c>
      <c r="AG188" s="43">
        <f>IF(U188="Demo booked",1,IF(U188="Interested",2,IF(U188="Replied",3,IF(U188="No reply",5,IF(U188="Not interested",8,IF(U188="Bad number",9,6))))))</f>
        <v>6</v>
      </c>
      <c r="AH188" s="46">
        <f>AD188*1000+AN188*100+AE188*10+AG188</f>
        <v>9596</v>
      </c>
      <c r="AI188" s="45">
        <f>MAX(IF(R188="",0,R188),IF(Y188="",0,Y188))</f>
        <v>0</v>
      </c>
      <c r="AJ188" s="43" t="str">
        <f ca="1">IF(AND(X188&lt;&gt;"",Y188="",X188&lt;TODAY()),"Overdue",IF(AND(X188&lt;&gt;"",Y188="",X188=TODAY()),"Due today",IF(Y188&lt;&gt;"","Follow-up sent","")))</f>
        <v/>
      </c>
      <c r="AK188" s="50" t="s">
        <v>734</v>
      </c>
      <c r="AL188" s="50" t="s">
        <v>735</v>
      </c>
      <c r="AM188" s="50" t="s">
        <v>736</v>
      </c>
      <c r="AN188" s="50">
        <v>5</v>
      </c>
      <c r="AO188" s="54" t="s">
        <v>968</v>
      </c>
      <c r="AP188" s="57" t="s">
        <v>127</v>
      </c>
      <c r="AQ188" s="58"/>
      <c r="AR188" s="57"/>
    </row>
    <row r="189" spans="1:44" ht="54" customHeight="1" x14ac:dyDescent="0.25">
      <c r="A189" s="43" t="s">
        <v>969</v>
      </c>
      <c r="B189" s="43" t="s">
        <v>790</v>
      </c>
      <c r="C189" s="43"/>
      <c r="D189" s="44" t="s">
        <v>970</v>
      </c>
      <c r="E189" s="43"/>
      <c r="F189" s="43" t="s">
        <v>729</v>
      </c>
      <c r="G189" s="45"/>
      <c r="H189" s="45">
        <v>46161</v>
      </c>
      <c r="I189" s="43" t="s">
        <v>730</v>
      </c>
      <c r="J189" s="43" t="s">
        <v>731</v>
      </c>
      <c r="K189" s="43" t="str">
        <f>IF(LEN(D189)=10,"OK","Check")</f>
        <v>OK</v>
      </c>
      <c r="L189" s="43" t="s">
        <v>732</v>
      </c>
      <c r="M189" s="43" t="str">
        <f>IF(L189="Hold","Hold",IF(IFERROR(E189,0)&gt;=200,"High",IF(IFERROR(E189,0)&gt;=100,"Medium","Normal")))</f>
        <v>Hold</v>
      </c>
      <c r="N189" s="43" t="s">
        <v>90</v>
      </c>
      <c r="O189" s="43" t="s">
        <v>91</v>
      </c>
      <c r="P189" s="43" t="s">
        <v>92</v>
      </c>
      <c r="Q189" s="17" t="s">
        <v>93</v>
      </c>
      <c r="R189" s="45"/>
      <c r="S189" s="43"/>
      <c r="T189" s="43" t="s">
        <v>31</v>
      </c>
      <c r="U189" s="43" t="s">
        <v>94</v>
      </c>
      <c r="V189" s="43" t="s">
        <v>94</v>
      </c>
      <c r="W189" s="43" t="s">
        <v>95</v>
      </c>
      <c r="X189" s="45" t="str">
        <f>IF(AND(R189&lt;&gt;"",OR(U189="No reply",U189="Unknown")),R189+2,"")</f>
        <v/>
      </c>
      <c r="Y189" s="45"/>
      <c r="Z189" s="43" t="s">
        <v>96</v>
      </c>
      <c r="AA189" s="43" t="str">
        <f>IF(L189="Hold","Do not send",IF(T189="Not sent","Send WhatsApp",IF(U189="Demo booked","Prepare demo",IF(W189="Booked","Prepare demo",IF(AND(X189&lt;&gt;"",Y189=""),"Send follow-up","Review")))))</f>
        <v>Do not send</v>
      </c>
      <c r="AB189" s="43"/>
      <c r="AC189" s="43" t="s">
        <v>733</v>
      </c>
      <c r="AD189" s="43">
        <f>IF(AA189="Prepare demo",1,IF(AA189="Send follow-up",2,IF(AA189="Send WhatsApp",3,IF(AA189="Review",4,IF(AA189="Do not send",9,5)))))</f>
        <v>9</v>
      </c>
      <c r="AE189" s="43">
        <f>IF(M189="High",1,IF(M189="Medium",2,IF(M189="Normal",3,IF(M189="Hold",9,4))))</f>
        <v>9</v>
      </c>
      <c r="AF189" s="43">
        <f>IF(T189="Read",1,IF(T189="Delivered",2,IF(T189="Sent",3,IF(T189="Not sent",4,IF(T189="Failed",9,5)))))</f>
        <v>4</v>
      </c>
      <c r="AG189" s="43">
        <f>IF(U189="Demo booked",1,IF(U189="Interested",2,IF(U189="Replied",3,IF(U189="No reply",5,IF(U189="Not interested",8,IF(U189="Bad number",9,6))))))</f>
        <v>6</v>
      </c>
      <c r="AH189" s="46">
        <f>AD189*1000+AN189*100+AE189*10+AG189</f>
        <v>9596</v>
      </c>
      <c r="AI189" s="45">
        <f>MAX(IF(R189="",0,R189),IF(Y189="",0,Y189))</f>
        <v>0</v>
      </c>
      <c r="AJ189" s="43" t="str">
        <f ca="1">IF(AND(X189&lt;&gt;"",Y189="",X189&lt;TODAY()),"Overdue",IF(AND(X189&lt;&gt;"",Y189="",X189=TODAY()),"Due today",IF(Y189&lt;&gt;"","Follow-up sent","")))</f>
        <v/>
      </c>
      <c r="AK189" s="50" t="s">
        <v>734</v>
      </c>
      <c r="AL189" s="50" t="s">
        <v>735</v>
      </c>
      <c r="AM189" s="50" t="s">
        <v>736</v>
      </c>
      <c r="AN189" s="50">
        <v>5</v>
      </c>
      <c r="AO189" s="54" t="s">
        <v>971</v>
      </c>
      <c r="AP189" s="57" t="s">
        <v>127</v>
      </c>
      <c r="AQ189" s="58"/>
      <c r="AR189" s="57"/>
    </row>
    <row r="190" spans="1:44" ht="54" customHeight="1" x14ac:dyDescent="0.25">
      <c r="A190" s="43" t="s">
        <v>972</v>
      </c>
      <c r="B190" s="43" t="s">
        <v>790</v>
      </c>
      <c r="C190" s="43"/>
      <c r="D190" s="44" t="s">
        <v>973</v>
      </c>
      <c r="E190" s="43"/>
      <c r="F190" s="43" t="s">
        <v>729</v>
      </c>
      <c r="G190" s="45"/>
      <c r="H190" s="45">
        <v>46161</v>
      </c>
      <c r="I190" s="43" t="s">
        <v>730</v>
      </c>
      <c r="J190" s="43" t="s">
        <v>731</v>
      </c>
      <c r="K190" s="43" t="str">
        <f>IF(LEN(D190)=10,"OK","Check")</f>
        <v>OK</v>
      </c>
      <c r="L190" s="43" t="s">
        <v>732</v>
      </c>
      <c r="M190" s="43" t="str">
        <f>IF(L190="Hold","Hold",IF(IFERROR(E190,0)&gt;=200,"High",IF(IFERROR(E190,0)&gt;=100,"Medium","Normal")))</f>
        <v>Hold</v>
      </c>
      <c r="N190" s="43" t="s">
        <v>90</v>
      </c>
      <c r="O190" s="43" t="s">
        <v>91</v>
      </c>
      <c r="P190" s="43" t="s">
        <v>92</v>
      </c>
      <c r="Q190" s="17" t="s">
        <v>93</v>
      </c>
      <c r="R190" s="45"/>
      <c r="S190" s="43"/>
      <c r="T190" s="43" t="s">
        <v>31</v>
      </c>
      <c r="U190" s="43" t="s">
        <v>94</v>
      </c>
      <c r="V190" s="43" t="s">
        <v>94</v>
      </c>
      <c r="W190" s="43" t="s">
        <v>95</v>
      </c>
      <c r="X190" s="45" t="str">
        <f>IF(AND(R190&lt;&gt;"",OR(U190="No reply",U190="Unknown")),R190+2,"")</f>
        <v/>
      </c>
      <c r="Y190" s="45"/>
      <c r="Z190" s="43" t="s">
        <v>96</v>
      </c>
      <c r="AA190" s="43" t="str">
        <f>IF(L190="Hold","Do not send",IF(T190="Not sent","Send WhatsApp",IF(U190="Demo booked","Prepare demo",IF(W190="Booked","Prepare demo",IF(AND(X190&lt;&gt;"",Y190=""),"Send follow-up","Review")))))</f>
        <v>Do not send</v>
      </c>
      <c r="AB190" s="43"/>
      <c r="AC190" s="43" t="s">
        <v>733</v>
      </c>
      <c r="AD190" s="43">
        <f>IF(AA190="Prepare demo",1,IF(AA190="Send follow-up",2,IF(AA190="Send WhatsApp",3,IF(AA190="Review",4,IF(AA190="Do not send",9,5)))))</f>
        <v>9</v>
      </c>
      <c r="AE190" s="43">
        <f>IF(M190="High",1,IF(M190="Medium",2,IF(M190="Normal",3,IF(M190="Hold",9,4))))</f>
        <v>9</v>
      </c>
      <c r="AF190" s="43">
        <f>IF(T190="Read",1,IF(T190="Delivered",2,IF(T190="Sent",3,IF(T190="Not sent",4,IF(T190="Failed",9,5)))))</f>
        <v>4</v>
      </c>
      <c r="AG190" s="43">
        <f>IF(U190="Demo booked",1,IF(U190="Interested",2,IF(U190="Replied",3,IF(U190="No reply",5,IF(U190="Not interested",8,IF(U190="Bad number",9,6))))))</f>
        <v>6</v>
      </c>
      <c r="AH190" s="46">
        <f>AD190*1000+AN190*100+AE190*10+AG190</f>
        <v>9596</v>
      </c>
      <c r="AI190" s="45">
        <f>MAX(IF(R190="",0,R190),IF(Y190="",0,Y190))</f>
        <v>0</v>
      </c>
      <c r="AJ190" s="43" t="str">
        <f ca="1">IF(AND(X190&lt;&gt;"",Y190="",X190&lt;TODAY()),"Overdue",IF(AND(X190&lt;&gt;"",Y190="",X190=TODAY()),"Due today",IF(Y190&lt;&gt;"","Follow-up sent","")))</f>
        <v/>
      </c>
      <c r="AK190" s="50" t="s">
        <v>734</v>
      </c>
      <c r="AL190" s="50" t="s">
        <v>735</v>
      </c>
      <c r="AM190" s="50" t="s">
        <v>736</v>
      </c>
      <c r="AN190" s="50">
        <v>5</v>
      </c>
      <c r="AO190" s="54" t="s">
        <v>974</v>
      </c>
      <c r="AP190" s="57" t="s">
        <v>127</v>
      </c>
      <c r="AQ190" s="58"/>
      <c r="AR190" s="57"/>
    </row>
    <row r="191" spans="1:44" ht="54" customHeight="1" x14ac:dyDescent="0.25">
      <c r="A191" s="43" t="s">
        <v>975</v>
      </c>
      <c r="B191" s="43" t="s">
        <v>790</v>
      </c>
      <c r="C191" s="43"/>
      <c r="D191" s="44" t="s">
        <v>976</v>
      </c>
      <c r="E191" s="43"/>
      <c r="F191" s="43" t="s">
        <v>729</v>
      </c>
      <c r="G191" s="45"/>
      <c r="H191" s="45">
        <v>46161</v>
      </c>
      <c r="I191" s="43" t="s">
        <v>730</v>
      </c>
      <c r="J191" s="43" t="s">
        <v>731</v>
      </c>
      <c r="K191" s="43" t="str">
        <f>IF(LEN(D191)=10,"OK","Check")</f>
        <v>OK</v>
      </c>
      <c r="L191" s="43" t="s">
        <v>732</v>
      </c>
      <c r="M191" s="43" t="str">
        <f>IF(L191="Hold","Hold",IF(IFERROR(E191,0)&gt;=200,"High",IF(IFERROR(E191,0)&gt;=100,"Medium","Normal")))</f>
        <v>Hold</v>
      </c>
      <c r="N191" s="43" t="s">
        <v>90</v>
      </c>
      <c r="O191" s="43" t="s">
        <v>91</v>
      </c>
      <c r="P191" s="43" t="s">
        <v>92</v>
      </c>
      <c r="Q191" s="17" t="s">
        <v>93</v>
      </c>
      <c r="R191" s="45"/>
      <c r="S191" s="43"/>
      <c r="T191" s="43" t="s">
        <v>31</v>
      </c>
      <c r="U191" s="43" t="s">
        <v>94</v>
      </c>
      <c r="V191" s="43" t="s">
        <v>94</v>
      </c>
      <c r="W191" s="43" t="s">
        <v>95</v>
      </c>
      <c r="X191" s="45" t="str">
        <f>IF(AND(R191&lt;&gt;"",OR(U191="No reply",U191="Unknown")),R191+2,"")</f>
        <v/>
      </c>
      <c r="Y191" s="45"/>
      <c r="Z191" s="43" t="s">
        <v>96</v>
      </c>
      <c r="AA191" s="43" t="str">
        <f>IF(L191="Hold","Do not send",IF(T191="Not sent","Send WhatsApp",IF(U191="Demo booked","Prepare demo",IF(W191="Booked","Prepare demo",IF(AND(X191&lt;&gt;"",Y191=""),"Send follow-up","Review")))))</f>
        <v>Do not send</v>
      </c>
      <c r="AB191" s="43"/>
      <c r="AC191" s="43" t="s">
        <v>733</v>
      </c>
      <c r="AD191" s="43">
        <f>IF(AA191="Prepare demo",1,IF(AA191="Send follow-up",2,IF(AA191="Send WhatsApp",3,IF(AA191="Review",4,IF(AA191="Do not send",9,5)))))</f>
        <v>9</v>
      </c>
      <c r="AE191" s="43">
        <f>IF(M191="High",1,IF(M191="Medium",2,IF(M191="Normal",3,IF(M191="Hold",9,4))))</f>
        <v>9</v>
      </c>
      <c r="AF191" s="43">
        <f>IF(T191="Read",1,IF(T191="Delivered",2,IF(T191="Sent",3,IF(T191="Not sent",4,IF(T191="Failed",9,5)))))</f>
        <v>4</v>
      </c>
      <c r="AG191" s="43">
        <f>IF(U191="Demo booked",1,IF(U191="Interested",2,IF(U191="Replied",3,IF(U191="No reply",5,IF(U191="Not interested",8,IF(U191="Bad number",9,6))))))</f>
        <v>6</v>
      </c>
      <c r="AH191" s="46">
        <f>AD191*1000+AN191*100+AE191*10+AG191</f>
        <v>9596</v>
      </c>
      <c r="AI191" s="45">
        <f>MAX(IF(R191="",0,R191),IF(Y191="",0,Y191))</f>
        <v>0</v>
      </c>
      <c r="AJ191" s="43" t="str">
        <f ca="1">IF(AND(X191&lt;&gt;"",Y191="",X191&lt;TODAY()),"Overdue",IF(AND(X191&lt;&gt;"",Y191="",X191=TODAY()),"Due today",IF(Y191&lt;&gt;"","Follow-up sent","")))</f>
        <v/>
      </c>
      <c r="AK191" s="50" t="s">
        <v>734</v>
      </c>
      <c r="AL191" s="50" t="s">
        <v>735</v>
      </c>
      <c r="AM191" s="50" t="s">
        <v>736</v>
      </c>
      <c r="AN191" s="50">
        <v>5</v>
      </c>
      <c r="AO191" s="54" t="s">
        <v>977</v>
      </c>
      <c r="AP191" s="57" t="s">
        <v>127</v>
      </c>
      <c r="AQ191" s="58"/>
      <c r="AR191" s="57"/>
    </row>
    <row r="192" spans="1:44" ht="54" customHeight="1" x14ac:dyDescent="0.25">
      <c r="A192" s="43" t="s">
        <v>978</v>
      </c>
      <c r="B192" s="43" t="s">
        <v>790</v>
      </c>
      <c r="C192" s="43"/>
      <c r="D192" s="44" t="s">
        <v>979</v>
      </c>
      <c r="E192" s="43"/>
      <c r="F192" s="43" t="s">
        <v>729</v>
      </c>
      <c r="G192" s="45"/>
      <c r="H192" s="45">
        <v>46161</v>
      </c>
      <c r="I192" s="43" t="s">
        <v>730</v>
      </c>
      <c r="J192" s="43" t="s">
        <v>731</v>
      </c>
      <c r="K192" s="43" t="str">
        <f>IF(LEN(D192)=10,"OK","Check")</f>
        <v>OK</v>
      </c>
      <c r="L192" s="43" t="s">
        <v>732</v>
      </c>
      <c r="M192" s="43" t="str">
        <f>IF(L192="Hold","Hold",IF(IFERROR(E192,0)&gt;=200,"High",IF(IFERROR(E192,0)&gt;=100,"Medium","Normal")))</f>
        <v>Hold</v>
      </c>
      <c r="N192" s="43" t="s">
        <v>90</v>
      </c>
      <c r="O192" s="43" t="s">
        <v>91</v>
      </c>
      <c r="P192" s="43" t="s">
        <v>92</v>
      </c>
      <c r="Q192" s="17" t="s">
        <v>93</v>
      </c>
      <c r="R192" s="45"/>
      <c r="S192" s="43"/>
      <c r="T192" s="43" t="s">
        <v>31</v>
      </c>
      <c r="U192" s="43" t="s">
        <v>94</v>
      </c>
      <c r="V192" s="43" t="s">
        <v>94</v>
      </c>
      <c r="W192" s="43" t="s">
        <v>95</v>
      </c>
      <c r="X192" s="45" t="str">
        <f>IF(AND(R192&lt;&gt;"",OR(U192="No reply",U192="Unknown")),R192+2,"")</f>
        <v/>
      </c>
      <c r="Y192" s="45"/>
      <c r="Z192" s="43" t="s">
        <v>96</v>
      </c>
      <c r="AA192" s="43" t="str">
        <f>IF(L192="Hold","Do not send",IF(T192="Not sent","Send WhatsApp",IF(U192="Demo booked","Prepare demo",IF(W192="Booked","Prepare demo",IF(AND(X192&lt;&gt;"",Y192=""),"Send follow-up","Review")))))</f>
        <v>Do not send</v>
      </c>
      <c r="AB192" s="43"/>
      <c r="AC192" s="43" t="s">
        <v>733</v>
      </c>
      <c r="AD192" s="43">
        <f>IF(AA192="Prepare demo",1,IF(AA192="Send follow-up",2,IF(AA192="Send WhatsApp",3,IF(AA192="Review",4,IF(AA192="Do not send",9,5)))))</f>
        <v>9</v>
      </c>
      <c r="AE192" s="43">
        <f>IF(M192="High",1,IF(M192="Medium",2,IF(M192="Normal",3,IF(M192="Hold",9,4))))</f>
        <v>9</v>
      </c>
      <c r="AF192" s="43">
        <f>IF(T192="Read",1,IF(T192="Delivered",2,IF(T192="Sent",3,IF(T192="Not sent",4,IF(T192="Failed",9,5)))))</f>
        <v>4</v>
      </c>
      <c r="AG192" s="43">
        <f>IF(U192="Demo booked",1,IF(U192="Interested",2,IF(U192="Replied",3,IF(U192="No reply",5,IF(U192="Not interested",8,IF(U192="Bad number",9,6))))))</f>
        <v>6</v>
      </c>
      <c r="AH192" s="46">
        <f>AD192*1000+AN192*100+AE192*10+AG192</f>
        <v>9596</v>
      </c>
      <c r="AI192" s="45">
        <f>MAX(IF(R192="",0,R192),IF(Y192="",0,Y192))</f>
        <v>0</v>
      </c>
      <c r="AJ192" s="43" t="str">
        <f ca="1">IF(AND(X192&lt;&gt;"",Y192="",X192&lt;TODAY()),"Overdue",IF(AND(X192&lt;&gt;"",Y192="",X192=TODAY()),"Due today",IF(Y192&lt;&gt;"","Follow-up sent","")))</f>
        <v/>
      </c>
      <c r="AK192" s="50" t="s">
        <v>734</v>
      </c>
      <c r="AL192" s="50" t="s">
        <v>735</v>
      </c>
      <c r="AM192" s="50" t="s">
        <v>736</v>
      </c>
      <c r="AN192" s="50">
        <v>5</v>
      </c>
      <c r="AO192" s="54" t="s">
        <v>980</v>
      </c>
      <c r="AP192" s="57" t="s">
        <v>127</v>
      </c>
      <c r="AQ192" s="58"/>
      <c r="AR192" s="57"/>
    </row>
    <row r="193" spans="1:44" ht="54" customHeight="1" x14ac:dyDescent="0.25">
      <c r="A193" s="43" t="s">
        <v>981</v>
      </c>
      <c r="B193" s="43" t="s">
        <v>790</v>
      </c>
      <c r="C193" s="43"/>
      <c r="D193" s="44" t="s">
        <v>982</v>
      </c>
      <c r="E193" s="43"/>
      <c r="F193" s="43" t="s">
        <v>729</v>
      </c>
      <c r="G193" s="45"/>
      <c r="H193" s="45">
        <v>46161</v>
      </c>
      <c r="I193" s="43" t="s">
        <v>730</v>
      </c>
      <c r="J193" s="43" t="s">
        <v>731</v>
      </c>
      <c r="K193" s="43" t="str">
        <f>IF(LEN(D193)=10,"OK","Check")</f>
        <v>OK</v>
      </c>
      <c r="L193" s="43" t="s">
        <v>732</v>
      </c>
      <c r="M193" s="43" t="str">
        <f>IF(L193="Hold","Hold",IF(IFERROR(E193,0)&gt;=200,"High",IF(IFERROR(E193,0)&gt;=100,"Medium","Normal")))</f>
        <v>Hold</v>
      </c>
      <c r="N193" s="43" t="s">
        <v>90</v>
      </c>
      <c r="O193" s="43" t="s">
        <v>91</v>
      </c>
      <c r="P193" s="43" t="s">
        <v>92</v>
      </c>
      <c r="Q193" s="17" t="s">
        <v>93</v>
      </c>
      <c r="R193" s="45"/>
      <c r="S193" s="43"/>
      <c r="T193" s="43" t="s">
        <v>31</v>
      </c>
      <c r="U193" s="43" t="s">
        <v>94</v>
      </c>
      <c r="V193" s="43" t="s">
        <v>94</v>
      </c>
      <c r="W193" s="43" t="s">
        <v>95</v>
      </c>
      <c r="X193" s="45" t="str">
        <f>IF(AND(R193&lt;&gt;"",OR(U193="No reply",U193="Unknown")),R193+2,"")</f>
        <v/>
      </c>
      <c r="Y193" s="45"/>
      <c r="Z193" s="43" t="s">
        <v>96</v>
      </c>
      <c r="AA193" s="43" t="str">
        <f>IF(L193="Hold","Do not send",IF(T193="Not sent","Send WhatsApp",IF(U193="Demo booked","Prepare demo",IF(W193="Booked","Prepare demo",IF(AND(X193&lt;&gt;"",Y193=""),"Send follow-up","Review")))))</f>
        <v>Do not send</v>
      </c>
      <c r="AB193" s="43"/>
      <c r="AC193" s="43" t="s">
        <v>733</v>
      </c>
      <c r="AD193" s="43">
        <f>IF(AA193="Prepare demo",1,IF(AA193="Send follow-up",2,IF(AA193="Send WhatsApp",3,IF(AA193="Review",4,IF(AA193="Do not send",9,5)))))</f>
        <v>9</v>
      </c>
      <c r="AE193" s="43">
        <f>IF(M193="High",1,IF(M193="Medium",2,IF(M193="Normal",3,IF(M193="Hold",9,4))))</f>
        <v>9</v>
      </c>
      <c r="AF193" s="43">
        <f>IF(T193="Read",1,IF(T193="Delivered",2,IF(T193="Sent",3,IF(T193="Not sent",4,IF(T193="Failed",9,5)))))</f>
        <v>4</v>
      </c>
      <c r="AG193" s="43">
        <f>IF(U193="Demo booked",1,IF(U193="Interested",2,IF(U193="Replied",3,IF(U193="No reply",5,IF(U193="Not interested",8,IF(U193="Bad number",9,6))))))</f>
        <v>6</v>
      </c>
      <c r="AH193" s="46">
        <f>AD193*1000+AN193*100+AE193*10+AG193</f>
        <v>9596</v>
      </c>
      <c r="AI193" s="45">
        <f>MAX(IF(R193="",0,R193),IF(Y193="",0,Y193))</f>
        <v>0</v>
      </c>
      <c r="AJ193" s="43" t="str">
        <f ca="1">IF(AND(X193&lt;&gt;"",Y193="",X193&lt;TODAY()),"Overdue",IF(AND(X193&lt;&gt;"",Y193="",X193=TODAY()),"Due today",IF(Y193&lt;&gt;"","Follow-up sent","")))</f>
        <v/>
      </c>
      <c r="AK193" s="50" t="s">
        <v>734</v>
      </c>
      <c r="AL193" s="50" t="s">
        <v>735</v>
      </c>
      <c r="AM193" s="50" t="s">
        <v>736</v>
      </c>
      <c r="AN193" s="50">
        <v>5</v>
      </c>
      <c r="AO193" s="54" t="s">
        <v>983</v>
      </c>
      <c r="AP193" s="57" t="s">
        <v>127</v>
      </c>
      <c r="AQ193" s="58"/>
      <c r="AR193" s="57"/>
    </row>
    <row r="194" spans="1:44" ht="54" customHeight="1" x14ac:dyDescent="0.25">
      <c r="A194" s="43" t="s">
        <v>984</v>
      </c>
      <c r="B194" s="43" t="s">
        <v>790</v>
      </c>
      <c r="C194" s="43"/>
      <c r="D194" s="44" t="s">
        <v>985</v>
      </c>
      <c r="E194" s="43"/>
      <c r="F194" s="43" t="s">
        <v>729</v>
      </c>
      <c r="G194" s="45"/>
      <c r="H194" s="45">
        <v>46161</v>
      </c>
      <c r="I194" s="43" t="s">
        <v>730</v>
      </c>
      <c r="J194" s="43" t="s">
        <v>731</v>
      </c>
      <c r="K194" s="43" t="str">
        <f>IF(LEN(D194)=10,"OK","Check")</f>
        <v>OK</v>
      </c>
      <c r="L194" s="43" t="s">
        <v>732</v>
      </c>
      <c r="M194" s="43" t="str">
        <f>IF(L194="Hold","Hold",IF(IFERROR(E194,0)&gt;=200,"High",IF(IFERROR(E194,0)&gt;=100,"Medium","Normal")))</f>
        <v>Hold</v>
      </c>
      <c r="N194" s="43" t="s">
        <v>90</v>
      </c>
      <c r="O194" s="43" t="s">
        <v>91</v>
      </c>
      <c r="P194" s="43" t="s">
        <v>92</v>
      </c>
      <c r="Q194" s="17" t="s">
        <v>93</v>
      </c>
      <c r="R194" s="45"/>
      <c r="S194" s="43"/>
      <c r="T194" s="43" t="s">
        <v>31</v>
      </c>
      <c r="U194" s="43" t="s">
        <v>94</v>
      </c>
      <c r="V194" s="43" t="s">
        <v>94</v>
      </c>
      <c r="W194" s="43" t="s">
        <v>95</v>
      </c>
      <c r="X194" s="45" t="str">
        <f>IF(AND(R194&lt;&gt;"",OR(U194="No reply",U194="Unknown")),R194+2,"")</f>
        <v/>
      </c>
      <c r="Y194" s="45"/>
      <c r="Z194" s="43" t="s">
        <v>96</v>
      </c>
      <c r="AA194" s="43" t="str">
        <f>IF(L194="Hold","Do not send",IF(T194="Not sent","Send WhatsApp",IF(U194="Demo booked","Prepare demo",IF(W194="Booked","Prepare demo",IF(AND(X194&lt;&gt;"",Y194=""),"Send follow-up","Review")))))</f>
        <v>Do not send</v>
      </c>
      <c r="AB194" s="43"/>
      <c r="AC194" s="43" t="s">
        <v>733</v>
      </c>
      <c r="AD194" s="43">
        <f>IF(AA194="Prepare demo",1,IF(AA194="Send follow-up",2,IF(AA194="Send WhatsApp",3,IF(AA194="Review",4,IF(AA194="Do not send",9,5)))))</f>
        <v>9</v>
      </c>
      <c r="AE194" s="43">
        <f>IF(M194="High",1,IF(M194="Medium",2,IF(M194="Normal",3,IF(M194="Hold",9,4))))</f>
        <v>9</v>
      </c>
      <c r="AF194" s="43">
        <f>IF(T194="Read",1,IF(T194="Delivered",2,IF(T194="Sent",3,IF(T194="Not sent",4,IF(T194="Failed",9,5)))))</f>
        <v>4</v>
      </c>
      <c r="AG194" s="43">
        <f>IF(U194="Demo booked",1,IF(U194="Interested",2,IF(U194="Replied",3,IF(U194="No reply",5,IF(U194="Not interested",8,IF(U194="Bad number",9,6))))))</f>
        <v>6</v>
      </c>
      <c r="AH194" s="46">
        <f>AD194*1000+AN194*100+AE194*10+AG194</f>
        <v>9596</v>
      </c>
      <c r="AI194" s="45">
        <f>MAX(IF(R194="",0,R194),IF(Y194="",0,Y194))</f>
        <v>0</v>
      </c>
      <c r="AJ194" s="43" t="str">
        <f ca="1">IF(AND(X194&lt;&gt;"",Y194="",X194&lt;TODAY()),"Overdue",IF(AND(X194&lt;&gt;"",Y194="",X194=TODAY()),"Due today",IF(Y194&lt;&gt;"","Follow-up sent","")))</f>
        <v/>
      </c>
      <c r="AK194" s="50" t="s">
        <v>734</v>
      </c>
      <c r="AL194" s="50" t="s">
        <v>735</v>
      </c>
      <c r="AM194" s="50" t="s">
        <v>736</v>
      </c>
      <c r="AN194" s="50">
        <v>5</v>
      </c>
      <c r="AO194" s="54" t="s">
        <v>986</v>
      </c>
      <c r="AP194" s="57" t="s">
        <v>127</v>
      </c>
      <c r="AQ194" s="58"/>
      <c r="AR194" s="57"/>
    </row>
    <row r="195" spans="1:44" ht="54" customHeight="1" x14ac:dyDescent="0.25">
      <c r="A195" s="43" t="s">
        <v>987</v>
      </c>
      <c r="B195" s="43" t="s">
        <v>790</v>
      </c>
      <c r="C195" s="43"/>
      <c r="D195" s="44" t="s">
        <v>988</v>
      </c>
      <c r="E195" s="43"/>
      <c r="F195" s="43" t="s">
        <v>729</v>
      </c>
      <c r="G195" s="45"/>
      <c r="H195" s="45">
        <v>46161</v>
      </c>
      <c r="I195" s="43" t="s">
        <v>730</v>
      </c>
      <c r="J195" s="43" t="s">
        <v>731</v>
      </c>
      <c r="K195" s="43" t="str">
        <f>IF(LEN(D195)=10,"OK","Check")</f>
        <v>OK</v>
      </c>
      <c r="L195" s="43" t="s">
        <v>732</v>
      </c>
      <c r="M195" s="43" t="str">
        <f>IF(L195="Hold","Hold",IF(IFERROR(E195,0)&gt;=200,"High",IF(IFERROR(E195,0)&gt;=100,"Medium","Normal")))</f>
        <v>Hold</v>
      </c>
      <c r="N195" s="43" t="s">
        <v>90</v>
      </c>
      <c r="O195" s="43" t="s">
        <v>91</v>
      </c>
      <c r="P195" s="43" t="s">
        <v>92</v>
      </c>
      <c r="Q195" s="17" t="s">
        <v>93</v>
      </c>
      <c r="R195" s="45"/>
      <c r="S195" s="43"/>
      <c r="T195" s="43" t="s">
        <v>31</v>
      </c>
      <c r="U195" s="43" t="s">
        <v>94</v>
      </c>
      <c r="V195" s="43" t="s">
        <v>94</v>
      </c>
      <c r="W195" s="43" t="s">
        <v>95</v>
      </c>
      <c r="X195" s="45" t="str">
        <f>IF(AND(R195&lt;&gt;"",OR(U195="No reply",U195="Unknown")),R195+2,"")</f>
        <v/>
      </c>
      <c r="Y195" s="45"/>
      <c r="Z195" s="43" t="s">
        <v>96</v>
      </c>
      <c r="AA195" s="43" t="str">
        <f>IF(L195="Hold","Do not send",IF(T195="Not sent","Send WhatsApp",IF(U195="Demo booked","Prepare demo",IF(W195="Booked","Prepare demo",IF(AND(X195&lt;&gt;"",Y195=""),"Send follow-up","Review")))))</f>
        <v>Do not send</v>
      </c>
      <c r="AB195" s="43"/>
      <c r="AC195" s="43" t="s">
        <v>733</v>
      </c>
      <c r="AD195" s="43">
        <f>IF(AA195="Prepare demo",1,IF(AA195="Send follow-up",2,IF(AA195="Send WhatsApp",3,IF(AA195="Review",4,IF(AA195="Do not send",9,5)))))</f>
        <v>9</v>
      </c>
      <c r="AE195" s="43">
        <f>IF(M195="High",1,IF(M195="Medium",2,IF(M195="Normal",3,IF(M195="Hold",9,4))))</f>
        <v>9</v>
      </c>
      <c r="AF195" s="43">
        <f>IF(T195="Read",1,IF(T195="Delivered",2,IF(T195="Sent",3,IF(T195="Not sent",4,IF(T195="Failed",9,5)))))</f>
        <v>4</v>
      </c>
      <c r="AG195" s="43">
        <f>IF(U195="Demo booked",1,IF(U195="Interested",2,IF(U195="Replied",3,IF(U195="No reply",5,IF(U195="Not interested",8,IF(U195="Bad number",9,6))))))</f>
        <v>6</v>
      </c>
      <c r="AH195" s="46">
        <f>AD195*1000+AN195*100+AE195*10+AG195</f>
        <v>9596</v>
      </c>
      <c r="AI195" s="45">
        <f>MAX(IF(R195="",0,R195),IF(Y195="",0,Y195))</f>
        <v>0</v>
      </c>
      <c r="AJ195" s="43" t="str">
        <f ca="1">IF(AND(X195&lt;&gt;"",Y195="",X195&lt;TODAY()),"Overdue",IF(AND(X195&lt;&gt;"",Y195="",X195=TODAY()),"Due today",IF(Y195&lt;&gt;"","Follow-up sent","")))</f>
        <v/>
      </c>
      <c r="AK195" s="50" t="s">
        <v>734</v>
      </c>
      <c r="AL195" s="50" t="s">
        <v>735</v>
      </c>
      <c r="AM195" s="50" t="s">
        <v>736</v>
      </c>
      <c r="AN195" s="50">
        <v>5</v>
      </c>
      <c r="AO195" s="54" t="s">
        <v>989</v>
      </c>
      <c r="AP195" s="57" t="s">
        <v>127</v>
      </c>
      <c r="AQ195" s="58"/>
      <c r="AR195" s="57"/>
    </row>
    <row r="196" spans="1:44" ht="54" customHeight="1" x14ac:dyDescent="0.25">
      <c r="A196" s="43" t="s">
        <v>990</v>
      </c>
      <c r="B196" s="43" t="s">
        <v>790</v>
      </c>
      <c r="C196" s="43"/>
      <c r="D196" s="44" t="s">
        <v>991</v>
      </c>
      <c r="E196" s="43"/>
      <c r="F196" s="43" t="s">
        <v>729</v>
      </c>
      <c r="G196" s="45"/>
      <c r="H196" s="45">
        <v>46161</v>
      </c>
      <c r="I196" s="43" t="s">
        <v>730</v>
      </c>
      <c r="J196" s="43" t="s">
        <v>731</v>
      </c>
      <c r="K196" s="43" t="str">
        <f>IF(LEN(D196)=10,"OK","Check")</f>
        <v>OK</v>
      </c>
      <c r="L196" s="43" t="s">
        <v>732</v>
      </c>
      <c r="M196" s="43" t="str">
        <f>IF(L196="Hold","Hold",IF(IFERROR(E196,0)&gt;=200,"High",IF(IFERROR(E196,0)&gt;=100,"Medium","Normal")))</f>
        <v>Hold</v>
      </c>
      <c r="N196" s="43" t="s">
        <v>90</v>
      </c>
      <c r="O196" s="43" t="s">
        <v>91</v>
      </c>
      <c r="P196" s="43" t="s">
        <v>92</v>
      </c>
      <c r="Q196" s="17" t="s">
        <v>93</v>
      </c>
      <c r="R196" s="45"/>
      <c r="S196" s="43"/>
      <c r="T196" s="43" t="s">
        <v>31</v>
      </c>
      <c r="U196" s="43" t="s">
        <v>94</v>
      </c>
      <c r="V196" s="43" t="s">
        <v>94</v>
      </c>
      <c r="W196" s="43" t="s">
        <v>95</v>
      </c>
      <c r="X196" s="45" t="str">
        <f>IF(AND(R196&lt;&gt;"",OR(U196="No reply",U196="Unknown")),R196+2,"")</f>
        <v/>
      </c>
      <c r="Y196" s="45"/>
      <c r="Z196" s="43" t="s">
        <v>96</v>
      </c>
      <c r="AA196" s="43" t="str">
        <f>IF(L196="Hold","Do not send",IF(T196="Not sent","Send WhatsApp",IF(U196="Demo booked","Prepare demo",IF(W196="Booked","Prepare demo",IF(AND(X196&lt;&gt;"",Y196=""),"Send follow-up","Review")))))</f>
        <v>Do not send</v>
      </c>
      <c r="AB196" s="43"/>
      <c r="AC196" s="43" t="s">
        <v>733</v>
      </c>
      <c r="AD196" s="43">
        <f>IF(AA196="Prepare demo",1,IF(AA196="Send follow-up",2,IF(AA196="Send WhatsApp",3,IF(AA196="Review",4,IF(AA196="Do not send",9,5)))))</f>
        <v>9</v>
      </c>
      <c r="AE196" s="43">
        <f>IF(M196="High",1,IF(M196="Medium",2,IF(M196="Normal",3,IF(M196="Hold",9,4))))</f>
        <v>9</v>
      </c>
      <c r="AF196" s="43">
        <f>IF(T196="Read",1,IF(T196="Delivered",2,IF(T196="Sent",3,IF(T196="Not sent",4,IF(T196="Failed",9,5)))))</f>
        <v>4</v>
      </c>
      <c r="AG196" s="43">
        <f>IF(U196="Demo booked",1,IF(U196="Interested",2,IF(U196="Replied",3,IF(U196="No reply",5,IF(U196="Not interested",8,IF(U196="Bad number",9,6))))))</f>
        <v>6</v>
      </c>
      <c r="AH196" s="46">
        <f>AD196*1000+AN196*100+AE196*10+AG196</f>
        <v>9596</v>
      </c>
      <c r="AI196" s="45">
        <f>MAX(IF(R196="",0,R196),IF(Y196="",0,Y196))</f>
        <v>0</v>
      </c>
      <c r="AJ196" s="43" t="str">
        <f ca="1">IF(AND(X196&lt;&gt;"",Y196="",X196&lt;TODAY()),"Overdue",IF(AND(X196&lt;&gt;"",Y196="",X196=TODAY()),"Due today",IF(Y196&lt;&gt;"","Follow-up sent","")))</f>
        <v/>
      </c>
      <c r="AK196" s="50" t="s">
        <v>734</v>
      </c>
      <c r="AL196" s="50" t="s">
        <v>735</v>
      </c>
      <c r="AM196" s="50" t="s">
        <v>736</v>
      </c>
      <c r="AN196" s="50">
        <v>5</v>
      </c>
      <c r="AO196" s="54" t="s">
        <v>992</v>
      </c>
      <c r="AP196" s="57" t="s">
        <v>127</v>
      </c>
      <c r="AQ196" s="58"/>
      <c r="AR196" s="57"/>
    </row>
    <row r="197" spans="1:44" ht="54" customHeight="1" x14ac:dyDescent="0.25">
      <c r="A197" s="43" t="s">
        <v>993</v>
      </c>
      <c r="B197" s="43" t="s">
        <v>790</v>
      </c>
      <c r="C197" s="43"/>
      <c r="D197" s="44" t="s">
        <v>994</v>
      </c>
      <c r="E197" s="43"/>
      <c r="F197" s="43" t="s">
        <v>729</v>
      </c>
      <c r="G197" s="45"/>
      <c r="H197" s="45">
        <v>46161</v>
      </c>
      <c r="I197" s="43" t="s">
        <v>730</v>
      </c>
      <c r="J197" s="43" t="s">
        <v>731</v>
      </c>
      <c r="K197" s="43" t="str">
        <f>IF(LEN(D197)=10,"OK","Check")</f>
        <v>OK</v>
      </c>
      <c r="L197" s="43" t="s">
        <v>732</v>
      </c>
      <c r="M197" s="43" t="str">
        <f>IF(L197="Hold","Hold",IF(IFERROR(E197,0)&gt;=200,"High",IF(IFERROR(E197,0)&gt;=100,"Medium","Normal")))</f>
        <v>Hold</v>
      </c>
      <c r="N197" s="43" t="s">
        <v>90</v>
      </c>
      <c r="O197" s="43" t="s">
        <v>91</v>
      </c>
      <c r="P197" s="43" t="s">
        <v>92</v>
      </c>
      <c r="Q197" s="17" t="s">
        <v>93</v>
      </c>
      <c r="R197" s="45"/>
      <c r="S197" s="43"/>
      <c r="T197" s="43" t="s">
        <v>31</v>
      </c>
      <c r="U197" s="43" t="s">
        <v>94</v>
      </c>
      <c r="V197" s="43" t="s">
        <v>94</v>
      </c>
      <c r="W197" s="43" t="s">
        <v>95</v>
      </c>
      <c r="X197" s="45" t="str">
        <f>IF(AND(R197&lt;&gt;"",OR(U197="No reply",U197="Unknown")),R197+2,"")</f>
        <v/>
      </c>
      <c r="Y197" s="45"/>
      <c r="Z197" s="43" t="s">
        <v>96</v>
      </c>
      <c r="AA197" s="43" t="str">
        <f>IF(L197="Hold","Do not send",IF(T197="Not sent","Send WhatsApp",IF(U197="Demo booked","Prepare demo",IF(W197="Booked","Prepare demo",IF(AND(X197&lt;&gt;"",Y197=""),"Send follow-up","Review")))))</f>
        <v>Do not send</v>
      </c>
      <c r="AB197" s="43"/>
      <c r="AC197" s="43" t="s">
        <v>733</v>
      </c>
      <c r="AD197" s="43">
        <f>IF(AA197="Prepare demo",1,IF(AA197="Send follow-up",2,IF(AA197="Send WhatsApp",3,IF(AA197="Review",4,IF(AA197="Do not send",9,5)))))</f>
        <v>9</v>
      </c>
      <c r="AE197" s="43">
        <f>IF(M197="High",1,IF(M197="Medium",2,IF(M197="Normal",3,IF(M197="Hold",9,4))))</f>
        <v>9</v>
      </c>
      <c r="AF197" s="43">
        <f>IF(T197="Read",1,IF(T197="Delivered",2,IF(T197="Sent",3,IF(T197="Not sent",4,IF(T197="Failed",9,5)))))</f>
        <v>4</v>
      </c>
      <c r="AG197" s="43">
        <f>IF(U197="Demo booked",1,IF(U197="Interested",2,IF(U197="Replied",3,IF(U197="No reply",5,IF(U197="Not interested",8,IF(U197="Bad number",9,6))))))</f>
        <v>6</v>
      </c>
      <c r="AH197" s="46">
        <f>AD197*1000+AN197*100+AE197*10+AG197</f>
        <v>9596</v>
      </c>
      <c r="AI197" s="45">
        <f>MAX(IF(R197="",0,R197),IF(Y197="",0,Y197))</f>
        <v>0</v>
      </c>
      <c r="AJ197" s="43" t="str">
        <f ca="1">IF(AND(X197&lt;&gt;"",Y197="",X197&lt;TODAY()),"Overdue",IF(AND(X197&lt;&gt;"",Y197="",X197=TODAY()),"Due today",IF(Y197&lt;&gt;"","Follow-up sent","")))</f>
        <v/>
      </c>
      <c r="AK197" s="50" t="s">
        <v>734</v>
      </c>
      <c r="AL197" s="50" t="s">
        <v>735</v>
      </c>
      <c r="AM197" s="50" t="s">
        <v>736</v>
      </c>
      <c r="AN197" s="50">
        <v>5</v>
      </c>
      <c r="AO197" s="54" t="s">
        <v>995</v>
      </c>
      <c r="AP197" s="57" t="s">
        <v>127</v>
      </c>
      <c r="AQ197" s="58"/>
      <c r="AR197" s="57"/>
    </row>
    <row r="198" spans="1:44" ht="54" customHeight="1" x14ac:dyDescent="0.25">
      <c r="A198" s="43" t="s">
        <v>996</v>
      </c>
      <c r="B198" s="43" t="s">
        <v>790</v>
      </c>
      <c r="C198" s="43"/>
      <c r="D198" s="44" t="s">
        <v>997</v>
      </c>
      <c r="E198" s="43"/>
      <c r="F198" s="43" t="s">
        <v>729</v>
      </c>
      <c r="G198" s="45"/>
      <c r="H198" s="45">
        <v>46161</v>
      </c>
      <c r="I198" s="43" t="s">
        <v>730</v>
      </c>
      <c r="J198" s="43" t="s">
        <v>731</v>
      </c>
      <c r="K198" s="43" t="str">
        <f>IF(LEN(D198)=10,"OK","Check")</f>
        <v>OK</v>
      </c>
      <c r="L198" s="43" t="s">
        <v>732</v>
      </c>
      <c r="M198" s="43" t="str">
        <f>IF(L198="Hold","Hold",IF(IFERROR(E198,0)&gt;=200,"High",IF(IFERROR(E198,0)&gt;=100,"Medium","Normal")))</f>
        <v>Hold</v>
      </c>
      <c r="N198" s="43" t="s">
        <v>90</v>
      </c>
      <c r="O198" s="43" t="s">
        <v>91</v>
      </c>
      <c r="P198" s="43" t="s">
        <v>92</v>
      </c>
      <c r="Q198" s="17" t="s">
        <v>93</v>
      </c>
      <c r="R198" s="45"/>
      <c r="S198" s="43"/>
      <c r="T198" s="43" t="s">
        <v>31</v>
      </c>
      <c r="U198" s="43" t="s">
        <v>94</v>
      </c>
      <c r="V198" s="43" t="s">
        <v>94</v>
      </c>
      <c r="W198" s="43" t="s">
        <v>95</v>
      </c>
      <c r="X198" s="45" t="str">
        <f>IF(AND(R198&lt;&gt;"",OR(U198="No reply",U198="Unknown")),R198+2,"")</f>
        <v/>
      </c>
      <c r="Y198" s="45"/>
      <c r="Z198" s="43" t="s">
        <v>96</v>
      </c>
      <c r="AA198" s="43" t="str">
        <f>IF(L198="Hold","Do not send",IF(T198="Not sent","Send WhatsApp",IF(U198="Demo booked","Prepare demo",IF(W198="Booked","Prepare demo",IF(AND(X198&lt;&gt;"",Y198=""),"Send follow-up","Review")))))</f>
        <v>Do not send</v>
      </c>
      <c r="AB198" s="43"/>
      <c r="AC198" s="43" t="s">
        <v>733</v>
      </c>
      <c r="AD198" s="43">
        <f>IF(AA198="Prepare demo",1,IF(AA198="Send follow-up",2,IF(AA198="Send WhatsApp",3,IF(AA198="Review",4,IF(AA198="Do not send",9,5)))))</f>
        <v>9</v>
      </c>
      <c r="AE198" s="43">
        <f>IF(M198="High",1,IF(M198="Medium",2,IF(M198="Normal",3,IF(M198="Hold",9,4))))</f>
        <v>9</v>
      </c>
      <c r="AF198" s="43">
        <f>IF(T198="Read",1,IF(T198="Delivered",2,IF(T198="Sent",3,IF(T198="Not sent",4,IF(T198="Failed",9,5)))))</f>
        <v>4</v>
      </c>
      <c r="AG198" s="43">
        <f>IF(U198="Demo booked",1,IF(U198="Interested",2,IF(U198="Replied",3,IF(U198="No reply",5,IF(U198="Not interested",8,IF(U198="Bad number",9,6))))))</f>
        <v>6</v>
      </c>
      <c r="AH198" s="46">
        <f>AD198*1000+AN198*100+AE198*10+AG198</f>
        <v>9596</v>
      </c>
      <c r="AI198" s="45">
        <f>MAX(IF(R198="",0,R198),IF(Y198="",0,Y198))</f>
        <v>0</v>
      </c>
      <c r="AJ198" s="43" t="str">
        <f ca="1">IF(AND(X198&lt;&gt;"",Y198="",X198&lt;TODAY()),"Overdue",IF(AND(X198&lt;&gt;"",Y198="",X198=TODAY()),"Due today",IF(Y198&lt;&gt;"","Follow-up sent","")))</f>
        <v/>
      </c>
      <c r="AK198" s="50" t="s">
        <v>734</v>
      </c>
      <c r="AL198" s="50" t="s">
        <v>735</v>
      </c>
      <c r="AM198" s="50" t="s">
        <v>736</v>
      </c>
      <c r="AN198" s="50">
        <v>5</v>
      </c>
      <c r="AO198" s="54" t="s">
        <v>998</v>
      </c>
      <c r="AP198" s="57" t="s">
        <v>127</v>
      </c>
      <c r="AQ198" s="58"/>
      <c r="AR198" s="57"/>
    </row>
    <row r="199" spans="1:44" ht="54" customHeight="1" x14ac:dyDescent="0.25">
      <c r="A199" s="43" t="s">
        <v>999</v>
      </c>
      <c r="B199" s="43" t="s">
        <v>790</v>
      </c>
      <c r="C199" s="43"/>
      <c r="D199" s="44" t="s">
        <v>1000</v>
      </c>
      <c r="E199" s="43"/>
      <c r="F199" s="43" t="s">
        <v>729</v>
      </c>
      <c r="G199" s="45"/>
      <c r="H199" s="45">
        <v>46161</v>
      </c>
      <c r="I199" s="43" t="s">
        <v>730</v>
      </c>
      <c r="J199" s="43" t="s">
        <v>731</v>
      </c>
      <c r="K199" s="43" t="str">
        <f>IF(LEN(D199)=10,"OK","Check")</f>
        <v>OK</v>
      </c>
      <c r="L199" s="43" t="s">
        <v>732</v>
      </c>
      <c r="M199" s="43" t="str">
        <f>IF(L199="Hold","Hold",IF(IFERROR(E199,0)&gt;=200,"High",IF(IFERROR(E199,0)&gt;=100,"Medium","Normal")))</f>
        <v>Hold</v>
      </c>
      <c r="N199" s="43" t="s">
        <v>90</v>
      </c>
      <c r="O199" s="43" t="s">
        <v>91</v>
      </c>
      <c r="P199" s="43" t="s">
        <v>92</v>
      </c>
      <c r="Q199" s="17" t="s">
        <v>93</v>
      </c>
      <c r="R199" s="45"/>
      <c r="S199" s="43"/>
      <c r="T199" s="43" t="s">
        <v>31</v>
      </c>
      <c r="U199" s="43" t="s">
        <v>94</v>
      </c>
      <c r="V199" s="43" t="s">
        <v>94</v>
      </c>
      <c r="W199" s="43" t="s">
        <v>95</v>
      </c>
      <c r="X199" s="45" t="str">
        <f>IF(AND(R199&lt;&gt;"",OR(U199="No reply",U199="Unknown")),R199+2,"")</f>
        <v/>
      </c>
      <c r="Y199" s="45"/>
      <c r="Z199" s="43" t="s">
        <v>96</v>
      </c>
      <c r="AA199" s="43" t="str">
        <f>IF(L199="Hold","Do not send",IF(T199="Not sent","Send WhatsApp",IF(U199="Demo booked","Prepare demo",IF(W199="Booked","Prepare demo",IF(AND(X199&lt;&gt;"",Y199=""),"Send follow-up","Review")))))</f>
        <v>Do not send</v>
      </c>
      <c r="AB199" s="43"/>
      <c r="AC199" s="43" t="s">
        <v>733</v>
      </c>
      <c r="AD199" s="43">
        <f>IF(AA199="Prepare demo",1,IF(AA199="Send follow-up",2,IF(AA199="Send WhatsApp",3,IF(AA199="Review",4,IF(AA199="Do not send",9,5)))))</f>
        <v>9</v>
      </c>
      <c r="AE199" s="43">
        <f>IF(M199="High",1,IF(M199="Medium",2,IF(M199="Normal",3,IF(M199="Hold",9,4))))</f>
        <v>9</v>
      </c>
      <c r="AF199" s="43">
        <f>IF(T199="Read",1,IF(T199="Delivered",2,IF(T199="Sent",3,IF(T199="Not sent",4,IF(T199="Failed",9,5)))))</f>
        <v>4</v>
      </c>
      <c r="AG199" s="43">
        <f>IF(U199="Demo booked",1,IF(U199="Interested",2,IF(U199="Replied",3,IF(U199="No reply",5,IF(U199="Not interested",8,IF(U199="Bad number",9,6))))))</f>
        <v>6</v>
      </c>
      <c r="AH199" s="46">
        <f>AD199*1000+AN199*100+AE199*10+AG199</f>
        <v>9596</v>
      </c>
      <c r="AI199" s="45">
        <f>MAX(IF(R199="",0,R199),IF(Y199="",0,Y199))</f>
        <v>0</v>
      </c>
      <c r="AJ199" s="43" t="str">
        <f ca="1">IF(AND(X199&lt;&gt;"",Y199="",X199&lt;TODAY()),"Overdue",IF(AND(X199&lt;&gt;"",Y199="",X199=TODAY()),"Due today",IF(Y199&lt;&gt;"","Follow-up sent","")))</f>
        <v/>
      </c>
      <c r="AK199" s="50" t="s">
        <v>734</v>
      </c>
      <c r="AL199" s="50" t="s">
        <v>735</v>
      </c>
      <c r="AM199" s="50" t="s">
        <v>736</v>
      </c>
      <c r="AN199" s="50">
        <v>5</v>
      </c>
      <c r="AO199" s="54" t="s">
        <v>1001</v>
      </c>
      <c r="AP199" s="57" t="s">
        <v>127</v>
      </c>
      <c r="AQ199" s="58"/>
      <c r="AR199" s="57"/>
    </row>
    <row r="200" spans="1:44" ht="54" customHeight="1" x14ac:dyDescent="0.25">
      <c r="A200" s="43" t="s">
        <v>1002</v>
      </c>
      <c r="B200" s="43" t="s">
        <v>790</v>
      </c>
      <c r="C200" s="43"/>
      <c r="D200" s="44" t="s">
        <v>1003</v>
      </c>
      <c r="E200" s="43"/>
      <c r="F200" s="43" t="s">
        <v>729</v>
      </c>
      <c r="G200" s="45"/>
      <c r="H200" s="45">
        <v>46161</v>
      </c>
      <c r="I200" s="43" t="s">
        <v>730</v>
      </c>
      <c r="J200" s="43" t="s">
        <v>731</v>
      </c>
      <c r="K200" s="43" t="str">
        <f>IF(LEN(D200)=10,"OK","Check")</f>
        <v>OK</v>
      </c>
      <c r="L200" s="43" t="s">
        <v>732</v>
      </c>
      <c r="M200" s="43" t="str">
        <f>IF(L200="Hold","Hold",IF(IFERROR(E200,0)&gt;=200,"High",IF(IFERROR(E200,0)&gt;=100,"Medium","Normal")))</f>
        <v>Hold</v>
      </c>
      <c r="N200" s="43" t="s">
        <v>90</v>
      </c>
      <c r="O200" s="43" t="s">
        <v>91</v>
      </c>
      <c r="P200" s="43" t="s">
        <v>92</v>
      </c>
      <c r="Q200" s="17" t="s">
        <v>93</v>
      </c>
      <c r="R200" s="45"/>
      <c r="S200" s="43"/>
      <c r="T200" s="43" t="s">
        <v>31</v>
      </c>
      <c r="U200" s="43" t="s">
        <v>94</v>
      </c>
      <c r="V200" s="43" t="s">
        <v>94</v>
      </c>
      <c r="W200" s="43" t="s">
        <v>95</v>
      </c>
      <c r="X200" s="45" t="str">
        <f>IF(AND(R200&lt;&gt;"",OR(U200="No reply",U200="Unknown")),R200+2,"")</f>
        <v/>
      </c>
      <c r="Y200" s="45"/>
      <c r="Z200" s="43" t="s">
        <v>96</v>
      </c>
      <c r="AA200" s="43" t="str">
        <f>IF(L200="Hold","Do not send",IF(T200="Not sent","Send WhatsApp",IF(U200="Demo booked","Prepare demo",IF(W200="Booked","Prepare demo",IF(AND(X200&lt;&gt;"",Y200=""),"Send follow-up","Review")))))</f>
        <v>Do not send</v>
      </c>
      <c r="AB200" s="43"/>
      <c r="AC200" s="43" t="s">
        <v>733</v>
      </c>
      <c r="AD200" s="43">
        <f>IF(AA200="Prepare demo",1,IF(AA200="Send follow-up",2,IF(AA200="Send WhatsApp",3,IF(AA200="Review",4,IF(AA200="Do not send",9,5)))))</f>
        <v>9</v>
      </c>
      <c r="AE200" s="43">
        <f>IF(M200="High",1,IF(M200="Medium",2,IF(M200="Normal",3,IF(M200="Hold",9,4))))</f>
        <v>9</v>
      </c>
      <c r="AF200" s="43">
        <f>IF(T200="Read",1,IF(T200="Delivered",2,IF(T200="Sent",3,IF(T200="Not sent",4,IF(T200="Failed",9,5)))))</f>
        <v>4</v>
      </c>
      <c r="AG200" s="43">
        <f>IF(U200="Demo booked",1,IF(U200="Interested",2,IF(U200="Replied",3,IF(U200="No reply",5,IF(U200="Not interested",8,IF(U200="Bad number",9,6))))))</f>
        <v>6</v>
      </c>
      <c r="AH200" s="46">
        <f>AD200*1000+AN200*100+AE200*10+AG200</f>
        <v>9596</v>
      </c>
      <c r="AI200" s="45">
        <f>MAX(IF(R200="",0,R200),IF(Y200="",0,Y200))</f>
        <v>0</v>
      </c>
      <c r="AJ200" s="43" t="str">
        <f ca="1">IF(AND(X200&lt;&gt;"",Y200="",X200&lt;TODAY()),"Overdue",IF(AND(X200&lt;&gt;"",Y200="",X200=TODAY()),"Due today",IF(Y200&lt;&gt;"","Follow-up sent","")))</f>
        <v/>
      </c>
      <c r="AK200" s="50" t="s">
        <v>734</v>
      </c>
      <c r="AL200" s="50" t="s">
        <v>735</v>
      </c>
      <c r="AM200" s="50" t="s">
        <v>736</v>
      </c>
      <c r="AN200" s="50">
        <v>5</v>
      </c>
      <c r="AO200" s="54" t="s">
        <v>1004</v>
      </c>
      <c r="AP200" s="57" t="s">
        <v>127</v>
      </c>
      <c r="AQ200" s="58"/>
      <c r="AR200" s="57"/>
    </row>
    <row r="201" spans="1:44" ht="54" customHeight="1" x14ac:dyDescent="0.25">
      <c r="A201" s="43" t="s">
        <v>1005</v>
      </c>
      <c r="B201" s="43" t="s">
        <v>790</v>
      </c>
      <c r="C201" s="43"/>
      <c r="D201" s="44" t="s">
        <v>1006</v>
      </c>
      <c r="E201" s="43"/>
      <c r="F201" s="43" t="s">
        <v>729</v>
      </c>
      <c r="G201" s="45"/>
      <c r="H201" s="45">
        <v>46161</v>
      </c>
      <c r="I201" s="43" t="s">
        <v>730</v>
      </c>
      <c r="J201" s="43" t="s">
        <v>731</v>
      </c>
      <c r="K201" s="43" t="str">
        <f>IF(LEN(D201)=10,"OK","Check")</f>
        <v>OK</v>
      </c>
      <c r="L201" s="43" t="s">
        <v>732</v>
      </c>
      <c r="M201" s="43" t="str">
        <f>IF(L201="Hold","Hold",IF(IFERROR(E201,0)&gt;=200,"High",IF(IFERROR(E201,0)&gt;=100,"Medium","Normal")))</f>
        <v>Hold</v>
      </c>
      <c r="N201" s="43" t="s">
        <v>90</v>
      </c>
      <c r="O201" s="43" t="s">
        <v>91</v>
      </c>
      <c r="P201" s="43" t="s">
        <v>92</v>
      </c>
      <c r="Q201" s="17" t="s">
        <v>93</v>
      </c>
      <c r="R201" s="45"/>
      <c r="S201" s="43"/>
      <c r="T201" s="43" t="s">
        <v>31</v>
      </c>
      <c r="U201" s="43" t="s">
        <v>94</v>
      </c>
      <c r="V201" s="43" t="s">
        <v>94</v>
      </c>
      <c r="W201" s="43" t="s">
        <v>95</v>
      </c>
      <c r="X201" s="45" t="str">
        <f>IF(AND(R201&lt;&gt;"",OR(U201="No reply",U201="Unknown")),R201+2,"")</f>
        <v/>
      </c>
      <c r="Y201" s="45"/>
      <c r="Z201" s="43" t="s">
        <v>96</v>
      </c>
      <c r="AA201" s="43" t="str">
        <f>IF(L201="Hold","Do not send",IF(T201="Not sent","Send WhatsApp",IF(U201="Demo booked","Prepare demo",IF(W201="Booked","Prepare demo",IF(AND(X201&lt;&gt;"",Y201=""),"Send follow-up","Review")))))</f>
        <v>Do not send</v>
      </c>
      <c r="AB201" s="43"/>
      <c r="AC201" s="43" t="s">
        <v>733</v>
      </c>
      <c r="AD201" s="43">
        <f>IF(AA201="Prepare demo",1,IF(AA201="Send follow-up",2,IF(AA201="Send WhatsApp",3,IF(AA201="Review",4,IF(AA201="Do not send",9,5)))))</f>
        <v>9</v>
      </c>
      <c r="AE201" s="43">
        <f>IF(M201="High",1,IF(M201="Medium",2,IF(M201="Normal",3,IF(M201="Hold",9,4))))</f>
        <v>9</v>
      </c>
      <c r="AF201" s="43">
        <f>IF(T201="Read",1,IF(T201="Delivered",2,IF(T201="Sent",3,IF(T201="Not sent",4,IF(T201="Failed",9,5)))))</f>
        <v>4</v>
      </c>
      <c r="AG201" s="43">
        <f>IF(U201="Demo booked",1,IF(U201="Interested",2,IF(U201="Replied",3,IF(U201="No reply",5,IF(U201="Not interested",8,IF(U201="Bad number",9,6))))))</f>
        <v>6</v>
      </c>
      <c r="AH201" s="46">
        <f>AD201*1000+AN201*100+AE201*10+AG201</f>
        <v>9596</v>
      </c>
      <c r="AI201" s="45">
        <f>MAX(IF(R201="",0,R201),IF(Y201="",0,Y201))</f>
        <v>0</v>
      </c>
      <c r="AJ201" s="43" t="str">
        <f ca="1">IF(AND(X201&lt;&gt;"",Y201="",X201&lt;TODAY()),"Overdue",IF(AND(X201&lt;&gt;"",Y201="",X201=TODAY()),"Due today",IF(Y201&lt;&gt;"","Follow-up sent","")))</f>
        <v/>
      </c>
      <c r="AK201" s="50" t="s">
        <v>734</v>
      </c>
      <c r="AL201" s="50" t="s">
        <v>735</v>
      </c>
      <c r="AM201" s="50" t="s">
        <v>736</v>
      </c>
      <c r="AN201" s="50">
        <v>5</v>
      </c>
      <c r="AO201" s="54" t="s">
        <v>1007</v>
      </c>
      <c r="AP201" s="57" t="s">
        <v>127</v>
      </c>
      <c r="AQ201" s="58"/>
      <c r="AR201" s="57"/>
    </row>
    <row r="202" spans="1:44" ht="54" customHeight="1" x14ac:dyDescent="0.25">
      <c r="A202" s="43" t="s">
        <v>1008</v>
      </c>
      <c r="B202" s="43" t="s">
        <v>790</v>
      </c>
      <c r="C202" s="43"/>
      <c r="D202" s="44" t="s">
        <v>1009</v>
      </c>
      <c r="E202" s="43"/>
      <c r="F202" s="43" t="s">
        <v>729</v>
      </c>
      <c r="G202" s="45"/>
      <c r="H202" s="45">
        <v>46161</v>
      </c>
      <c r="I202" s="43" t="s">
        <v>730</v>
      </c>
      <c r="J202" s="43" t="s">
        <v>731</v>
      </c>
      <c r="K202" s="43" t="str">
        <f>IF(LEN(D202)=10,"OK","Check")</f>
        <v>OK</v>
      </c>
      <c r="L202" s="43" t="s">
        <v>732</v>
      </c>
      <c r="M202" s="43" t="str">
        <f>IF(L202="Hold","Hold",IF(IFERROR(E202,0)&gt;=200,"High",IF(IFERROR(E202,0)&gt;=100,"Medium","Normal")))</f>
        <v>Hold</v>
      </c>
      <c r="N202" s="43" t="s">
        <v>90</v>
      </c>
      <c r="O202" s="43" t="s">
        <v>91</v>
      </c>
      <c r="P202" s="43" t="s">
        <v>92</v>
      </c>
      <c r="Q202" s="17" t="s">
        <v>93</v>
      </c>
      <c r="R202" s="45"/>
      <c r="S202" s="43"/>
      <c r="T202" s="43" t="s">
        <v>31</v>
      </c>
      <c r="U202" s="43" t="s">
        <v>94</v>
      </c>
      <c r="V202" s="43" t="s">
        <v>94</v>
      </c>
      <c r="W202" s="43" t="s">
        <v>95</v>
      </c>
      <c r="X202" s="45" t="str">
        <f>IF(AND(R202&lt;&gt;"",OR(U202="No reply",U202="Unknown")),R202+2,"")</f>
        <v/>
      </c>
      <c r="Y202" s="45"/>
      <c r="Z202" s="43" t="s">
        <v>96</v>
      </c>
      <c r="AA202" s="43" t="str">
        <f>IF(L202="Hold","Do not send",IF(T202="Not sent","Send WhatsApp",IF(U202="Demo booked","Prepare demo",IF(W202="Booked","Prepare demo",IF(AND(X202&lt;&gt;"",Y202=""),"Send follow-up","Review")))))</f>
        <v>Do not send</v>
      </c>
      <c r="AB202" s="43"/>
      <c r="AC202" s="43" t="s">
        <v>733</v>
      </c>
      <c r="AD202" s="43">
        <f>IF(AA202="Prepare demo",1,IF(AA202="Send follow-up",2,IF(AA202="Send WhatsApp",3,IF(AA202="Review",4,IF(AA202="Do not send",9,5)))))</f>
        <v>9</v>
      </c>
      <c r="AE202" s="43">
        <f>IF(M202="High",1,IF(M202="Medium",2,IF(M202="Normal",3,IF(M202="Hold",9,4))))</f>
        <v>9</v>
      </c>
      <c r="AF202" s="43">
        <f>IF(T202="Read",1,IF(T202="Delivered",2,IF(T202="Sent",3,IF(T202="Not sent",4,IF(T202="Failed",9,5)))))</f>
        <v>4</v>
      </c>
      <c r="AG202" s="43">
        <f>IF(U202="Demo booked",1,IF(U202="Interested",2,IF(U202="Replied",3,IF(U202="No reply",5,IF(U202="Not interested",8,IF(U202="Bad number",9,6))))))</f>
        <v>6</v>
      </c>
      <c r="AH202" s="46">
        <f>AD202*1000+AN202*100+AE202*10+AG202</f>
        <v>9596</v>
      </c>
      <c r="AI202" s="45">
        <f>MAX(IF(R202="",0,R202),IF(Y202="",0,Y202))</f>
        <v>0</v>
      </c>
      <c r="AJ202" s="43" t="str">
        <f ca="1">IF(AND(X202&lt;&gt;"",Y202="",X202&lt;TODAY()),"Overdue",IF(AND(X202&lt;&gt;"",Y202="",X202=TODAY()),"Due today",IF(Y202&lt;&gt;"","Follow-up sent","")))</f>
        <v/>
      </c>
      <c r="AK202" s="50" t="s">
        <v>734</v>
      </c>
      <c r="AL202" s="50" t="s">
        <v>735</v>
      </c>
      <c r="AM202" s="50" t="s">
        <v>736</v>
      </c>
      <c r="AN202" s="50">
        <v>5</v>
      </c>
      <c r="AO202" s="54" t="s">
        <v>1010</v>
      </c>
      <c r="AP202" s="57" t="s">
        <v>127</v>
      </c>
      <c r="AQ202" s="58"/>
      <c r="AR202" s="57"/>
    </row>
    <row r="203" spans="1:44" ht="54" customHeight="1" x14ac:dyDescent="0.25">
      <c r="A203" s="43" t="s">
        <v>1011</v>
      </c>
      <c r="B203" s="43" t="s">
        <v>790</v>
      </c>
      <c r="C203" s="43"/>
      <c r="D203" s="44" t="s">
        <v>1012</v>
      </c>
      <c r="E203" s="43"/>
      <c r="F203" s="43" t="s">
        <v>729</v>
      </c>
      <c r="G203" s="45"/>
      <c r="H203" s="45">
        <v>46161</v>
      </c>
      <c r="I203" s="43" t="s">
        <v>730</v>
      </c>
      <c r="J203" s="43" t="s">
        <v>731</v>
      </c>
      <c r="K203" s="43" t="str">
        <f>IF(LEN(D203)=10,"OK","Check")</f>
        <v>OK</v>
      </c>
      <c r="L203" s="43" t="s">
        <v>732</v>
      </c>
      <c r="M203" s="43" t="str">
        <f>IF(L203="Hold","Hold",IF(IFERROR(E203,0)&gt;=200,"High",IF(IFERROR(E203,0)&gt;=100,"Medium","Normal")))</f>
        <v>Hold</v>
      </c>
      <c r="N203" s="43" t="s">
        <v>90</v>
      </c>
      <c r="O203" s="43" t="s">
        <v>91</v>
      </c>
      <c r="P203" s="43" t="s">
        <v>92</v>
      </c>
      <c r="Q203" s="17" t="s">
        <v>93</v>
      </c>
      <c r="R203" s="45"/>
      <c r="S203" s="43"/>
      <c r="T203" s="43" t="s">
        <v>31</v>
      </c>
      <c r="U203" s="43" t="s">
        <v>94</v>
      </c>
      <c r="V203" s="43" t="s">
        <v>94</v>
      </c>
      <c r="W203" s="43" t="s">
        <v>95</v>
      </c>
      <c r="X203" s="45" t="str">
        <f>IF(AND(R203&lt;&gt;"",OR(U203="No reply",U203="Unknown")),R203+2,"")</f>
        <v/>
      </c>
      <c r="Y203" s="45"/>
      <c r="Z203" s="43" t="s">
        <v>96</v>
      </c>
      <c r="AA203" s="43" t="str">
        <f>IF(L203="Hold","Do not send",IF(T203="Not sent","Send WhatsApp",IF(U203="Demo booked","Prepare demo",IF(W203="Booked","Prepare demo",IF(AND(X203&lt;&gt;"",Y203=""),"Send follow-up","Review")))))</f>
        <v>Do not send</v>
      </c>
      <c r="AB203" s="43"/>
      <c r="AC203" s="43" t="s">
        <v>733</v>
      </c>
      <c r="AD203" s="43">
        <f>IF(AA203="Prepare demo",1,IF(AA203="Send follow-up",2,IF(AA203="Send WhatsApp",3,IF(AA203="Review",4,IF(AA203="Do not send",9,5)))))</f>
        <v>9</v>
      </c>
      <c r="AE203" s="43">
        <f>IF(M203="High",1,IF(M203="Medium",2,IF(M203="Normal",3,IF(M203="Hold",9,4))))</f>
        <v>9</v>
      </c>
      <c r="AF203" s="43">
        <f>IF(T203="Read",1,IF(T203="Delivered",2,IF(T203="Sent",3,IF(T203="Not sent",4,IF(T203="Failed",9,5)))))</f>
        <v>4</v>
      </c>
      <c r="AG203" s="43">
        <f>IF(U203="Demo booked",1,IF(U203="Interested",2,IF(U203="Replied",3,IF(U203="No reply",5,IF(U203="Not interested",8,IF(U203="Bad number",9,6))))))</f>
        <v>6</v>
      </c>
      <c r="AH203" s="46">
        <f>AD203*1000+AN203*100+AE203*10+AG203</f>
        <v>9596</v>
      </c>
      <c r="AI203" s="45">
        <f>MAX(IF(R203="",0,R203),IF(Y203="",0,Y203))</f>
        <v>0</v>
      </c>
      <c r="AJ203" s="43" t="str">
        <f ca="1">IF(AND(X203&lt;&gt;"",Y203="",X203&lt;TODAY()),"Overdue",IF(AND(X203&lt;&gt;"",Y203="",X203=TODAY()),"Due today",IF(Y203&lt;&gt;"","Follow-up sent","")))</f>
        <v/>
      </c>
      <c r="AK203" s="50" t="s">
        <v>734</v>
      </c>
      <c r="AL203" s="50" t="s">
        <v>735</v>
      </c>
      <c r="AM203" s="50" t="s">
        <v>736</v>
      </c>
      <c r="AN203" s="50">
        <v>5</v>
      </c>
      <c r="AO203" s="54" t="s">
        <v>1013</v>
      </c>
      <c r="AP203" s="57" t="s">
        <v>127</v>
      </c>
      <c r="AQ203" s="58"/>
      <c r="AR203" s="57"/>
    </row>
    <row r="204" spans="1:44" ht="54" customHeight="1" x14ac:dyDescent="0.25">
      <c r="A204" s="43" t="s">
        <v>1014</v>
      </c>
      <c r="B204" s="43" t="s">
        <v>790</v>
      </c>
      <c r="C204" s="43"/>
      <c r="D204" s="44" t="s">
        <v>1015</v>
      </c>
      <c r="E204" s="43"/>
      <c r="F204" s="43" t="s">
        <v>729</v>
      </c>
      <c r="G204" s="45"/>
      <c r="H204" s="45">
        <v>46161</v>
      </c>
      <c r="I204" s="43" t="s">
        <v>730</v>
      </c>
      <c r="J204" s="43" t="s">
        <v>731</v>
      </c>
      <c r="K204" s="43" t="str">
        <f>IF(LEN(D204)=10,"OK","Check")</f>
        <v>OK</v>
      </c>
      <c r="L204" s="43" t="s">
        <v>732</v>
      </c>
      <c r="M204" s="43" t="str">
        <f>IF(L204="Hold","Hold",IF(IFERROR(E204,0)&gt;=200,"High",IF(IFERROR(E204,0)&gt;=100,"Medium","Normal")))</f>
        <v>Hold</v>
      </c>
      <c r="N204" s="43" t="s">
        <v>90</v>
      </c>
      <c r="O204" s="43" t="s">
        <v>91</v>
      </c>
      <c r="P204" s="43" t="s">
        <v>92</v>
      </c>
      <c r="Q204" s="17" t="s">
        <v>93</v>
      </c>
      <c r="R204" s="45"/>
      <c r="S204" s="43"/>
      <c r="T204" s="43" t="s">
        <v>31</v>
      </c>
      <c r="U204" s="43" t="s">
        <v>94</v>
      </c>
      <c r="V204" s="43" t="s">
        <v>94</v>
      </c>
      <c r="W204" s="43" t="s">
        <v>95</v>
      </c>
      <c r="X204" s="45" t="str">
        <f>IF(AND(R204&lt;&gt;"",OR(U204="No reply",U204="Unknown")),R204+2,"")</f>
        <v/>
      </c>
      <c r="Y204" s="45"/>
      <c r="Z204" s="43" t="s">
        <v>96</v>
      </c>
      <c r="AA204" s="43" t="str">
        <f>IF(L204="Hold","Do not send",IF(T204="Not sent","Send WhatsApp",IF(U204="Demo booked","Prepare demo",IF(W204="Booked","Prepare demo",IF(AND(X204&lt;&gt;"",Y204=""),"Send follow-up","Review")))))</f>
        <v>Do not send</v>
      </c>
      <c r="AB204" s="43"/>
      <c r="AC204" s="43" t="s">
        <v>733</v>
      </c>
      <c r="AD204" s="43">
        <f>IF(AA204="Prepare demo",1,IF(AA204="Send follow-up",2,IF(AA204="Send WhatsApp",3,IF(AA204="Review",4,IF(AA204="Do not send",9,5)))))</f>
        <v>9</v>
      </c>
      <c r="AE204" s="43">
        <f>IF(M204="High",1,IF(M204="Medium",2,IF(M204="Normal",3,IF(M204="Hold",9,4))))</f>
        <v>9</v>
      </c>
      <c r="AF204" s="43">
        <f>IF(T204="Read",1,IF(T204="Delivered",2,IF(T204="Sent",3,IF(T204="Not sent",4,IF(T204="Failed",9,5)))))</f>
        <v>4</v>
      </c>
      <c r="AG204" s="43">
        <f>IF(U204="Demo booked",1,IF(U204="Interested",2,IF(U204="Replied",3,IF(U204="No reply",5,IF(U204="Not interested",8,IF(U204="Bad number",9,6))))))</f>
        <v>6</v>
      </c>
      <c r="AH204" s="46">
        <f>AD204*1000+AN204*100+AE204*10+AG204</f>
        <v>9596</v>
      </c>
      <c r="AI204" s="45">
        <f>MAX(IF(R204="",0,R204),IF(Y204="",0,Y204))</f>
        <v>0</v>
      </c>
      <c r="AJ204" s="43" t="str">
        <f ca="1">IF(AND(X204&lt;&gt;"",Y204="",X204&lt;TODAY()),"Overdue",IF(AND(X204&lt;&gt;"",Y204="",X204=TODAY()),"Due today",IF(Y204&lt;&gt;"","Follow-up sent","")))</f>
        <v/>
      </c>
      <c r="AK204" s="50" t="s">
        <v>734</v>
      </c>
      <c r="AL204" s="50" t="s">
        <v>735</v>
      </c>
      <c r="AM204" s="50" t="s">
        <v>736</v>
      </c>
      <c r="AN204" s="50">
        <v>5</v>
      </c>
      <c r="AO204" s="54" t="s">
        <v>1016</v>
      </c>
      <c r="AP204" s="57" t="s">
        <v>127</v>
      </c>
      <c r="AQ204" s="58"/>
      <c r="AR204" s="57"/>
    </row>
    <row r="205" spans="1:44" ht="54" customHeight="1" x14ac:dyDescent="0.25">
      <c r="A205" s="43" t="s">
        <v>1017</v>
      </c>
      <c r="B205" s="43" t="s">
        <v>790</v>
      </c>
      <c r="C205" s="43"/>
      <c r="D205" s="44" t="s">
        <v>1018</v>
      </c>
      <c r="E205" s="43"/>
      <c r="F205" s="43" t="s">
        <v>729</v>
      </c>
      <c r="G205" s="45"/>
      <c r="H205" s="45">
        <v>46161</v>
      </c>
      <c r="I205" s="43" t="s">
        <v>730</v>
      </c>
      <c r="J205" s="43" t="s">
        <v>731</v>
      </c>
      <c r="K205" s="43" t="str">
        <f>IF(LEN(D205)=10,"OK","Check")</f>
        <v>OK</v>
      </c>
      <c r="L205" s="43" t="s">
        <v>732</v>
      </c>
      <c r="M205" s="43" t="str">
        <f>IF(L205="Hold","Hold",IF(IFERROR(E205,0)&gt;=200,"High",IF(IFERROR(E205,0)&gt;=100,"Medium","Normal")))</f>
        <v>Hold</v>
      </c>
      <c r="N205" s="43" t="s">
        <v>90</v>
      </c>
      <c r="O205" s="43" t="s">
        <v>91</v>
      </c>
      <c r="P205" s="43" t="s">
        <v>92</v>
      </c>
      <c r="Q205" s="17" t="s">
        <v>93</v>
      </c>
      <c r="R205" s="45"/>
      <c r="S205" s="43"/>
      <c r="T205" s="43" t="s">
        <v>31</v>
      </c>
      <c r="U205" s="43" t="s">
        <v>94</v>
      </c>
      <c r="V205" s="43" t="s">
        <v>94</v>
      </c>
      <c r="W205" s="43" t="s">
        <v>95</v>
      </c>
      <c r="X205" s="45" t="str">
        <f>IF(AND(R205&lt;&gt;"",OR(U205="No reply",U205="Unknown")),R205+2,"")</f>
        <v/>
      </c>
      <c r="Y205" s="45"/>
      <c r="Z205" s="43" t="s">
        <v>96</v>
      </c>
      <c r="AA205" s="43" t="str">
        <f>IF(L205="Hold","Do not send",IF(T205="Not sent","Send WhatsApp",IF(U205="Demo booked","Prepare demo",IF(W205="Booked","Prepare demo",IF(AND(X205&lt;&gt;"",Y205=""),"Send follow-up","Review")))))</f>
        <v>Do not send</v>
      </c>
      <c r="AB205" s="43"/>
      <c r="AC205" s="43" t="s">
        <v>733</v>
      </c>
      <c r="AD205" s="43">
        <f>IF(AA205="Prepare demo",1,IF(AA205="Send follow-up",2,IF(AA205="Send WhatsApp",3,IF(AA205="Review",4,IF(AA205="Do not send",9,5)))))</f>
        <v>9</v>
      </c>
      <c r="AE205" s="43">
        <f>IF(M205="High",1,IF(M205="Medium",2,IF(M205="Normal",3,IF(M205="Hold",9,4))))</f>
        <v>9</v>
      </c>
      <c r="AF205" s="43">
        <f>IF(T205="Read",1,IF(T205="Delivered",2,IF(T205="Sent",3,IF(T205="Not sent",4,IF(T205="Failed",9,5)))))</f>
        <v>4</v>
      </c>
      <c r="AG205" s="43">
        <f>IF(U205="Demo booked",1,IF(U205="Interested",2,IF(U205="Replied",3,IF(U205="No reply",5,IF(U205="Not interested",8,IF(U205="Bad number",9,6))))))</f>
        <v>6</v>
      </c>
      <c r="AH205" s="46">
        <f>AD205*1000+AN205*100+AE205*10+AG205</f>
        <v>9596</v>
      </c>
      <c r="AI205" s="45">
        <f>MAX(IF(R205="",0,R205),IF(Y205="",0,Y205))</f>
        <v>0</v>
      </c>
      <c r="AJ205" s="43" t="str">
        <f ca="1">IF(AND(X205&lt;&gt;"",Y205="",X205&lt;TODAY()),"Overdue",IF(AND(X205&lt;&gt;"",Y205="",X205=TODAY()),"Due today",IF(Y205&lt;&gt;"","Follow-up sent","")))</f>
        <v/>
      </c>
      <c r="AK205" s="50" t="s">
        <v>734</v>
      </c>
      <c r="AL205" s="50" t="s">
        <v>735</v>
      </c>
      <c r="AM205" s="50" t="s">
        <v>736</v>
      </c>
      <c r="AN205" s="50">
        <v>5</v>
      </c>
      <c r="AO205" s="54" t="s">
        <v>1019</v>
      </c>
      <c r="AP205" s="57" t="s">
        <v>127</v>
      </c>
      <c r="AQ205" s="58"/>
      <c r="AR205" s="57"/>
    </row>
    <row r="206" spans="1:44" ht="54" customHeight="1" x14ac:dyDescent="0.25">
      <c r="A206" s="43" t="s">
        <v>1020</v>
      </c>
      <c r="B206" s="43" t="s">
        <v>790</v>
      </c>
      <c r="C206" s="43"/>
      <c r="D206" s="44" t="s">
        <v>1021</v>
      </c>
      <c r="E206" s="43"/>
      <c r="F206" s="43" t="s">
        <v>729</v>
      </c>
      <c r="G206" s="45"/>
      <c r="H206" s="45">
        <v>46161</v>
      </c>
      <c r="I206" s="43" t="s">
        <v>730</v>
      </c>
      <c r="J206" s="43" t="s">
        <v>731</v>
      </c>
      <c r="K206" s="43" t="str">
        <f>IF(LEN(D206)=10,"OK","Check")</f>
        <v>OK</v>
      </c>
      <c r="L206" s="43" t="s">
        <v>732</v>
      </c>
      <c r="M206" s="43" t="str">
        <f>IF(L206="Hold","Hold",IF(IFERROR(E206,0)&gt;=200,"High",IF(IFERROR(E206,0)&gt;=100,"Medium","Normal")))</f>
        <v>Hold</v>
      </c>
      <c r="N206" s="43" t="s">
        <v>90</v>
      </c>
      <c r="O206" s="43" t="s">
        <v>91</v>
      </c>
      <c r="P206" s="43" t="s">
        <v>92</v>
      </c>
      <c r="Q206" s="17" t="s">
        <v>93</v>
      </c>
      <c r="R206" s="45"/>
      <c r="S206" s="43"/>
      <c r="T206" s="43" t="s">
        <v>31</v>
      </c>
      <c r="U206" s="43" t="s">
        <v>94</v>
      </c>
      <c r="V206" s="43" t="s">
        <v>94</v>
      </c>
      <c r="W206" s="43" t="s">
        <v>95</v>
      </c>
      <c r="X206" s="45" t="str">
        <f>IF(AND(R206&lt;&gt;"",OR(U206="No reply",U206="Unknown")),R206+2,"")</f>
        <v/>
      </c>
      <c r="Y206" s="45"/>
      <c r="Z206" s="43" t="s">
        <v>96</v>
      </c>
      <c r="AA206" s="43" t="str">
        <f>IF(L206="Hold","Do not send",IF(T206="Not sent","Send WhatsApp",IF(U206="Demo booked","Prepare demo",IF(W206="Booked","Prepare demo",IF(AND(X206&lt;&gt;"",Y206=""),"Send follow-up","Review")))))</f>
        <v>Do not send</v>
      </c>
      <c r="AB206" s="43"/>
      <c r="AC206" s="43" t="s">
        <v>733</v>
      </c>
      <c r="AD206" s="43">
        <f>IF(AA206="Prepare demo",1,IF(AA206="Send follow-up",2,IF(AA206="Send WhatsApp",3,IF(AA206="Review",4,IF(AA206="Do not send",9,5)))))</f>
        <v>9</v>
      </c>
      <c r="AE206" s="43">
        <f>IF(M206="High",1,IF(M206="Medium",2,IF(M206="Normal",3,IF(M206="Hold",9,4))))</f>
        <v>9</v>
      </c>
      <c r="AF206" s="43">
        <f>IF(T206="Read",1,IF(T206="Delivered",2,IF(T206="Sent",3,IF(T206="Not sent",4,IF(T206="Failed",9,5)))))</f>
        <v>4</v>
      </c>
      <c r="AG206" s="43">
        <f>IF(U206="Demo booked",1,IF(U206="Interested",2,IF(U206="Replied",3,IF(U206="No reply",5,IF(U206="Not interested",8,IF(U206="Bad number",9,6))))))</f>
        <v>6</v>
      </c>
      <c r="AH206" s="46">
        <f>AD206*1000+AN206*100+AE206*10+AG206</f>
        <v>9596</v>
      </c>
      <c r="AI206" s="45">
        <f>MAX(IF(R206="",0,R206),IF(Y206="",0,Y206))</f>
        <v>0</v>
      </c>
      <c r="AJ206" s="43" t="str">
        <f ca="1">IF(AND(X206&lt;&gt;"",Y206="",X206&lt;TODAY()),"Overdue",IF(AND(X206&lt;&gt;"",Y206="",X206=TODAY()),"Due today",IF(Y206&lt;&gt;"","Follow-up sent","")))</f>
        <v/>
      </c>
      <c r="AK206" s="50" t="s">
        <v>734</v>
      </c>
      <c r="AL206" s="50" t="s">
        <v>735</v>
      </c>
      <c r="AM206" s="50" t="s">
        <v>736</v>
      </c>
      <c r="AN206" s="50">
        <v>5</v>
      </c>
      <c r="AO206" s="54" t="s">
        <v>1022</v>
      </c>
      <c r="AP206" s="57" t="s">
        <v>127</v>
      </c>
      <c r="AQ206" s="58"/>
      <c r="AR206" s="57"/>
    </row>
    <row r="207" spans="1:44" ht="54" customHeight="1" x14ac:dyDescent="0.25">
      <c r="A207" s="43" t="s">
        <v>1023</v>
      </c>
      <c r="B207" s="43" t="s">
        <v>790</v>
      </c>
      <c r="C207" s="43"/>
      <c r="D207" s="44" t="s">
        <v>1024</v>
      </c>
      <c r="E207" s="43"/>
      <c r="F207" s="43" t="s">
        <v>729</v>
      </c>
      <c r="G207" s="45"/>
      <c r="H207" s="45">
        <v>46161</v>
      </c>
      <c r="I207" s="43" t="s">
        <v>730</v>
      </c>
      <c r="J207" s="43" t="s">
        <v>731</v>
      </c>
      <c r="K207" s="43" t="str">
        <f>IF(LEN(D207)=10,"OK","Check")</f>
        <v>OK</v>
      </c>
      <c r="L207" s="43" t="s">
        <v>732</v>
      </c>
      <c r="M207" s="43" t="str">
        <f>IF(L207="Hold","Hold",IF(IFERROR(E207,0)&gt;=200,"High",IF(IFERROR(E207,0)&gt;=100,"Medium","Normal")))</f>
        <v>Hold</v>
      </c>
      <c r="N207" s="43" t="s">
        <v>90</v>
      </c>
      <c r="O207" s="43" t="s">
        <v>91</v>
      </c>
      <c r="P207" s="43" t="s">
        <v>92</v>
      </c>
      <c r="Q207" s="17" t="s">
        <v>93</v>
      </c>
      <c r="R207" s="45"/>
      <c r="S207" s="43"/>
      <c r="T207" s="43" t="s">
        <v>31</v>
      </c>
      <c r="U207" s="43" t="s">
        <v>94</v>
      </c>
      <c r="V207" s="43" t="s">
        <v>94</v>
      </c>
      <c r="W207" s="43" t="s">
        <v>95</v>
      </c>
      <c r="X207" s="45" t="str">
        <f>IF(AND(R207&lt;&gt;"",OR(U207="No reply",U207="Unknown")),R207+2,"")</f>
        <v/>
      </c>
      <c r="Y207" s="45"/>
      <c r="Z207" s="43" t="s">
        <v>96</v>
      </c>
      <c r="AA207" s="43" t="str">
        <f>IF(L207="Hold","Do not send",IF(T207="Not sent","Send WhatsApp",IF(U207="Demo booked","Prepare demo",IF(W207="Booked","Prepare demo",IF(AND(X207&lt;&gt;"",Y207=""),"Send follow-up","Review")))))</f>
        <v>Do not send</v>
      </c>
      <c r="AB207" s="43"/>
      <c r="AC207" s="43" t="s">
        <v>733</v>
      </c>
      <c r="AD207" s="43">
        <f>IF(AA207="Prepare demo",1,IF(AA207="Send follow-up",2,IF(AA207="Send WhatsApp",3,IF(AA207="Review",4,IF(AA207="Do not send",9,5)))))</f>
        <v>9</v>
      </c>
      <c r="AE207" s="43">
        <f>IF(M207="High",1,IF(M207="Medium",2,IF(M207="Normal",3,IF(M207="Hold",9,4))))</f>
        <v>9</v>
      </c>
      <c r="AF207" s="43">
        <f>IF(T207="Read",1,IF(T207="Delivered",2,IF(T207="Sent",3,IF(T207="Not sent",4,IF(T207="Failed",9,5)))))</f>
        <v>4</v>
      </c>
      <c r="AG207" s="43">
        <f>IF(U207="Demo booked",1,IF(U207="Interested",2,IF(U207="Replied",3,IF(U207="No reply",5,IF(U207="Not interested",8,IF(U207="Bad number",9,6))))))</f>
        <v>6</v>
      </c>
      <c r="AH207" s="46">
        <f>AD207*1000+AN207*100+AE207*10+AG207</f>
        <v>9596</v>
      </c>
      <c r="AI207" s="45">
        <f>MAX(IF(R207="",0,R207),IF(Y207="",0,Y207))</f>
        <v>0</v>
      </c>
      <c r="AJ207" s="43" t="str">
        <f ca="1">IF(AND(X207&lt;&gt;"",Y207="",X207&lt;TODAY()),"Overdue",IF(AND(X207&lt;&gt;"",Y207="",X207=TODAY()),"Due today",IF(Y207&lt;&gt;"","Follow-up sent","")))</f>
        <v/>
      </c>
      <c r="AK207" s="50" t="s">
        <v>734</v>
      </c>
      <c r="AL207" s="50" t="s">
        <v>735</v>
      </c>
      <c r="AM207" s="50" t="s">
        <v>736</v>
      </c>
      <c r="AN207" s="50">
        <v>5</v>
      </c>
      <c r="AO207" s="54" t="s">
        <v>1025</v>
      </c>
      <c r="AP207" s="57" t="s">
        <v>127</v>
      </c>
      <c r="AQ207" s="58"/>
      <c r="AR207" s="57"/>
    </row>
    <row r="208" spans="1:44" ht="54" customHeight="1" x14ac:dyDescent="0.25">
      <c r="A208" s="43" t="s">
        <v>1026</v>
      </c>
      <c r="B208" s="43" t="s">
        <v>790</v>
      </c>
      <c r="C208" s="43"/>
      <c r="D208" s="44" t="s">
        <v>1027</v>
      </c>
      <c r="E208" s="43"/>
      <c r="F208" s="43" t="s">
        <v>729</v>
      </c>
      <c r="G208" s="45"/>
      <c r="H208" s="45">
        <v>46161</v>
      </c>
      <c r="I208" s="43" t="s">
        <v>730</v>
      </c>
      <c r="J208" s="43" t="s">
        <v>731</v>
      </c>
      <c r="K208" s="43" t="str">
        <f>IF(LEN(D208)=10,"OK","Check")</f>
        <v>OK</v>
      </c>
      <c r="L208" s="43" t="s">
        <v>732</v>
      </c>
      <c r="M208" s="43" t="str">
        <f>IF(L208="Hold","Hold",IF(IFERROR(E208,0)&gt;=200,"High",IF(IFERROR(E208,0)&gt;=100,"Medium","Normal")))</f>
        <v>Hold</v>
      </c>
      <c r="N208" s="43" t="s">
        <v>90</v>
      </c>
      <c r="O208" s="43" t="s">
        <v>91</v>
      </c>
      <c r="P208" s="43" t="s">
        <v>92</v>
      </c>
      <c r="Q208" s="17" t="s">
        <v>93</v>
      </c>
      <c r="R208" s="45"/>
      <c r="S208" s="43"/>
      <c r="T208" s="43" t="s">
        <v>31</v>
      </c>
      <c r="U208" s="43" t="s">
        <v>94</v>
      </c>
      <c r="V208" s="43" t="s">
        <v>94</v>
      </c>
      <c r="W208" s="43" t="s">
        <v>95</v>
      </c>
      <c r="X208" s="45" t="str">
        <f>IF(AND(R208&lt;&gt;"",OR(U208="No reply",U208="Unknown")),R208+2,"")</f>
        <v/>
      </c>
      <c r="Y208" s="45"/>
      <c r="Z208" s="43" t="s">
        <v>96</v>
      </c>
      <c r="AA208" s="43" t="str">
        <f>IF(L208="Hold","Do not send",IF(T208="Not sent","Send WhatsApp",IF(U208="Demo booked","Prepare demo",IF(W208="Booked","Prepare demo",IF(AND(X208&lt;&gt;"",Y208=""),"Send follow-up","Review")))))</f>
        <v>Do not send</v>
      </c>
      <c r="AB208" s="43"/>
      <c r="AC208" s="43" t="s">
        <v>733</v>
      </c>
      <c r="AD208" s="43">
        <f>IF(AA208="Prepare demo",1,IF(AA208="Send follow-up",2,IF(AA208="Send WhatsApp",3,IF(AA208="Review",4,IF(AA208="Do not send",9,5)))))</f>
        <v>9</v>
      </c>
      <c r="AE208" s="43">
        <f>IF(M208="High",1,IF(M208="Medium",2,IF(M208="Normal",3,IF(M208="Hold",9,4))))</f>
        <v>9</v>
      </c>
      <c r="AF208" s="43">
        <f>IF(T208="Read",1,IF(T208="Delivered",2,IF(T208="Sent",3,IF(T208="Not sent",4,IF(T208="Failed",9,5)))))</f>
        <v>4</v>
      </c>
      <c r="AG208" s="43">
        <f>IF(U208="Demo booked",1,IF(U208="Interested",2,IF(U208="Replied",3,IF(U208="No reply",5,IF(U208="Not interested",8,IF(U208="Bad number",9,6))))))</f>
        <v>6</v>
      </c>
      <c r="AH208" s="46">
        <f>AD208*1000+AN208*100+AE208*10+AG208</f>
        <v>9596</v>
      </c>
      <c r="AI208" s="45">
        <f>MAX(IF(R208="",0,R208),IF(Y208="",0,Y208))</f>
        <v>0</v>
      </c>
      <c r="AJ208" s="43" t="str">
        <f ca="1">IF(AND(X208&lt;&gt;"",Y208="",X208&lt;TODAY()),"Overdue",IF(AND(X208&lt;&gt;"",Y208="",X208=TODAY()),"Due today",IF(Y208&lt;&gt;"","Follow-up sent","")))</f>
        <v/>
      </c>
      <c r="AK208" s="50" t="s">
        <v>734</v>
      </c>
      <c r="AL208" s="50" t="s">
        <v>735</v>
      </c>
      <c r="AM208" s="50" t="s">
        <v>736</v>
      </c>
      <c r="AN208" s="50">
        <v>5</v>
      </c>
      <c r="AO208" s="54" t="s">
        <v>1028</v>
      </c>
      <c r="AP208" s="57" t="s">
        <v>127</v>
      </c>
      <c r="AQ208" s="58"/>
      <c r="AR208" s="57"/>
    </row>
    <row r="209" spans="1:44" ht="54" customHeight="1" x14ac:dyDescent="0.25">
      <c r="A209" s="43" t="s">
        <v>1029</v>
      </c>
      <c r="B209" s="43" t="s">
        <v>790</v>
      </c>
      <c r="C209" s="43"/>
      <c r="D209" s="44" t="s">
        <v>1030</v>
      </c>
      <c r="E209" s="43"/>
      <c r="F209" s="43" t="s">
        <v>729</v>
      </c>
      <c r="G209" s="45"/>
      <c r="H209" s="45">
        <v>46161</v>
      </c>
      <c r="I209" s="43" t="s">
        <v>730</v>
      </c>
      <c r="J209" s="43" t="s">
        <v>731</v>
      </c>
      <c r="K209" s="43" t="str">
        <f>IF(LEN(D209)=10,"OK","Check")</f>
        <v>OK</v>
      </c>
      <c r="L209" s="43" t="s">
        <v>732</v>
      </c>
      <c r="M209" s="43" t="str">
        <f>IF(L209="Hold","Hold",IF(IFERROR(E209,0)&gt;=200,"High",IF(IFERROR(E209,0)&gt;=100,"Medium","Normal")))</f>
        <v>Hold</v>
      </c>
      <c r="N209" s="43" t="s">
        <v>90</v>
      </c>
      <c r="O209" s="43" t="s">
        <v>91</v>
      </c>
      <c r="P209" s="43" t="s">
        <v>92</v>
      </c>
      <c r="Q209" s="17" t="s">
        <v>93</v>
      </c>
      <c r="R209" s="45"/>
      <c r="S209" s="43"/>
      <c r="T209" s="43" t="s">
        <v>31</v>
      </c>
      <c r="U209" s="43" t="s">
        <v>94</v>
      </c>
      <c r="V209" s="43" t="s">
        <v>94</v>
      </c>
      <c r="W209" s="43" t="s">
        <v>95</v>
      </c>
      <c r="X209" s="45" t="str">
        <f>IF(AND(R209&lt;&gt;"",OR(U209="No reply",U209="Unknown")),R209+2,"")</f>
        <v/>
      </c>
      <c r="Y209" s="45"/>
      <c r="Z209" s="43" t="s">
        <v>96</v>
      </c>
      <c r="AA209" s="43" t="str">
        <f>IF(L209="Hold","Do not send",IF(T209="Not sent","Send WhatsApp",IF(U209="Demo booked","Prepare demo",IF(W209="Booked","Prepare demo",IF(AND(X209&lt;&gt;"",Y209=""),"Send follow-up","Review")))))</f>
        <v>Do not send</v>
      </c>
      <c r="AB209" s="43"/>
      <c r="AC209" s="43" t="s">
        <v>733</v>
      </c>
      <c r="AD209" s="43">
        <f>IF(AA209="Prepare demo",1,IF(AA209="Send follow-up",2,IF(AA209="Send WhatsApp",3,IF(AA209="Review",4,IF(AA209="Do not send",9,5)))))</f>
        <v>9</v>
      </c>
      <c r="AE209" s="43">
        <f>IF(M209="High",1,IF(M209="Medium",2,IF(M209="Normal",3,IF(M209="Hold",9,4))))</f>
        <v>9</v>
      </c>
      <c r="AF209" s="43">
        <f>IF(T209="Read",1,IF(T209="Delivered",2,IF(T209="Sent",3,IF(T209="Not sent",4,IF(T209="Failed",9,5)))))</f>
        <v>4</v>
      </c>
      <c r="AG209" s="43">
        <f>IF(U209="Demo booked",1,IF(U209="Interested",2,IF(U209="Replied",3,IF(U209="No reply",5,IF(U209="Not interested",8,IF(U209="Bad number",9,6))))))</f>
        <v>6</v>
      </c>
      <c r="AH209" s="46">
        <f>AD209*1000+AN209*100+AE209*10+AG209</f>
        <v>9596</v>
      </c>
      <c r="AI209" s="45">
        <f>MAX(IF(R209="",0,R209),IF(Y209="",0,Y209))</f>
        <v>0</v>
      </c>
      <c r="AJ209" s="43" t="str">
        <f ca="1">IF(AND(X209&lt;&gt;"",Y209="",X209&lt;TODAY()),"Overdue",IF(AND(X209&lt;&gt;"",Y209="",X209=TODAY()),"Due today",IF(Y209&lt;&gt;"","Follow-up sent","")))</f>
        <v/>
      </c>
      <c r="AK209" s="50" t="s">
        <v>734</v>
      </c>
      <c r="AL209" s="50" t="s">
        <v>735</v>
      </c>
      <c r="AM209" s="50" t="s">
        <v>736</v>
      </c>
      <c r="AN209" s="50">
        <v>5</v>
      </c>
      <c r="AO209" s="54" t="s">
        <v>1031</v>
      </c>
      <c r="AP209" s="57" t="s">
        <v>127</v>
      </c>
      <c r="AQ209" s="58"/>
      <c r="AR209" s="57"/>
    </row>
    <row r="210" spans="1:44" ht="54" customHeight="1" x14ac:dyDescent="0.25">
      <c r="A210" s="43" t="s">
        <v>1032</v>
      </c>
      <c r="B210" s="43" t="s">
        <v>790</v>
      </c>
      <c r="C210" s="43"/>
      <c r="D210" s="44" t="s">
        <v>1033</v>
      </c>
      <c r="E210" s="43"/>
      <c r="F210" s="43" t="s">
        <v>729</v>
      </c>
      <c r="G210" s="45"/>
      <c r="H210" s="45">
        <v>46161</v>
      </c>
      <c r="I210" s="43" t="s">
        <v>730</v>
      </c>
      <c r="J210" s="43" t="s">
        <v>731</v>
      </c>
      <c r="K210" s="43" t="str">
        <f>IF(LEN(D210)=10,"OK","Check")</f>
        <v>OK</v>
      </c>
      <c r="L210" s="43" t="s">
        <v>732</v>
      </c>
      <c r="M210" s="43" t="str">
        <f>IF(L210="Hold","Hold",IF(IFERROR(E210,0)&gt;=200,"High",IF(IFERROR(E210,0)&gt;=100,"Medium","Normal")))</f>
        <v>Hold</v>
      </c>
      <c r="N210" s="43" t="s">
        <v>90</v>
      </c>
      <c r="O210" s="43" t="s">
        <v>91</v>
      </c>
      <c r="P210" s="43" t="s">
        <v>92</v>
      </c>
      <c r="Q210" s="17" t="s">
        <v>93</v>
      </c>
      <c r="R210" s="45"/>
      <c r="S210" s="43"/>
      <c r="T210" s="43" t="s">
        <v>31</v>
      </c>
      <c r="U210" s="43" t="s">
        <v>94</v>
      </c>
      <c r="V210" s="43" t="s">
        <v>94</v>
      </c>
      <c r="W210" s="43" t="s">
        <v>95</v>
      </c>
      <c r="X210" s="45" t="str">
        <f>IF(AND(R210&lt;&gt;"",OR(U210="No reply",U210="Unknown")),R210+2,"")</f>
        <v/>
      </c>
      <c r="Y210" s="45"/>
      <c r="Z210" s="43" t="s">
        <v>96</v>
      </c>
      <c r="AA210" s="43" t="str">
        <f>IF(L210="Hold","Do not send",IF(T210="Not sent","Send WhatsApp",IF(U210="Demo booked","Prepare demo",IF(W210="Booked","Prepare demo",IF(AND(X210&lt;&gt;"",Y210=""),"Send follow-up","Review")))))</f>
        <v>Do not send</v>
      </c>
      <c r="AB210" s="43"/>
      <c r="AC210" s="43" t="s">
        <v>733</v>
      </c>
      <c r="AD210" s="43">
        <f>IF(AA210="Prepare demo",1,IF(AA210="Send follow-up",2,IF(AA210="Send WhatsApp",3,IF(AA210="Review",4,IF(AA210="Do not send",9,5)))))</f>
        <v>9</v>
      </c>
      <c r="AE210" s="43">
        <f>IF(M210="High",1,IF(M210="Medium",2,IF(M210="Normal",3,IF(M210="Hold",9,4))))</f>
        <v>9</v>
      </c>
      <c r="AF210" s="43">
        <f>IF(T210="Read",1,IF(T210="Delivered",2,IF(T210="Sent",3,IF(T210="Not sent",4,IF(T210="Failed",9,5)))))</f>
        <v>4</v>
      </c>
      <c r="AG210" s="43">
        <f>IF(U210="Demo booked",1,IF(U210="Interested",2,IF(U210="Replied",3,IF(U210="No reply",5,IF(U210="Not interested",8,IF(U210="Bad number",9,6))))))</f>
        <v>6</v>
      </c>
      <c r="AH210" s="46">
        <f>AD210*1000+AN210*100+AE210*10+AG210</f>
        <v>9596</v>
      </c>
      <c r="AI210" s="45">
        <f>MAX(IF(R210="",0,R210),IF(Y210="",0,Y210))</f>
        <v>0</v>
      </c>
      <c r="AJ210" s="43" t="str">
        <f ca="1">IF(AND(X210&lt;&gt;"",Y210="",X210&lt;TODAY()),"Overdue",IF(AND(X210&lt;&gt;"",Y210="",X210=TODAY()),"Due today",IF(Y210&lt;&gt;"","Follow-up sent","")))</f>
        <v/>
      </c>
      <c r="AK210" s="50" t="s">
        <v>734</v>
      </c>
      <c r="AL210" s="50" t="s">
        <v>735</v>
      </c>
      <c r="AM210" s="50" t="s">
        <v>736</v>
      </c>
      <c r="AN210" s="50">
        <v>5</v>
      </c>
      <c r="AO210" s="54" t="s">
        <v>1034</v>
      </c>
      <c r="AP210" s="57" t="s">
        <v>127</v>
      </c>
      <c r="AQ210" s="58"/>
      <c r="AR210" s="57"/>
    </row>
    <row r="211" spans="1:44" ht="54" customHeight="1" x14ac:dyDescent="0.25">
      <c r="A211" s="43" t="s">
        <v>1035</v>
      </c>
      <c r="B211" s="43" t="s">
        <v>790</v>
      </c>
      <c r="C211" s="43"/>
      <c r="D211" s="44" t="s">
        <v>1036</v>
      </c>
      <c r="E211" s="43"/>
      <c r="F211" s="43" t="s">
        <v>729</v>
      </c>
      <c r="G211" s="45"/>
      <c r="H211" s="45">
        <v>46161</v>
      </c>
      <c r="I211" s="43" t="s">
        <v>730</v>
      </c>
      <c r="J211" s="43" t="s">
        <v>731</v>
      </c>
      <c r="K211" s="43" t="str">
        <f>IF(LEN(D211)=10,"OK","Check")</f>
        <v>OK</v>
      </c>
      <c r="L211" s="43" t="s">
        <v>732</v>
      </c>
      <c r="M211" s="43" t="str">
        <f>IF(L211="Hold","Hold",IF(IFERROR(E211,0)&gt;=200,"High",IF(IFERROR(E211,0)&gt;=100,"Medium","Normal")))</f>
        <v>Hold</v>
      </c>
      <c r="N211" s="43" t="s">
        <v>90</v>
      </c>
      <c r="O211" s="43" t="s">
        <v>91</v>
      </c>
      <c r="P211" s="43" t="s">
        <v>92</v>
      </c>
      <c r="Q211" s="17" t="s">
        <v>93</v>
      </c>
      <c r="R211" s="45"/>
      <c r="S211" s="43"/>
      <c r="T211" s="43" t="s">
        <v>31</v>
      </c>
      <c r="U211" s="43" t="s">
        <v>94</v>
      </c>
      <c r="V211" s="43" t="s">
        <v>94</v>
      </c>
      <c r="W211" s="43" t="s">
        <v>95</v>
      </c>
      <c r="X211" s="45" t="str">
        <f>IF(AND(R211&lt;&gt;"",OR(U211="No reply",U211="Unknown")),R211+2,"")</f>
        <v/>
      </c>
      <c r="Y211" s="45"/>
      <c r="Z211" s="43" t="s">
        <v>96</v>
      </c>
      <c r="AA211" s="43" t="str">
        <f>IF(L211="Hold","Do not send",IF(T211="Not sent","Send WhatsApp",IF(U211="Demo booked","Prepare demo",IF(W211="Booked","Prepare demo",IF(AND(X211&lt;&gt;"",Y211=""),"Send follow-up","Review")))))</f>
        <v>Do not send</v>
      </c>
      <c r="AB211" s="43"/>
      <c r="AC211" s="43" t="s">
        <v>733</v>
      </c>
      <c r="AD211" s="43">
        <f>IF(AA211="Prepare demo",1,IF(AA211="Send follow-up",2,IF(AA211="Send WhatsApp",3,IF(AA211="Review",4,IF(AA211="Do not send",9,5)))))</f>
        <v>9</v>
      </c>
      <c r="AE211" s="43">
        <f>IF(M211="High",1,IF(M211="Medium",2,IF(M211="Normal",3,IF(M211="Hold",9,4))))</f>
        <v>9</v>
      </c>
      <c r="AF211" s="43">
        <f>IF(T211="Read",1,IF(T211="Delivered",2,IF(T211="Sent",3,IF(T211="Not sent",4,IF(T211="Failed",9,5)))))</f>
        <v>4</v>
      </c>
      <c r="AG211" s="43">
        <f>IF(U211="Demo booked",1,IF(U211="Interested",2,IF(U211="Replied",3,IF(U211="No reply",5,IF(U211="Not interested",8,IF(U211="Bad number",9,6))))))</f>
        <v>6</v>
      </c>
      <c r="AH211" s="46">
        <f>AD211*1000+AN211*100+AE211*10+AG211</f>
        <v>9596</v>
      </c>
      <c r="AI211" s="45">
        <f>MAX(IF(R211="",0,R211),IF(Y211="",0,Y211))</f>
        <v>0</v>
      </c>
      <c r="AJ211" s="43" t="str">
        <f ca="1">IF(AND(X211&lt;&gt;"",Y211="",X211&lt;TODAY()),"Overdue",IF(AND(X211&lt;&gt;"",Y211="",X211=TODAY()),"Due today",IF(Y211&lt;&gt;"","Follow-up sent","")))</f>
        <v/>
      </c>
      <c r="AK211" s="50" t="s">
        <v>734</v>
      </c>
      <c r="AL211" s="50" t="s">
        <v>735</v>
      </c>
      <c r="AM211" s="50" t="s">
        <v>736</v>
      </c>
      <c r="AN211" s="50">
        <v>5</v>
      </c>
      <c r="AO211" s="54" t="s">
        <v>1037</v>
      </c>
      <c r="AP211" s="57" t="s">
        <v>127</v>
      </c>
      <c r="AQ211" s="58"/>
      <c r="AR211" s="57"/>
    </row>
    <row r="212" spans="1:44" ht="54" customHeight="1" x14ac:dyDescent="0.25">
      <c r="A212" s="43" t="s">
        <v>1038</v>
      </c>
      <c r="B212" s="43" t="s">
        <v>790</v>
      </c>
      <c r="C212" s="43"/>
      <c r="D212" s="44" t="s">
        <v>1039</v>
      </c>
      <c r="E212" s="43"/>
      <c r="F212" s="43" t="s">
        <v>729</v>
      </c>
      <c r="G212" s="45"/>
      <c r="H212" s="45">
        <v>46161</v>
      </c>
      <c r="I212" s="43" t="s">
        <v>730</v>
      </c>
      <c r="J212" s="43" t="s">
        <v>731</v>
      </c>
      <c r="K212" s="43" t="str">
        <f>IF(LEN(D212)=10,"OK","Check")</f>
        <v>OK</v>
      </c>
      <c r="L212" s="43" t="s">
        <v>732</v>
      </c>
      <c r="M212" s="43" t="str">
        <f>IF(L212="Hold","Hold",IF(IFERROR(E212,0)&gt;=200,"High",IF(IFERROR(E212,0)&gt;=100,"Medium","Normal")))</f>
        <v>Hold</v>
      </c>
      <c r="N212" s="43" t="s">
        <v>90</v>
      </c>
      <c r="O212" s="43" t="s">
        <v>91</v>
      </c>
      <c r="P212" s="43" t="s">
        <v>92</v>
      </c>
      <c r="Q212" s="17" t="s">
        <v>93</v>
      </c>
      <c r="R212" s="45"/>
      <c r="S212" s="43"/>
      <c r="T212" s="43" t="s">
        <v>31</v>
      </c>
      <c r="U212" s="43" t="s">
        <v>94</v>
      </c>
      <c r="V212" s="43" t="s">
        <v>94</v>
      </c>
      <c r="W212" s="43" t="s">
        <v>95</v>
      </c>
      <c r="X212" s="45" t="str">
        <f>IF(AND(R212&lt;&gt;"",OR(U212="No reply",U212="Unknown")),R212+2,"")</f>
        <v/>
      </c>
      <c r="Y212" s="45"/>
      <c r="Z212" s="43" t="s">
        <v>96</v>
      </c>
      <c r="AA212" s="43" t="str">
        <f>IF(L212="Hold","Do not send",IF(T212="Not sent","Send WhatsApp",IF(U212="Demo booked","Prepare demo",IF(W212="Booked","Prepare demo",IF(AND(X212&lt;&gt;"",Y212=""),"Send follow-up","Review")))))</f>
        <v>Do not send</v>
      </c>
      <c r="AB212" s="43"/>
      <c r="AC212" s="43" t="s">
        <v>733</v>
      </c>
      <c r="AD212" s="43">
        <f>IF(AA212="Prepare demo",1,IF(AA212="Send follow-up",2,IF(AA212="Send WhatsApp",3,IF(AA212="Review",4,IF(AA212="Do not send",9,5)))))</f>
        <v>9</v>
      </c>
      <c r="AE212" s="43">
        <f>IF(M212="High",1,IF(M212="Medium",2,IF(M212="Normal",3,IF(M212="Hold",9,4))))</f>
        <v>9</v>
      </c>
      <c r="AF212" s="43">
        <f>IF(T212="Read",1,IF(T212="Delivered",2,IF(T212="Sent",3,IF(T212="Not sent",4,IF(T212="Failed",9,5)))))</f>
        <v>4</v>
      </c>
      <c r="AG212" s="43">
        <f>IF(U212="Demo booked",1,IF(U212="Interested",2,IF(U212="Replied",3,IF(U212="No reply",5,IF(U212="Not interested",8,IF(U212="Bad number",9,6))))))</f>
        <v>6</v>
      </c>
      <c r="AH212" s="46">
        <f>AD212*1000+AN212*100+AE212*10+AG212</f>
        <v>9596</v>
      </c>
      <c r="AI212" s="45">
        <f>MAX(IF(R212="",0,R212),IF(Y212="",0,Y212))</f>
        <v>0</v>
      </c>
      <c r="AJ212" s="43" t="str">
        <f ca="1">IF(AND(X212&lt;&gt;"",Y212="",X212&lt;TODAY()),"Overdue",IF(AND(X212&lt;&gt;"",Y212="",X212=TODAY()),"Due today",IF(Y212&lt;&gt;"","Follow-up sent","")))</f>
        <v/>
      </c>
      <c r="AK212" s="50" t="s">
        <v>734</v>
      </c>
      <c r="AL212" s="50" t="s">
        <v>735</v>
      </c>
      <c r="AM212" s="50" t="s">
        <v>736</v>
      </c>
      <c r="AN212" s="50">
        <v>5</v>
      </c>
      <c r="AO212" s="54" t="s">
        <v>1040</v>
      </c>
      <c r="AP212" s="57" t="s">
        <v>127</v>
      </c>
      <c r="AQ212" s="58"/>
      <c r="AR212" s="57"/>
    </row>
    <row r="213" spans="1:44" ht="54" customHeight="1" x14ac:dyDescent="0.25">
      <c r="A213" s="43" t="s">
        <v>1041</v>
      </c>
      <c r="B213" s="43" t="s">
        <v>790</v>
      </c>
      <c r="C213" s="43"/>
      <c r="D213" s="44" t="s">
        <v>1042</v>
      </c>
      <c r="E213" s="43"/>
      <c r="F213" s="43" t="s">
        <v>729</v>
      </c>
      <c r="G213" s="45"/>
      <c r="H213" s="45">
        <v>46161</v>
      </c>
      <c r="I213" s="43" t="s">
        <v>730</v>
      </c>
      <c r="J213" s="43" t="s">
        <v>731</v>
      </c>
      <c r="K213" s="43" t="str">
        <f>IF(LEN(D213)=10,"OK","Check")</f>
        <v>OK</v>
      </c>
      <c r="L213" s="43" t="s">
        <v>732</v>
      </c>
      <c r="M213" s="43" t="str">
        <f>IF(L213="Hold","Hold",IF(IFERROR(E213,0)&gt;=200,"High",IF(IFERROR(E213,0)&gt;=100,"Medium","Normal")))</f>
        <v>Hold</v>
      </c>
      <c r="N213" s="43" t="s">
        <v>90</v>
      </c>
      <c r="O213" s="43" t="s">
        <v>91</v>
      </c>
      <c r="P213" s="43" t="s">
        <v>92</v>
      </c>
      <c r="Q213" s="17" t="s">
        <v>93</v>
      </c>
      <c r="R213" s="45"/>
      <c r="S213" s="43"/>
      <c r="T213" s="43" t="s">
        <v>31</v>
      </c>
      <c r="U213" s="43" t="s">
        <v>94</v>
      </c>
      <c r="V213" s="43" t="s">
        <v>94</v>
      </c>
      <c r="W213" s="43" t="s">
        <v>95</v>
      </c>
      <c r="X213" s="45" t="str">
        <f>IF(AND(R213&lt;&gt;"",OR(U213="No reply",U213="Unknown")),R213+2,"")</f>
        <v/>
      </c>
      <c r="Y213" s="45"/>
      <c r="Z213" s="43" t="s">
        <v>96</v>
      </c>
      <c r="AA213" s="43" t="str">
        <f>IF(L213="Hold","Do not send",IF(T213="Not sent","Send WhatsApp",IF(U213="Demo booked","Prepare demo",IF(W213="Booked","Prepare demo",IF(AND(X213&lt;&gt;"",Y213=""),"Send follow-up","Review")))))</f>
        <v>Do not send</v>
      </c>
      <c r="AB213" s="43"/>
      <c r="AC213" s="43" t="s">
        <v>733</v>
      </c>
      <c r="AD213" s="43">
        <f>IF(AA213="Prepare demo",1,IF(AA213="Send follow-up",2,IF(AA213="Send WhatsApp",3,IF(AA213="Review",4,IF(AA213="Do not send",9,5)))))</f>
        <v>9</v>
      </c>
      <c r="AE213" s="43">
        <f>IF(M213="High",1,IF(M213="Medium",2,IF(M213="Normal",3,IF(M213="Hold",9,4))))</f>
        <v>9</v>
      </c>
      <c r="AF213" s="43">
        <f>IF(T213="Read",1,IF(T213="Delivered",2,IF(T213="Sent",3,IF(T213="Not sent",4,IF(T213="Failed",9,5)))))</f>
        <v>4</v>
      </c>
      <c r="AG213" s="43">
        <f>IF(U213="Demo booked",1,IF(U213="Interested",2,IF(U213="Replied",3,IF(U213="No reply",5,IF(U213="Not interested",8,IF(U213="Bad number",9,6))))))</f>
        <v>6</v>
      </c>
      <c r="AH213" s="46">
        <f>AD213*1000+AN213*100+AE213*10+AG213</f>
        <v>9596</v>
      </c>
      <c r="AI213" s="45">
        <f>MAX(IF(R213="",0,R213),IF(Y213="",0,Y213))</f>
        <v>0</v>
      </c>
      <c r="AJ213" s="43" t="str">
        <f ca="1">IF(AND(X213&lt;&gt;"",Y213="",X213&lt;TODAY()),"Overdue",IF(AND(X213&lt;&gt;"",Y213="",X213=TODAY()),"Due today",IF(Y213&lt;&gt;"","Follow-up sent","")))</f>
        <v/>
      </c>
      <c r="AK213" s="50" t="s">
        <v>734</v>
      </c>
      <c r="AL213" s="50" t="s">
        <v>735</v>
      </c>
      <c r="AM213" s="50" t="s">
        <v>736</v>
      </c>
      <c r="AN213" s="50">
        <v>5</v>
      </c>
      <c r="AO213" s="54" t="s">
        <v>1043</v>
      </c>
      <c r="AP213" s="57" t="s">
        <v>127</v>
      </c>
      <c r="AQ213" s="58"/>
      <c r="AR213" s="57"/>
    </row>
    <row r="214" spans="1:44" ht="54" customHeight="1" x14ac:dyDescent="0.25">
      <c r="A214" s="43" t="s">
        <v>1044</v>
      </c>
      <c r="B214" s="43" t="s">
        <v>790</v>
      </c>
      <c r="C214" s="43"/>
      <c r="D214" s="44" t="s">
        <v>1045</v>
      </c>
      <c r="E214" s="43"/>
      <c r="F214" s="43" t="s">
        <v>729</v>
      </c>
      <c r="G214" s="45"/>
      <c r="H214" s="45">
        <v>46161</v>
      </c>
      <c r="I214" s="43" t="s">
        <v>730</v>
      </c>
      <c r="J214" s="43" t="s">
        <v>731</v>
      </c>
      <c r="K214" s="43" t="str">
        <f>IF(LEN(D214)=10,"OK","Check")</f>
        <v>OK</v>
      </c>
      <c r="L214" s="43" t="s">
        <v>732</v>
      </c>
      <c r="M214" s="43" t="str">
        <f>IF(L214="Hold","Hold",IF(IFERROR(E214,0)&gt;=200,"High",IF(IFERROR(E214,0)&gt;=100,"Medium","Normal")))</f>
        <v>Hold</v>
      </c>
      <c r="N214" s="43" t="s">
        <v>90</v>
      </c>
      <c r="O214" s="43" t="s">
        <v>91</v>
      </c>
      <c r="P214" s="43" t="s">
        <v>92</v>
      </c>
      <c r="Q214" s="17" t="s">
        <v>93</v>
      </c>
      <c r="R214" s="45"/>
      <c r="S214" s="43"/>
      <c r="T214" s="43" t="s">
        <v>31</v>
      </c>
      <c r="U214" s="43" t="s">
        <v>94</v>
      </c>
      <c r="V214" s="43" t="s">
        <v>94</v>
      </c>
      <c r="W214" s="43" t="s">
        <v>95</v>
      </c>
      <c r="X214" s="45" t="str">
        <f>IF(AND(R214&lt;&gt;"",OR(U214="No reply",U214="Unknown")),R214+2,"")</f>
        <v/>
      </c>
      <c r="Y214" s="45"/>
      <c r="Z214" s="43" t="s">
        <v>96</v>
      </c>
      <c r="AA214" s="43" t="str">
        <f>IF(L214="Hold","Do not send",IF(T214="Not sent","Send WhatsApp",IF(U214="Demo booked","Prepare demo",IF(W214="Booked","Prepare demo",IF(AND(X214&lt;&gt;"",Y214=""),"Send follow-up","Review")))))</f>
        <v>Do not send</v>
      </c>
      <c r="AB214" s="43"/>
      <c r="AC214" s="43" t="s">
        <v>733</v>
      </c>
      <c r="AD214" s="43">
        <f>IF(AA214="Prepare demo",1,IF(AA214="Send follow-up",2,IF(AA214="Send WhatsApp",3,IF(AA214="Review",4,IF(AA214="Do not send",9,5)))))</f>
        <v>9</v>
      </c>
      <c r="AE214" s="43">
        <f>IF(M214="High",1,IF(M214="Medium",2,IF(M214="Normal",3,IF(M214="Hold",9,4))))</f>
        <v>9</v>
      </c>
      <c r="AF214" s="43">
        <f>IF(T214="Read",1,IF(T214="Delivered",2,IF(T214="Sent",3,IF(T214="Not sent",4,IF(T214="Failed",9,5)))))</f>
        <v>4</v>
      </c>
      <c r="AG214" s="43">
        <f>IF(U214="Demo booked",1,IF(U214="Interested",2,IF(U214="Replied",3,IF(U214="No reply",5,IF(U214="Not interested",8,IF(U214="Bad number",9,6))))))</f>
        <v>6</v>
      </c>
      <c r="AH214" s="46">
        <f>AD214*1000+AN214*100+AE214*10+AG214</f>
        <v>9596</v>
      </c>
      <c r="AI214" s="45">
        <f>MAX(IF(R214="",0,R214),IF(Y214="",0,Y214))</f>
        <v>0</v>
      </c>
      <c r="AJ214" s="43" t="str">
        <f ca="1">IF(AND(X214&lt;&gt;"",Y214="",X214&lt;TODAY()),"Overdue",IF(AND(X214&lt;&gt;"",Y214="",X214=TODAY()),"Due today",IF(Y214&lt;&gt;"","Follow-up sent","")))</f>
        <v/>
      </c>
      <c r="AK214" s="50" t="s">
        <v>734</v>
      </c>
      <c r="AL214" s="50" t="s">
        <v>735</v>
      </c>
      <c r="AM214" s="50" t="s">
        <v>736</v>
      </c>
      <c r="AN214" s="50">
        <v>5</v>
      </c>
      <c r="AO214" s="54" t="s">
        <v>1046</v>
      </c>
      <c r="AP214" s="57" t="s">
        <v>127</v>
      </c>
      <c r="AQ214" s="58"/>
      <c r="AR214" s="57"/>
    </row>
    <row r="215" spans="1:44" ht="54" customHeight="1" x14ac:dyDescent="0.25">
      <c r="A215" s="43" t="s">
        <v>1047</v>
      </c>
      <c r="B215" s="43" t="s">
        <v>790</v>
      </c>
      <c r="C215" s="43"/>
      <c r="D215" s="44" t="s">
        <v>1048</v>
      </c>
      <c r="E215" s="43"/>
      <c r="F215" s="43" t="s">
        <v>729</v>
      </c>
      <c r="G215" s="45"/>
      <c r="H215" s="45">
        <v>46161</v>
      </c>
      <c r="I215" s="43" t="s">
        <v>730</v>
      </c>
      <c r="J215" s="43" t="s">
        <v>731</v>
      </c>
      <c r="K215" s="43" t="str">
        <f>IF(LEN(D215)=10,"OK","Check")</f>
        <v>OK</v>
      </c>
      <c r="L215" s="43" t="s">
        <v>732</v>
      </c>
      <c r="M215" s="43" t="str">
        <f>IF(L215="Hold","Hold",IF(IFERROR(E215,0)&gt;=200,"High",IF(IFERROR(E215,0)&gt;=100,"Medium","Normal")))</f>
        <v>Hold</v>
      </c>
      <c r="N215" s="43" t="s">
        <v>90</v>
      </c>
      <c r="O215" s="43" t="s">
        <v>91</v>
      </c>
      <c r="P215" s="43" t="s">
        <v>92</v>
      </c>
      <c r="Q215" s="17" t="s">
        <v>93</v>
      </c>
      <c r="R215" s="45"/>
      <c r="S215" s="43"/>
      <c r="T215" s="43" t="s">
        <v>31</v>
      </c>
      <c r="U215" s="43" t="s">
        <v>94</v>
      </c>
      <c r="V215" s="43" t="s">
        <v>94</v>
      </c>
      <c r="W215" s="43" t="s">
        <v>95</v>
      </c>
      <c r="X215" s="45" t="str">
        <f>IF(AND(R215&lt;&gt;"",OR(U215="No reply",U215="Unknown")),R215+2,"")</f>
        <v/>
      </c>
      <c r="Y215" s="45"/>
      <c r="Z215" s="43" t="s">
        <v>96</v>
      </c>
      <c r="AA215" s="43" t="str">
        <f>IF(L215="Hold","Do not send",IF(T215="Not sent","Send WhatsApp",IF(U215="Demo booked","Prepare demo",IF(W215="Booked","Prepare demo",IF(AND(X215&lt;&gt;"",Y215=""),"Send follow-up","Review")))))</f>
        <v>Do not send</v>
      </c>
      <c r="AB215" s="43"/>
      <c r="AC215" s="43" t="s">
        <v>733</v>
      </c>
      <c r="AD215" s="43">
        <f>IF(AA215="Prepare demo",1,IF(AA215="Send follow-up",2,IF(AA215="Send WhatsApp",3,IF(AA215="Review",4,IF(AA215="Do not send",9,5)))))</f>
        <v>9</v>
      </c>
      <c r="AE215" s="43">
        <f>IF(M215="High",1,IF(M215="Medium",2,IF(M215="Normal",3,IF(M215="Hold",9,4))))</f>
        <v>9</v>
      </c>
      <c r="AF215" s="43">
        <f>IF(T215="Read",1,IF(T215="Delivered",2,IF(T215="Sent",3,IF(T215="Not sent",4,IF(T215="Failed",9,5)))))</f>
        <v>4</v>
      </c>
      <c r="AG215" s="43">
        <f>IF(U215="Demo booked",1,IF(U215="Interested",2,IF(U215="Replied",3,IF(U215="No reply",5,IF(U215="Not interested",8,IF(U215="Bad number",9,6))))))</f>
        <v>6</v>
      </c>
      <c r="AH215" s="46">
        <f>AD215*1000+AN215*100+AE215*10+AG215</f>
        <v>9596</v>
      </c>
      <c r="AI215" s="45">
        <f>MAX(IF(R215="",0,R215),IF(Y215="",0,Y215))</f>
        <v>0</v>
      </c>
      <c r="AJ215" s="43" t="str">
        <f ca="1">IF(AND(X215&lt;&gt;"",Y215="",X215&lt;TODAY()),"Overdue",IF(AND(X215&lt;&gt;"",Y215="",X215=TODAY()),"Due today",IF(Y215&lt;&gt;"","Follow-up sent","")))</f>
        <v/>
      </c>
      <c r="AK215" s="50" t="s">
        <v>734</v>
      </c>
      <c r="AL215" s="50" t="s">
        <v>735</v>
      </c>
      <c r="AM215" s="50" t="s">
        <v>736</v>
      </c>
      <c r="AN215" s="50">
        <v>5</v>
      </c>
      <c r="AO215" s="54" t="s">
        <v>1049</v>
      </c>
      <c r="AP215" s="57" t="s">
        <v>127</v>
      </c>
      <c r="AQ215" s="58"/>
      <c r="AR215" s="57"/>
    </row>
    <row r="216" spans="1:44" ht="54" customHeight="1" x14ac:dyDescent="0.25">
      <c r="A216" s="43" t="s">
        <v>1050</v>
      </c>
      <c r="B216" s="43" t="s">
        <v>790</v>
      </c>
      <c r="C216" s="43"/>
      <c r="D216" s="44" t="s">
        <v>1051</v>
      </c>
      <c r="E216" s="43"/>
      <c r="F216" s="43" t="s">
        <v>729</v>
      </c>
      <c r="G216" s="45"/>
      <c r="H216" s="45">
        <v>46161</v>
      </c>
      <c r="I216" s="43" t="s">
        <v>730</v>
      </c>
      <c r="J216" s="43" t="s">
        <v>731</v>
      </c>
      <c r="K216" s="43" t="str">
        <f>IF(LEN(D216)=10,"OK","Check")</f>
        <v>OK</v>
      </c>
      <c r="L216" s="43" t="s">
        <v>732</v>
      </c>
      <c r="M216" s="43" t="str">
        <f>IF(L216="Hold","Hold",IF(IFERROR(E216,0)&gt;=200,"High",IF(IFERROR(E216,0)&gt;=100,"Medium","Normal")))</f>
        <v>Hold</v>
      </c>
      <c r="N216" s="43" t="s">
        <v>90</v>
      </c>
      <c r="O216" s="43" t="s">
        <v>91</v>
      </c>
      <c r="P216" s="43" t="s">
        <v>92</v>
      </c>
      <c r="Q216" s="17" t="s">
        <v>93</v>
      </c>
      <c r="R216" s="45"/>
      <c r="S216" s="43"/>
      <c r="T216" s="43" t="s">
        <v>31</v>
      </c>
      <c r="U216" s="43" t="s">
        <v>94</v>
      </c>
      <c r="V216" s="43" t="s">
        <v>94</v>
      </c>
      <c r="W216" s="43" t="s">
        <v>95</v>
      </c>
      <c r="X216" s="45" t="str">
        <f>IF(AND(R216&lt;&gt;"",OR(U216="No reply",U216="Unknown")),R216+2,"")</f>
        <v/>
      </c>
      <c r="Y216" s="45"/>
      <c r="Z216" s="43" t="s">
        <v>96</v>
      </c>
      <c r="AA216" s="43" t="str">
        <f>IF(L216="Hold","Do not send",IF(T216="Not sent","Send WhatsApp",IF(U216="Demo booked","Prepare demo",IF(W216="Booked","Prepare demo",IF(AND(X216&lt;&gt;"",Y216=""),"Send follow-up","Review")))))</f>
        <v>Do not send</v>
      </c>
      <c r="AB216" s="43"/>
      <c r="AC216" s="43" t="s">
        <v>733</v>
      </c>
      <c r="AD216" s="43">
        <f>IF(AA216="Prepare demo",1,IF(AA216="Send follow-up",2,IF(AA216="Send WhatsApp",3,IF(AA216="Review",4,IF(AA216="Do not send",9,5)))))</f>
        <v>9</v>
      </c>
      <c r="AE216" s="43">
        <f>IF(M216="High",1,IF(M216="Medium",2,IF(M216="Normal",3,IF(M216="Hold",9,4))))</f>
        <v>9</v>
      </c>
      <c r="AF216" s="43">
        <f>IF(T216="Read",1,IF(T216="Delivered",2,IF(T216="Sent",3,IF(T216="Not sent",4,IF(T216="Failed",9,5)))))</f>
        <v>4</v>
      </c>
      <c r="AG216" s="43">
        <f>IF(U216="Demo booked",1,IF(U216="Interested",2,IF(U216="Replied",3,IF(U216="No reply",5,IF(U216="Not interested",8,IF(U216="Bad number",9,6))))))</f>
        <v>6</v>
      </c>
      <c r="AH216" s="46">
        <f>AD216*1000+AN216*100+AE216*10+AG216</f>
        <v>9596</v>
      </c>
      <c r="AI216" s="45">
        <f>MAX(IF(R216="",0,R216),IF(Y216="",0,Y216))</f>
        <v>0</v>
      </c>
      <c r="AJ216" s="43" t="str">
        <f ca="1">IF(AND(X216&lt;&gt;"",Y216="",X216&lt;TODAY()),"Overdue",IF(AND(X216&lt;&gt;"",Y216="",X216=TODAY()),"Due today",IF(Y216&lt;&gt;"","Follow-up sent","")))</f>
        <v/>
      </c>
      <c r="AK216" s="50" t="s">
        <v>734</v>
      </c>
      <c r="AL216" s="50" t="s">
        <v>735</v>
      </c>
      <c r="AM216" s="50" t="s">
        <v>736</v>
      </c>
      <c r="AN216" s="50">
        <v>5</v>
      </c>
      <c r="AO216" s="54" t="s">
        <v>1052</v>
      </c>
      <c r="AP216" s="57" t="s">
        <v>127</v>
      </c>
      <c r="AQ216" s="58"/>
      <c r="AR216" s="57"/>
    </row>
    <row r="217" spans="1:44" ht="54" customHeight="1" x14ac:dyDescent="0.25">
      <c r="A217" s="43" t="s">
        <v>1053</v>
      </c>
      <c r="B217" s="43" t="s">
        <v>790</v>
      </c>
      <c r="C217" s="43"/>
      <c r="D217" s="44" t="s">
        <v>1054</v>
      </c>
      <c r="E217" s="43"/>
      <c r="F217" s="43" t="s">
        <v>729</v>
      </c>
      <c r="G217" s="45"/>
      <c r="H217" s="45">
        <v>46161</v>
      </c>
      <c r="I217" s="43" t="s">
        <v>730</v>
      </c>
      <c r="J217" s="43" t="s">
        <v>731</v>
      </c>
      <c r="K217" s="43" t="str">
        <f>IF(LEN(D217)=10,"OK","Check")</f>
        <v>OK</v>
      </c>
      <c r="L217" s="43" t="s">
        <v>732</v>
      </c>
      <c r="M217" s="43" t="str">
        <f>IF(L217="Hold","Hold",IF(IFERROR(E217,0)&gt;=200,"High",IF(IFERROR(E217,0)&gt;=100,"Medium","Normal")))</f>
        <v>Hold</v>
      </c>
      <c r="N217" s="43" t="s">
        <v>90</v>
      </c>
      <c r="O217" s="43" t="s">
        <v>91</v>
      </c>
      <c r="P217" s="43" t="s">
        <v>92</v>
      </c>
      <c r="Q217" s="17" t="s">
        <v>93</v>
      </c>
      <c r="R217" s="45"/>
      <c r="S217" s="43"/>
      <c r="T217" s="43" t="s">
        <v>31</v>
      </c>
      <c r="U217" s="43" t="s">
        <v>94</v>
      </c>
      <c r="V217" s="43" t="s">
        <v>94</v>
      </c>
      <c r="W217" s="43" t="s">
        <v>95</v>
      </c>
      <c r="X217" s="45" t="str">
        <f>IF(AND(R217&lt;&gt;"",OR(U217="No reply",U217="Unknown")),R217+2,"")</f>
        <v/>
      </c>
      <c r="Y217" s="45"/>
      <c r="Z217" s="43" t="s">
        <v>96</v>
      </c>
      <c r="AA217" s="43" t="str">
        <f>IF(L217="Hold","Do not send",IF(T217="Not sent","Send WhatsApp",IF(U217="Demo booked","Prepare demo",IF(W217="Booked","Prepare demo",IF(AND(X217&lt;&gt;"",Y217=""),"Send follow-up","Review")))))</f>
        <v>Do not send</v>
      </c>
      <c r="AB217" s="43"/>
      <c r="AC217" s="43" t="s">
        <v>733</v>
      </c>
      <c r="AD217" s="43">
        <f>IF(AA217="Prepare demo",1,IF(AA217="Send follow-up",2,IF(AA217="Send WhatsApp",3,IF(AA217="Review",4,IF(AA217="Do not send",9,5)))))</f>
        <v>9</v>
      </c>
      <c r="AE217" s="43">
        <f>IF(M217="High",1,IF(M217="Medium",2,IF(M217="Normal",3,IF(M217="Hold",9,4))))</f>
        <v>9</v>
      </c>
      <c r="AF217" s="43">
        <f>IF(T217="Read",1,IF(T217="Delivered",2,IF(T217="Sent",3,IF(T217="Not sent",4,IF(T217="Failed",9,5)))))</f>
        <v>4</v>
      </c>
      <c r="AG217" s="43">
        <f>IF(U217="Demo booked",1,IF(U217="Interested",2,IF(U217="Replied",3,IF(U217="No reply",5,IF(U217="Not interested",8,IF(U217="Bad number",9,6))))))</f>
        <v>6</v>
      </c>
      <c r="AH217" s="46">
        <f>AD217*1000+AN217*100+AE217*10+AG217</f>
        <v>9596</v>
      </c>
      <c r="AI217" s="45">
        <f>MAX(IF(R217="",0,R217),IF(Y217="",0,Y217))</f>
        <v>0</v>
      </c>
      <c r="AJ217" s="43" t="str">
        <f ca="1">IF(AND(X217&lt;&gt;"",Y217="",X217&lt;TODAY()),"Overdue",IF(AND(X217&lt;&gt;"",Y217="",X217=TODAY()),"Due today",IF(Y217&lt;&gt;"","Follow-up sent","")))</f>
        <v/>
      </c>
      <c r="AK217" s="50" t="s">
        <v>734</v>
      </c>
      <c r="AL217" s="50" t="s">
        <v>735</v>
      </c>
      <c r="AM217" s="50" t="s">
        <v>736</v>
      </c>
      <c r="AN217" s="50">
        <v>5</v>
      </c>
      <c r="AO217" s="54" t="s">
        <v>1055</v>
      </c>
      <c r="AP217" s="57" t="s">
        <v>127</v>
      </c>
      <c r="AQ217" s="58"/>
      <c r="AR217" s="57"/>
    </row>
    <row r="218" spans="1:44" ht="54" customHeight="1" x14ac:dyDescent="0.25">
      <c r="A218" s="43" t="s">
        <v>1056</v>
      </c>
      <c r="B218" s="43" t="s">
        <v>790</v>
      </c>
      <c r="C218" s="43"/>
      <c r="D218" s="44" t="s">
        <v>1057</v>
      </c>
      <c r="E218" s="43"/>
      <c r="F218" s="43" t="s">
        <v>729</v>
      </c>
      <c r="G218" s="45"/>
      <c r="H218" s="45">
        <v>46161</v>
      </c>
      <c r="I218" s="43" t="s">
        <v>730</v>
      </c>
      <c r="J218" s="43" t="s">
        <v>731</v>
      </c>
      <c r="K218" s="43" t="str">
        <f>IF(LEN(D218)=10,"OK","Check")</f>
        <v>OK</v>
      </c>
      <c r="L218" s="43" t="s">
        <v>732</v>
      </c>
      <c r="M218" s="43" t="str">
        <f>IF(L218="Hold","Hold",IF(IFERROR(E218,0)&gt;=200,"High",IF(IFERROR(E218,0)&gt;=100,"Medium","Normal")))</f>
        <v>Hold</v>
      </c>
      <c r="N218" s="43" t="s">
        <v>90</v>
      </c>
      <c r="O218" s="43" t="s">
        <v>91</v>
      </c>
      <c r="P218" s="43" t="s">
        <v>92</v>
      </c>
      <c r="Q218" s="17" t="s">
        <v>93</v>
      </c>
      <c r="R218" s="45"/>
      <c r="S218" s="43"/>
      <c r="T218" s="43" t="s">
        <v>31</v>
      </c>
      <c r="U218" s="43" t="s">
        <v>94</v>
      </c>
      <c r="V218" s="43" t="s">
        <v>94</v>
      </c>
      <c r="W218" s="43" t="s">
        <v>95</v>
      </c>
      <c r="X218" s="45" t="str">
        <f>IF(AND(R218&lt;&gt;"",OR(U218="No reply",U218="Unknown")),R218+2,"")</f>
        <v/>
      </c>
      <c r="Y218" s="45"/>
      <c r="Z218" s="43" t="s">
        <v>96</v>
      </c>
      <c r="AA218" s="43" t="str">
        <f>IF(L218="Hold","Do not send",IF(T218="Not sent","Send WhatsApp",IF(U218="Demo booked","Prepare demo",IF(W218="Booked","Prepare demo",IF(AND(X218&lt;&gt;"",Y218=""),"Send follow-up","Review")))))</f>
        <v>Do not send</v>
      </c>
      <c r="AB218" s="43"/>
      <c r="AC218" s="43" t="s">
        <v>733</v>
      </c>
      <c r="AD218" s="43">
        <f>IF(AA218="Prepare demo",1,IF(AA218="Send follow-up",2,IF(AA218="Send WhatsApp",3,IF(AA218="Review",4,IF(AA218="Do not send",9,5)))))</f>
        <v>9</v>
      </c>
      <c r="AE218" s="43">
        <f>IF(M218="High",1,IF(M218="Medium",2,IF(M218="Normal",3,IF(M218="Hold",9,4))))</f>
        <v>9</v>
      </c>
      <c r="AF218" s="43">
        <f>IF(T218="Read",1,IF(T218="Delivered",2,IF(T218="Sent",3,IF(T218="Not sent",4,IF(T218="Failed",9,5)))))</f>
        <v>4</v>
      </c>
      <c r="AG218" s="43">
        <f>IF(U218="Demo booked",1,IF(U218="Interested",2,IF(U218="Replied",3,IF(U218="No reply",5,IF(U218="Not interested",8,IF(U218="Bad number",9,6))))))</f>
        <v>6</v>
      </c>
      <c r="AH218" s="46">
        <f>AD218*1000+AN218*100+AE218*10+AG218</f>
        <v>9596</v>
      </c>
      <c r="AI218" s="45">
        <f>MAX(IF(R218="",0,R218),IF(Y218="",0,Y218))</f>
        <v>0</v>
      </c>
      <c r="AJ218" s="43" t="str">
        <f ca="1">IF(AND(X218&lt;&gt;"",Y218="",X218&lt;TODAY()),"Overdue",IF(AND(X218&lt;&gt;"",Y218="",X218=TODAY()),"Due today",IF(Y218&lt;&gt;"","Follow-up sent","")))</f>
        <v/>
      </c>
      <c r="AK218" s="50" t="s">
        <v>734</v>
      </c>
      <c r="AL218" s="50" t="s">
        <v>735</v>
      </c>
      <c r="AM218" s="50" t="s">
        <v>736</v>
      </c>
      <c r="AN218" s="50">
        <v>5</v>
      </c>
      <c r="AO218" s="54" t="s">
        <v>1058</v>
      </c>
      <c r="AP218" s="57" t="s">
        <v>127</v>
      </c>
      <c r="AQ218" s="58"/>
      <c r="AR218" s="57"/>
    </row>
    <row r="219" spans="1:44" ht="54" customHeight="1" x14ac:dyDescent="0.25">
      <c r="A219" s="43" t="s">
        <v>1059</v>
      </c>
      <c r="B219" s="43" t="s">
        <v>790</v>
      </c>
      <c r="C219" s="43"/>
      <c r="D219" s="44" t="s">
        <v>1060</v>
      </c>
      <c r="E219" s="43"/>
      <c r="F219" s="43" t="s">
        <v>729</v>
      </c>
      <c r="G219" s="45"/>
      <c r="H219" s="45">
        <v>46161</v>
      </c>
      <c r="I219" s="43" t="s">
        <v>730</v>
      </c>
      <c r="J219" s="43" t="s">
        <v>731</v>
      </c>
      <c r="K219" s="43" t="str">
        <f>IF(LEN(D219)=10,"OK","Check")</f>
        <v>OK</v>
      </c>
      <c r="L219" s="43" t="s">
        <v>732</v>
      </c>
      <c r="M219" s="43" t="str">
        <f>IF(L219="Hold","Hold",IF(IFERROR(E219,0)&gt;=200,"High",IF(IFERROR(E219,0)&gt;=100,"Medium","Normal")))</f>
        <v>Hold</v>
      </c>
      <c r="N219" s="43" t="s">
        <v>90</v>
      </c>
      <c r="O219" s="43" t="s">
        <v>91</v>
      </c>
      <c r="P219" s="43" t="s">
        <v>92</v>
      </c>
      <c r="Q219" s="17" t="s">
        <v>93</v>
      </c>
      <c r="R219" s="45"/>
      <c r="S219" s="43"/>
      <c r="T219" s="43" t="s">
        <v>31</v>
      </c>
      <c r="U219" s="43" t="s">
        <v>94</v>
      </c>
      <c r="V219" s="43" t="s">
        <v>94</v>
      </c>
      <c r="W219" s="43" t="s">
        <v>95</v>
      </c>
      <c r="X219" s="45" t="str">
        <f>IF(AND(R219&lt;&gt;"",OR(U219="No reply",U219="Unknown")),R219+2,"")</f>
        <v/>
      </c>
      <c r="Y219" s="45"/>
      <c r="Z219" s="43" t="s">
        <v>96</v>
      </c>
      <c r="AA219" s="43" t="str">
        <f>IF(L219="Hold","Do not send",IF(T219="Not sent","Send WhatsApp",IF(U219="Demo booked","Prepare demo",IF(W219="Booked","Prepare demo",IF(AND(X219&lt;&gt;"",Y219=""),"Send follow-up","Review")))))</f>
        <v>Do not send</v>
      </c>
      <c r="AB219" s="43"/>
      <c r="AC219" s="43" t="s">
        <v>733</v>
      </c>
      <c r="AD219" s="43">
        <f>IF(AA219="Prepare demo",1,IF(AA219="Send follow-up",2,IF(AA219="Send WhatsApp",3,IF(AA219="Review",4,IF(AA219="Do not send",9,5)))))</f>
        <v>9</v>
      </c>
      <c r="AE219" s="43">
        <f>IF(M219="High",1,IF(M219="Medium",2,IF(M219="Normal",3,IF(M219="Hold",9,4))))</f>
        <v>9</v>
      </c>
      <c r="AF219" s="43">
        <f>IF(T219="Read",1,IF(T219="Delivered",2,IF(T219="Sent",3,IF(T219="Not sent",4,IF(T219="Failed",9,5)))))</f>
        <v>4</v>
      </c>
      <c r="AG219" s="43">
        <f>IF(U219="Demo booked",1,IF(U219="Interested",2,IF(U219="Replied",3,IF(U219="No reply",5,IF(U219="Not interested",8,IF(U219="Bad number",9,6))))))</f>
        <v>6</v>
      </c>
      <c r="AH219" s="46">
        <f>AD219*1000+AN219*100+AE219*10+AG219</f>
        <v>9596</v>
      </c>
      <c r="AI219" s="45">
        <f>MAX(IF(R219="",0,R219),IF(Y219="",0,Y219))</f>
        <v>0</v>
      </c>
      <c r="AJ219" s="43" t="str">
        <f ca="1">IF(AND(X219&lt;&gt;"",Y219="",X219&lt;TODAY()),"Overdue",IF(AND(X219&lt;&gt;"",Y219="",X219=TODAY()),"Due today",IF(Y219&lt;&gt;"","Follow-up sent","")))</f>
        <v/>
      </c>
      <c r="AK219" s="50" t="s">
        <v>734</v>
      </c>
      <c r="AL219" s="50" t="s">
        <v>735</v>
      </c>
      <c r="AM219" s="50" t="s">
        <v>736</v>
      </c>
      <c r="AN219" s="50">
        <v>5</v>
      </c>
      <c r="AO219" s="54" t="s">
        <v>1061</v>
      </c>
      <c r="AP219" s="57" t="s">
        <v>127</v>
      </c>
      <c r="AQ219" s="58"/>
      <c r="AR219" s="57"/>
    </row>
    <row r="220" spans="1:44" ht="54" customHeight="1" x14ac:dyDescent="0.25">
      <c r="A220" s="43" t="s">
        <v>1062</v>
      </c>
      <c r="B220" s="43" t="s">
        <v>790</v>
      </c>
      <c r="C220" s="43"/>
      <c r="D220" s="44" t="s">
        <v>1063</v>
      </c>
      <c r="E220" s="43"/>
      <c r="F220" s="43" t="s">
        <v>729</v>
      </c>
      <c r="G220" s="45"/>
      <c r="H220" s="45">
        <v>46161</v>
      </c>
      <c r="I220" s="43" t="s">
        <v>730</v>
      </c>
      <c r="J220" s="43" t="s">
        <v>731</v>
      </c>
      <c r="K220" s="43" t="str">
        <f>IF(LEN(D220)=10,"OK","Check")</f>
        <v>OK</v>
      </c>
      <c r="L220" s="43" t="s">
        <v>732</v>
      </c>
      <c r="M220" s="43" t="str">
        <f>IF(L220="Hold","Hold",IF(IFERROR(E220,0)&gt;=200,"High",IF(IFERROR(E220,0)&gt;=100,"Medium","Normal")))</f>
        <v>Hold</v>
      </c>
      <c r="N220" s="43" t="s">
        <v>90</v>
      </c>
      <c r="O220" s="43" t="s">
        <v>91</v>
      </c>
      <c r="P220" s="43" t="s">
        <v>92</v>
      </c>
      <c r="Q220" s="17" t="s">
        <v>93</v>
      </c>
      <c r="R220" s="45"/>
      <c r="S220" s="43"/>
      <c r="T220" s="43" t="s">
        <v>31</v>
      </c>
      <c r="U220" s="43" t="s">
        <v>94</v>
      </c>
      <c r="V220" s="43" t="s">
        <v>94</v>
      </c>
      <c r="W220" s="43" t="s">
        <v>95</v>
      </c>
      <c r="X220" s="45" t="str">
        <f>IF(AND(R220&lt;&gt;"",OR(U220="No reply",U220="Unknown")),R220+2,"")</f>
        <v/>
      </c>
      <c r="Y220" s="45"/>
      <c r="Z220" s="43" t="s">
        <v>96</v>
      </c>
      <c r="AA220" s="43" t="str">
        <f>IF(L220="Hold","Do not send",IF(T220="Not sent","Send WhatsApp",IF(U220="Demo booked","Prepare demo",IF(W220="Booked","Prepare demo",IF(AND(X220&lt;&gt;"",Y220=""),"Send follow-up","Review")))))</f>
        <v>Do not send</v>
      </c>
      <c r="AB220" s="43"/>
      <c r="AC220" s="43" t="s">
        <v>733</v>
      </c>
      <c r="AD220" s="43">
        <f>IF(AA220="Prepare demo",1,IF(AA220="Send follow-up",2,IF(AA220="Send WhatsApp",3,IF(AA220="Review",4,IF(AA220="Do not send",9,5)))))</f>
        <v>9</v>
      </c>
      <c r="AE220" s="43">
        <f>IF(M220="High",1,IF(M220="Medium",2,IF(M220="Normal",3,IF(M220="Hold",9,4))))</f>
        <v>9</v>
      </c>
      <c r="AF220" s="43">
        <f>IF(T220="Read",1,IF(T220="Delivered",2,IF(T220="Sent",3,IF(T220="Not sent",4,IF(T220="Failed",9,5)))))</f>
        <v>4</v>
      </c>
      <c r="AG220" s="43">
        <f>IF(U220="Demo booked",1,IF(U220="Interested",2,IF(U220="Replied",3,IF(U220="No reply",5,IF(U220="Not interested",8,IF(U220="Bad number",9,6))))))</f>
        <v>6</v>
      </c>
      <c r="AH220" s="46">
        <f>AD220*1000+AN220*100+AE220*10+AG220</f>
        <v>9596</v>
      </c>
      <c r="AI220" s="45">
        <f>MAX(IF(R220="",0,R220),IF(Y220="",0,Y220))</f>
        <v>0</v>
      </c>
      <c r="AJ220" s="43" t="str">
        <f ca="1">IF(AND(X220&lt;&gt;"",Y220="",X220&lt;TODAY()),"Overdue",IF(AND(X220&lt;&gt;"",Y220="",X220=TODAY()),"Due today",IF(Y220&lt;&gt;"","Follow-up sent","")))</f>
        <v/>
      </c>
      <c r="AK220" s="50" t="s">
        <v>734</v>
      </c>
      <c r="AL220" s="50" t="s">
        <v>735</v>
      </c>
      <c r="AM220" s="50" t="s">
        <v>736</v>
      </c>
      <c r="AN220" s="50">
        <v>5</v>
      </c>
      <c r="AO220" s="54" t="s">
        <v>1064</v>
      </c>
      <c r="AP220" s="57" t="s">
        <v>127</v>
      </c>
      <c r="AQ220" s="58"/>
      <c r="AR220" s="57"/>
    </row>
    <row r="221" spans="1:44" ht="54" customHeight="1" x14ac:dyDescent="0.25">
      <c r="A221" s="43" t="s">
        <v>1065</v>
      </c>
      <c r="B221" s="43" t="s">
        <v>790</v>
      </c>
      <c r="C221" s="43"/>
      <c r="D221" s="44" t="s">
        <v>1066</v>
      </c>
      <c r="E221" s="43"/>
      <c r="F221" s="43" t="s">
        <v>729</v>
      </c>
      <c r="G221" s="45"/>
      <c r="H221" s="45">
        <v>46161</v>
      </c>
      <c r="I221" s="43" t="s">
        <v>730</v>
      </c>
      <c r="J221" s="43" t="s">
        <v>731</v>
      </c>
      <c r="K221" s="43" t="str">
        <f>IF(LEN(D221)=10,"OK","Check")</f>
        <v>OK</v>
      </c>
      <c r="L221" s="43" t="s">
        <v>732</v>
      </c>
      <c r="M221" s="43" t="str">
        <f>IF(L221="Hold","Hold",IF(IFERROR(E221,0)&gt;=200,"High",IF(IFERROR(E221,0)&gt;=100,"Medium","Normal")))</f>
        <v>Hold</v>
      </c>
      <c r="N221" s="43" t="s">
        <v>90</v>
      </c>
      <c r="O221" s="43" t="s">
        <v>91</v>
      </c>
      <c r="P221" s="43" t="s">
        <v>92</v>
      </c>
      <c r="Q221" s="17" t="s">
        <v>93</v>
      </c>
      <c r="R221" s="45"/>
      <c r="S221" s="43"/>
      <c r="T221" s="43" t="s">
        <v>31</v>
      </c>
      <c r="U221" s="43" t="s">
        <v>94</v>
      </c>
      <c r="V221" s="43" t="s">
        <v>94</v>
      </c>
      <c r="W221" s="43" t="s">
        <v>95</v>
      </c>
      <c r="X221" s="45" t="str">
        <f>IF(AND(R221&lt;&gt;"",OR(U221="No reply",U221="Unknown")),R221+2,"")</f>
        <v/>
      </c>
      <c r="Y221" s="45"/>
      <c r="Z221" s="43" t="s">
        <v>96</v>
      </c>
      <c r="AA221" s="43" t="str">
        <f>IF(L221="Hold","Do not send",IF(T221="Not sent","Send WhatsApp",IF(U221="Demo booked","Prepare demo",IF(W221="Booked","Prepare demo",IF(AND(X221&lt;&gt;"",Y221=""),"Send follow-up","Review")))))</f>
        <v>Do not send</v>
      </c>
      <c r="AB221" s="43"/>
      <c r="AC221" s="43" t="s">
        <v>733</v>
      </c>
      <c r="AD221" s="43">
        <f>IF(AA221="Prepare demo",1,IF(AA221="Send follow-up",2,IF(AA221="Send WhatsApp",3,IF(AA221="Review",4,IF(AA221="Do not send",9,5)))))</f>
        <v>9</v>
      </c>
      <c r="AE221" s="43">
        <f>IF(M221="High",1,IF(M221="Medium",2,IF(M221="Normal",3,IF(M221="Hold",9,4))))</f>
        <v>9</v>
      </c>
      <c r="AF221" s="43">
        <f>IF(T221="Read",1,IF(T221="Delivered",2,IF(T221="Sent",3,IF(T221="Not sent",4,IF(T221="Failed",9,5)))))</f>
        <v>4</v>
      </c>
      <c r="AG221" s="43">
        <f>IF(U221="Demo booked",1,IF(U221="Interested",2,IF(U221="Replied",3,IF(U221="No reply",5,IF(U221="Not interested",8,IF(U221="Bad number",9,6))))))</f>
        <v>6</v>
      </c>
      <c r="AH221" s="46">
        <f>AD221*1000+AN221*100+AE221*10+AG221</f>
        <v>9596</v>
      </c>
      <c r="AI221" s="45">
        <f>MAX(IF(R221="",0,R221),IF(Y221="",0,Y221))</f>
        <v>0</v>
      </c>
      <c r="AJ221" s="43" t="str">
        <f ca="1">IF(AND(X221&lt;&gt;"",Y221="",X221&lt;TODAY()),"Overdue",IF(AND(X221&lt;&gt;"",Y221="",X221=TODAY()),"Due today",IF(Y221&lt;&gt;"","Follow-up sent","")))</f>
        <v/>
      </c>
      <c r="AK221" s="50" t="s">
        <v>734</v>
      </c>
      <c r="AL221" s="50" t="s">
        <v>735</v>
      </c>
      <c r="AM221" s="50" t="s">
        <v>736</v>
      </c>
      <c r="AN221" s="50">
        <v>5</v>
      </c>
      <c r="AO221" s="54" t="s">
        <v>1067</v>
      </c>
      <c r="AP221" s="57" t="s">
        <v>127</v>
      </c>
      <c r="AQ221" s="58"/>
      <c r="AR221" s="57"/>
    </row>
    <row r="222" spans="1:44" ht="54" customHeight="1" x14ac:dyDescent="0.25">
      <c r="A222" s="43" t="s">
        <v>1068</v>
      </c>
      <c r="B222" s="43" t="s">
        <v>790</v>
      </c>
      <c r="C222" s="43"/>
      <c r="D222" s="44" t="s">
        <v>1069</v>
      </c>
      <c r="E222" s="43"/>
      <c r="F222" s="43" t="s">
        <v>729</v>
      </c>
      <c r="G222" s="45"/>
      <c r="H222" s="45">
        <v>46161</v>
      </c>
      <c r="I222" s="43" t="s">
        <v>730</v>
      </c>
      <c r="J222" s="43" t="s">
        <v>731</v>
      </c>
      <c r="K222" s="43" t="str">
        <f>IF(LEN(D222)=10,"OK","Check")</f>
        <v>OK</v>
      </c>
      <c r="L222" s="43" t="s">
        <v>732</v>
      </c>
      <c r="M222" s="43" t="str">
        <f>IF(L222="Hold","Hold",IF(IFERROR(E222,0)&gt;=200,"High",IF(IFERROR(E222,0)&gt;=100,"Medium","Normal")))</f>
        <v>Hold</v>
      </c>
      <c r="N222" s="43" t="s">
        <v>90</v>
      </c>
      <c r="O222" s="43" t="s">
        <v>91</v>
      </c>
      <c r="P222" s="43" t="s">
        <v>92</v>
      </c>
      <c r="Q222" s="17" t="s">
        <v>93</v>
      </c>
      <c r="R222" s="45"/>
      <c r="S222" s="43"/>
      <c r="T222" s="43" t="s">
        <v>31</v>
      </c>
      <c r="U222" s="43" t="s">
        <v>94</v>
      </c>
      <c r="V222" s="43" t="s">
        <v>94</v>
      </c>
      <c r="W222" s="43" t="s">
        <v>95</v>
      </c>
      <c r="X222" s="45" t="str">
        <f>IF(AND(R222&lt;&gt;"",OR(U222="No reply",U222="Unknown")),R222+2,"")</f>
        <v/>
      </c>
      <c r="Y222" s="45"/>
      <c r="Z222" s="43" t="s">
        <v>96</v>
      </c>
      <c r="AA222" s="43" t="str">
        <f>IF(L222="Hold","Do not send",IF(T222="Not sent","Send WhatsApp",IF(U222="Demo booked","Prepare demo",IF(W222="Booked","Prepare demo",IF(AND(X222&lt;&gt;"",Y222=""),"Send follow-up","Review")))))</f>
        <v>Do not send</v>
      </c>
      <c r="AB222" s="43"/>
      <c r="AC222" s="43" t="s">
        <v>733</v>
      </c>
      <c r="AD222" s="43">
        <f>IF(AA222="Prepare demo",1,IF(AA222="Send follow-up",2,IF(AA222="Send WhatsApp",3,IF(AA222="Review",4,IF(AA222="Do not send",9,5)))))</f>
        <v>9</v>
      </c>
      <c r="AE222" s="43">
        <f>IF(M222="High",1,IF(M222="Medium",2,IF(M222="Normal",3,IF(M222="Hold",9,4))))</f>
        <v>9</v>
      </c>
      <c r="AF222" s="43">
        <f>IF(T222="Read",1,IF(T222="Delivered",2,IF(T222="Sent",3,IF(T222="Not sent",4,IF(T222="Failed",9,5)))))</f>
        <v>4</v>
      </c>
      <c r="AG222" s="43">
        <f>IF(U222="Demo booked",1,IF(U222="Interested",2,IF(U222="Replied",3,IF(U222="No reply",5,IF(U222="Not interested",8,IF(U222="Bad number",9,6))))))</f>
        <v>6</v>
      </c>
      <c r="AH222" s="46">
        <f>AD222*1000+AN222*100+AE222*10+AG222</f>
        <v>9596</v>
      </c>
      <c r="AI222" s="45">
        <f>MAX(IF(R222="",0,R222),IF(Y222="",0,Y222))</f>
        <v>0</v>
      </c>
      <c r="AJ222" s="43" t="str">
        <f ca="1">IF(AND(X222&lt;&gt;"",Y222="",X222&lt;TODAY()),"Overdue",IF(AND(X222&lt;&gt;"",Y222="",X222=TODAY()),"Due today",IF(Y222&lt;&gt;"","Follow-up sent","")))</f>
        <v/>
      </c>
      <c r="AK222" s="50" t="s">
        <v>734</v>
      </c>
      <c r="AL222" s="50" t="s">
        <v>735</v>
      </c>
      <c r="AM222" s="50" t="s">
        <v>736</v>
      </c>
      <c r="AN222" s="50">
        <v>5</v>
      </c>
      <c r="AO222" s="54" t="s">
        <v>1070</v>
      </c>
      <c r="AP222" s="57" t="s">
        <v>127</v>
      </c>
      <c r="AQ222" s="58"/>
      <c r="AR222" s="57"/>
    </row>
    <row r="223" spans="1:44" ht="54" customHeight="1" x14ac:dyDescent="0.25">
      <c r="A223" s="43" t="s">
        <v>1071</v>
      </c>
      <c r="B223" s="43" t="s">
        <v>790</v>
      </c>
      <c r="C223" s="43"/>
      <c r="D223" s="44" t="s">
        <v>1072</v>
      </c>
      <c r="E223" s="43"/>
      <c r="F223" s="43" t="s">
        <v>729</v>
      </c>
      <c r="G223" s="45"/>
      <c r="H223" s="45">
        <v>46161</v>
      </c>
      <c r="I223" s="43" t="s">
        <v>730</v>
      </c>
      <c r="J223" s="43" t="s">
        <v>731</v>
      </c>
      <c r="K223" s="43" t="str">
        <f>IF(LEN(D223)=10,"OK","Check")</f>
        <v>OK</v>
      </c>
      <c r="L223" s="43" t="s">
        <v>732</v>
      </c>
      <c r="M223" s="43" t="str">
        <f>IF(L223="Hold","Hold",IF(IFERROR(E223,0)&gt;=200,"High",IF(IFERROR(E223,0)&gt;=100,"Medium","Normal")))</f>
        <v>Hold</v>
      </c>
      <c r="N223" s="43" t="s">
        <v>90</v>
      </c>
      <c r="O223" s="43" t="s">
        <v>91</v>
      </c>
      <c r="P223" s="43" t="s">
        <v>92</v>
      </c>
      <c r="Q223" s="17" t="s">
        <v>93</v>
      </c>
      <c r="R223" s="45"/>
      <c r="S223" s="43"/>
      <c r="T223" s="43" t="s">
        <v>31</v>
      </c>
      <c r="U223" s="43" t="s">
        <v>94</v>
      </c>
      <c r="V223" s="43" t="s">
        <v>94</v>
      </c>
      <c r="W223" s="43" t="s">
        <v>95</v>
      </c>
      <c r="X223" s="45" t="str">
        <f>IF(AND(R223&lt;&gt;"",OR(U223="No reply",U223="Unknown")),R223+2,"")</f>
        <v/>
      </c>
      <c r="Y223" s="45"/>
      <c r="Z223" s="43" t="s">
        <v>96</v>
      </c>
      <c r="AA223" s="43" t="str">
        <f>IF(L223="Hold","Do not send",IF(T223="Not sent","Send WhatsApp",IF(U223="Demo booked","Prepare demo",IF(W223="Booked","Prepare demo",IF(AND(X223&lt;&gt;"",Y223=""),"Send follow-up","Review")))))</f>
        <v>Do not send</v>
      </c>
      <c r="AB223" s="43"/>
      <c r="AC223" s="43" t="s">
        <v>733</v>
      </c>
      <c r="AD223" s="43">
        <f>IF(AA223="Prepare demo",1,IF(AA223="Send follow-up",2,IF(AA223="Send WhatsApp",3,IF(AA223="Review",4,IF(AA223="Do not send",9,5)))))</f>
        <v>9</v>
      </c>
      <c r="AE223" s="43">
        <f>IF(M223="High",1,IF(M223="Medium",2,IF(M223="Normal",3,IF(M223="Hold",9,4))))</f>
        <v>9</v>
      </c>
      <c r="AF223" s="43">
        <f>IF(T223="Read",1,IF(T223="Delivered",2,IF(T223="Sent",3,IF(T223="Not sent",4,IF(T223="Failed",9,5)))))</f>
        <v>4</v>
      </c>
      <c r="AG223" s="43">
        <f>IF(U223="Demo booked",1,IF(U223="Interested",2,IF(U223="Replied",3,IF(U223="No reply",5,IF(U223="Not interested",8,IF(U223="Bad number",9,6))))))</f>
        <v>6</v>
      </c>
      <c r="AH223" s="46">
        <f>AD223*1000+AN223*100+AE223*10+AG223</f>
        <v>9596</v>
      </c>
      <c r="AI223" s="45">
        <f>MAX(IF(R223="",0,R223),IF(Y223="",0,Y223))</f>
        <v>0</v>
      </c>
      <c r="AJ223" s="43" t="str">
        <f ca="1">IF(AND(X223&lt;&gt;"",Y223="",X223&lt;TODAY()),"Overdue",IF(AND(X223&lt;&gt;"",Y223="",X223=TODAY()),"Due today",IF(Y223&lt;&gt;"","Follow-up sent","")))</f>
        <v/>
      </c>
      <c r="AK223" s="50" t="s">
        <v>734</v>
      </c>
      <c r="AL223" s="50" t="s">
        <v>735</v>
      </c>
      <c r="AM223" s="50" t="s">
        <v>736</v>
      </c>
      <c r="AN223" s="50">
        <v>5</v>
      </c>
      <c r="AO223" s="54" t="s">
        <v>1073</v>
      </c>
      <c r="AP223" s="57" t="s">
        <v>127</v>
      </c>
      <c r="AQ223" s="58"/>
      <c r="AR223" s="57"/>
    </row>
    <row r="224" spans="1:44" ht="54" customHeight="1" x14ac:dyDescent="0.25">
      <c r="A224" s="43" t="s">
        <v>1074</v>
      </c>
      <c r="B224" s="43" t="s">
        <v>790</v>
      </c>
      <c r="C224" s="43"/>
      <c r="D224" s="44" t="s">
        <v>1075</v>
      </c>
      <c r="E224" s="43"/>
      <c r="F224" s="43" t="s">
        <v>729</v>
      </c>
      <c r="G224" s="45"/>
      <c r="H224" s="45">
        <v>46161</v>
      </c>
      <c r="I224" s="43" t="s">
        <v>730</v>
      </c>
      <c r="J224" s="43" t="s">
        <v>731</v>
      </c>
      <c r="K224" s="43" t="str">
        <f>IF(LEN(D224)=10,"OK","Check")</f>
        <v>OK</v>
      </c>
      <c r="L224" s="43" t="s">
        <v>732</v>
      </c>
      <c r="M224" s="43" t="str">
        <f>IF(L224="Hold","Hold",IF(IFERROR(E224,0)&gt;=200,"High",IF(IFERROR(E224,0)&gt;=100,"Medium","Normal")))</f>
        <v>Hold</v>
      </c>
      <c r="N224" s="43" t="s">
        <v>90</v>
      </c>
      <c r="O224" s="43" t="s">
        <v>91</v>
      </c>
      <c r="P224" s="43" t="s">
        <v>92</v>
      </c>
      <c r="Q224" s="17" t="s">
        <v>93</v>
      </c>
      <c r="R224" s="45"/>
      <c r="S224" s="43"/>
      <c r="T224" s="43" t="s">
        <v>31</v>
      </c>
      <c r="U224" s="43" t="s">
        <v>94</v>
      </c>
      <c r="V224" s="43" t="s">
        <v>94</v>
      </c>
      <c r="W224" s="43" t="s">
        <v>95</v>
      </c>
      <c r="X224" s="45" t="str">
        <f>IF(AND(R224&lt;&gt;"",OR(U224="No reply",U224="Unknown")),R224+2,"")</f>
        <v/>
      </c>
      <c r="Y224" s="45"/>
      <c r="Z224" s="43" t="s">
        <v>96</v>
      </c>
      <c r="AA224" s="43" t="str">
        <f>IF(L224="Hold","Do not send",IF(T224="Not sent","Send WhatsApp",IF(U224="Demo booked","Prepare demo",IF(W224="Booked","Prepare demo",IF(AND(X224&lt;&gt;"",Y224=""),"Send follow-up","Review")))))</f>
        <v>Do not send</v>
      </c>
      <c r="AB224" s="43"/>
      <c r="AC224" s="43" t="s">
        <v>733</v>
      </c>
      <c r="AD224" s="43">
        <f>IF(AA224="Prepare demo",1,IF(AA224="Send follow-up",2,IF(AA224="Send WhatsApp",3,IF(AA224="Review",4,IF(AA224="Do not send",9,5)))))</f>
        <v>9</v>
      </c>
      <c r="AE224" s="43">
        <f>IF(M224="High",1,IF(M224="Medium",2,IF(M224="Normal",3,IF(M224="Hold",9,4))))</f>
        <v>9</v>
      </c>
      <c r="AF224" s="43">
        <f>IF(T224="Read",1,IF(T224="Delivered",2,IF(T224="Sent",3,IF(T224="Not sent",4,IF(T224="Failed",9,5)))))</f>
        <v>4</v>
      </c>
      <c r="AG224" s="43">
        <f>IF(U224="Demo booked",1,IF(U224="Interested",2,IF(U224="Replied",3,IF(U224="No reply",5,IF(U224="Not interested",8,IF(U224="Bad number",9,6))))))</f>
        <v>6</v>
      </c>
      <c r="AH224" s="46">
        <f>AD224*1000+AN224*100+AE224*10+AG224</f>
        <v>9596</v>
      </c>
      <c r="AI224" s="45">
        <f>MAX(IF(R224="",0,R224),IF(Y224="",0,Y224))</f>
        <v>0</v>
      </c>
      <c r="AJ224" s="43" t="str">
        <f ca="1">IF(AND(X224&lt;&gt;"",Y224="",X224&lt;TODAY()),"Overdue",IF(AND(X224&lt;&gt;"",Y224="",X224=TODAY()),"Due today",IF(Y224&lt;&gt;"","Follow-up sent","")))</f>
        <v/>
      </c>
      <c r="AK224" s="50" t="s">
        <v>734</v>
      </c>
      <c r="AL224" s="50" t="s">
        <v>735</v>
      </c>
      <c r="AM224" s="50" t="s">
        <v>736</v>
      </c>
      <c r="AN224" s="50">
        <v>5</v>
      </c>
      <c r="AO224" s="54" t="s">
        <v>1076</v>
      </c>
      <c r="AP224" s="57" t="s">
        <v>127</v>
      </c>
      <c r="AQ224" s="58"/>
      <c r="AR224" s="57"/>
    </row>
    <row r="225" spans="1:44" ht="54" customHeight="1" x14ac:dyDescent="0.25">
      <c r="A225" s="43" t="s">
        <v>1077</v>
      </c>
      <c r="B225" s="43" t="s">
        <v>790</v>
      </c>
      <c r="C225" s="43"/>
      <c r="D225" s="44" t="s">
        <v>1078</v>
      </c>
      <c r="E225" s="43"/>
      <c r="F225" s="43" t="s">
        <v>729</v>
      </c>
      <c r="G225" s="45"/>
      <c r="H225" s="45">
        <v>46161</v>
      </c>
      <c r="I225" s="43" t="s">
        <v>730</v>
      </c>
      <c r="J225" s="43" t="s">
        <v>731</v>
      </c>
      <c r="K225" s="43" t="str">
        <f>IF(LEN(D225)=10,"OK","Check")</f>
        <v>OK</v>
      </c>
      <c r="L225" s="43" t="s">
        <v>732</v>
      </c>
      <c r="M225" s="43" t="str">
        <f>IF(L225="Hold","Hold",IF(IFERROR(E225,0)&gt;=200,"High",IF(IFERROR(E225,0)&gt;=100,"Medium","Normal")))</f>
        <v>Hold</v>
      </c>
      <c r="N225" s="43" t="s">
        <v>90</v>
      </c>
      <c r="O225" s="43" t="s">
        <v>91</v>
      </c>
      <c r="P225" s="43" t="s">
        <v>92</v>
      </c>
      <c r="Q225" s="17" t="s">
        <v>93</v>
      </c>
      <c r="R225" s="45"/>
      <c r="S225" s="43"/>
      <c r="T225" s="43" t="s">
        <v>31</v>
      </c>
      <c r="U225" s="43" t="s">
        <v>94</v>
      </c>
      <c r="V225" s="43" t="s">
        <v>94</v>
      </c>
      <c r="W225" s="43" t="s">
        <v>95</v>
      </c>
      <c r="X225" s="45" t="str">
        <f>IF(AND(R225&lt;&gt;"",OR(U225="No reply",U225="Unknown")),R225+2,"")</f>
        <v/>
      </c>
      <c r="Y225" s="45"/>
      <c r="Z225" s="43" t="s">
        <v>96</v>
      </c>
      <c r="AA225" s="43" t="str">
        <f>IF(L225="Hold","Do not send",IF(T225="Not sent","Send WhatsApp",IF(U225="Demo booked","Prepare demo",IF(W225="Booked","Prepare demo",IF(AND(X225&lt;&gt;"",Y225=""),"Send follow-up","Review")))))</f>
        <v>Do not send</v>
      </c>
      <c r="AB225" s="43"/>
      <c r="AC225" s="43" t="s">
        <v>733</v>
      </c>
      <c r="AD225" s="43">
        <f>IF(AA225="Prepare demo",1,IF(AA225="Send follow-up",2,IF(AA225="Send WhatsApp",3,IF(AA225="Review",4,IF(AA225="Do not send",9,5)))))</f>
        <v>9</v>
      </c>
      <c r="AE225" s="43">
        <f>IF(M225="High",1,IF(M225="Medium",2,IF(M225="Normal",3,IF(M225="Hold",9,4))))</f>
        <v>9</v>
      </c>
      <c r="AF225" s="43">
        <f>IF(T225="Read",1,IF(T225="Delivered",2,IF(T225="Sent",3,IF(T225="Not sent",4,IF(T225="Failed",9,5)))))</f>
        <v>4</v>
      </c>
      <c r="AG225" s="43">
        <f>IF(U225="Demo booked",1,IF(U225="Interested",2,IF(U225="Replied",3,IF(U225="No reply",5,IF(U225="Not interested",8,IF(U225="Bad number",9,6))))))</f>
        <v>6</v>
      </c>
      <c r="AH225" s="46">
        <f>AD225*1000+AN225*100+AE225*10+AG225</f>
        <v>9596</v>
      </c>
      <c r="AI225" s="45">
        <f>MAX(IF(R225="",0,R225),IF(Y225="",0,Y225))</f>
        <v>0</v>
      </c>
      <c r="AJ225" s="43" t="str">
        <f ca="1">IF(AND(X225&lt;&gt;"",Y225="",X225&lt;TODAY()),"Overdue",IF(AND(X225&lt;&gt;"",Y225="",X225=TODAY()),"Due today",IF(Y225&lt;&gt;"","Follow-up sent","")))</f>
        <v/>
      </c>
      <c r="AK225" s="50" t="s">
        <v>734</v>
      </c>
      <c r="AL225" s="50" t="s">
        <v>735</v>
      </c>
      <c r="AM225" s="50" t="s">
        <v>736</v>
      </c>
      <c r="AN225" s="50">
        <v>5</v>
      </c>
      <c r="AO225" s="54" t="s">
        <v>1079</v>
      </c>
      <c r="AP225" s="57" t="s">
        <v>127</v>
      </c>
      <c r="AQ225" s="58"/>
      <c r="AR225" s="57"/>
    </row>
    <row r="226" spans="1:44" ht="54" customHeight="1" x14ac:dyDescent="0.25">
      <c r="A226" s="43" t="s">
        <v>1080</v>
      </c>
      <c r="B226" s="43" t="s">
        <v>790</v>
      </c>
      <c r="C226" s="43"/>
      <c r="D226" s="44" t="s">
        <v>1081</v>
      </c>
      <c r="E226" s="43"/>
      <c r="F226" s="43" t="s">
        <v>729</v>
      </c>
      <c r="G226" s="45"/>
      <c r="H226" s="45">
        <v>46161</v>
      </c>
      <c r="I226" s="43" t="s">
        <v>730</v>
      </c>
      <c r="J226" s="43" t="s">
        <v>731</v>
      </c>
      <c r="K226" s="43" t="str">
        <f>IF(LEN(D226)=10,"OK","Check")</f>
        <v>OK</v>
      </c>
      <c r="L226" s="43" t="s">
        <v>732</v>
      </c>
      <c r="M226" s="43" t="str">
        <f>IF(L226="Hold","Hold",IF(IFERROR(E226,0)&gt;=200,"High",IF(IFERROR(E226,0)&gt;=100,"Medium","Normal")))</f>
        <v>Hold</v>
      </c>
      <c r="N226" s="43" t="s">
        <v>90</v>
      </c>
      <c r="O226" s="43" t="s">
        <v>91</v>
      </c>
      <c r="P226" s="43" t="s">
        <v>92</v>
      </c>
      <c r="Q226" s="17" t="s">
        <v>93</v>
      </c>
      <c r="R226" s="45"/>
      <c r="S226" s="43"/>
      <c r="T226" s="43" t="s">
        <v>31</v>
      </c>
      <c r="U226" s="43" t="s">
        <v>94</v>
      </c>
      <c r="V226" s="43" t="s">
        <v>94</v>
      </c>
      <c r="W226" s="43" t="s">
        <v>95</v>
      </c>
      <c r="X226" s="45" t="str">
        <f>IF(AND(R226&lt;&gt;"",OR(U226="No reply",U226="Unknown")),R226+2,"")</f>
        <v/>
      </c>
      <c r="Y226" s="45"/>
      <c r="Z226" s="43" t="s">
        <v>96</v>
      </c>
      <c r="AA226" s="43" t="str">
        <f>IF(L226="Hold","Do not send",IF(T226="Not sent","Send WhatsApp",IF(U226="Demo booked","Prepare demo",IF(W226="Booked","Prepare demo",IF(AND(X226&lt;&gt;"",Y226=""),"Send follow-up","Review")))))</f>
        <v>Do not send</v>
      </c>
      <c r="AB226" s="43"/>
      <c r="AC226" s="43" t="s">
        <v>733</v>
      </c>
      <c r="AD226" s="43">
        <f>IF(AA226="Prepare demo",1,IF(AA226="Send follow-up",2,IF(AA226="Send WhatsApp",3,IF(AA226="Review",4,IF(AA226="Do not send",9,5)))))</f>
        <v>9</v>
      </c>
      <c r="AE226" s="43">
        <f>IF(M226="High",1,IF(M226="Medium",2,IF(M226="Normal",3,IF(M226="Hold",9,4))))</f>
        <v>9</v>
      </c>
      <c r="AF226" s="43">
        <f>IF(T226="Read",1,IF(T226="Delivered",2,IF(T226="Sent",3,IF(T226="Not sent",4,IF(T226="Failed",9,5)))))</f>
        <v>4</v>
      </c>
      <c r="AG226" s="43">
        <f>IF(U226="Demo booked",1,IF(U226="Interested",2,IF(U226="Replied",3,IF(U226="No reply",5,IF(U226="Not interested",8,IF(U226="Bad number",9,6))))))</f>
        <v>6</v>
      </c>
      <c r="AH226" s="46">
        <f>AD226*1000+AN226*100+AE226*10+AG226</f>
        <v>9596</v>
      </c>
      <c r="AI226" s="45">
        <f>MAX(IF(R226="",0,R226),IF(Y226="",0,Y226))</f>
        <v>0</v>
      </c>
      <c r="AJ226" s="43" t="str">
        <f ca="1">IF(AND(X226&lt;&gt;"",Y226="",X226&lt;TODAY()),"Overdue",IF(AND(X226&lt;&gt;"",Y226="",X226=TODAY()),"Due today",IF(Y226&lt;&gt;"","Follow-up sent","")))</f>
        <v/>
      </c>
      <c r="AK226" s="50" t="s">
        <v>734</v>
      </c>
      <c r="AL226" s="50" t="s">
        <v>735</v>
      </c>
      <c r="AM226" s="50" t="s">
        <v>736</v>
      </c>
      <c r="AN226" s="50">
        <v>5</v>
      </c>
      <c r="AO226" s="54" t="s">
        <v>1082</v>
      </c>
      <c r="AP226" s="57" t="s">
        <v>127</v>
      </c>
      <c r="AQ226" s="58"/>
      <c r="AR226" s="57"/>
    </row>
    <row r="227" spans="1:44" ht="54" customHeight="1" x14ac:dyDescent="0.25">
      <c r="A227" s="43" t="s">
        <v>1083</v>
      </c>
      <c r="B227" s="43" t="s">
        <v>790</v>
      </c>
      <c r="C227" s="43"/>
      <c r="D227" s="44" t="s">
        <v>1084</v>
      </c>
      <c r="E227" s="43"/>
      <c r="F227" s="43" t="s">
        <v>729</v>
      </c>
      <c r="G227" s="45"/>
      <c r="H227" s="45">
        <v>46161</v>
      </c>
      <c r="I227" s="43" t="s">
        <v>730</v>
      </c>
      <c r="J227" s="43" t="s">
        <v>731</v>
      </c>
      <c r="K227" s="43" t="str">
        <f>IF(LEN(D227)=10,"OK","Check")</f>
        <v>OK</v>
      </c>
      <c r="L227" s="43" t="s">
        <v>732</v>
      </c>
      <c r="M227" s="43" t="str">
        <f>IF(L227="Hold","Hold",IF(IFERROR(E227,0)&gt;=200,"High",IF(IFERROR(E227,0)&gt;=100,"Medium","Normal")))</f>
        <v>Hold</v>
      </c>
      <c r="N227" s="43" t="s">
        <v>90</v>
      </c>
      <c r="O227" s="43" t="s">
        <v>91</v>
      </c>
      <c r="P227" s="43" t="s">
        <v>92</v>
      </c>
      <c r="Q227" s="17" t="s">
        <v>93</v>
      </c>
      <c r="R227" s="45"/>
      <c r="S227" s="43"/>
      <c r="T227" s="43" t="s">
        <v>31</v>
      </c>
      <c r="U227" s="43" t="s">
        <v>94</v>
      </c>
      <c r="V227" s="43" t="s">
        <v>94</v>
      </c>
      <c r="W227" s="43" t="s">
        <v>95</v>
      </c>
      <c r="X227" s="45" t="str">
        <f>IF(AND(R227&lt;&gt;"",OR(U227="No reply",U227="Unknown")),R227+2,"")</f>
        <v/>
      </c>
      <c r="Y227" s="45"/>
      <c r="Z227" s="43" t="s">
        <v>96</v>
      </c>
      <c r="AA227" s="43" t="str">
        <f>IF(L227="Hold","Do not send",IF(T227="Not sent","Send WhatsApp",IF(U227="Demo booked","Prepare demo",IF(W227="Booked","Prepare demo",IF(AND(X227&lt;&gt;"",Y227=""),"Send follow-up","Review")))))</f>
        <v>Do not send</v>
      </c>
      <c r="AB227" s="43"/>
      <c r="AC227" s="43" t="s">
        <v>733</v>
      </c>
      <c r="AD227" s="43">
        <f>IF(AA227="Prepare demo",1,IF(AA227="Send follow-up",2,IF(AA227="Send WhatsApp",3,IF(AA227="Review",4,IF(AA227="Do not send",9,5)))))</f>
        <v>9</v>
      </c>
      <c r="AE227" s="43">
        <f>IF(M227="High",1,IF(M227="Medium",2,IF(M227="Normal",3,IF(M227="Hold",9,4))))</f>
        <v>9</v>
      </c>
      <c r="AF227" s="43">
        <f>IF(T227="Read",1,IF(T227="Delivered",2,IF(T227="Sent",3,IF(T227="Not sent",4,IF(T227="Failed",9,5)))))</f>
        <v>4</v>
      </c>
      <c r="AG227" s="43">
        <f>IF(U227="Demo booked",1,IF(U227="Interested",2,IF(U227="Replied",3,IF(U227="No reply",5,IF(U227="Not interested",8,IF(U227="Bad number",9,6))))))</f>
        <v>6</v>
      </c>
      <c r="AH227" s="46">
        <f>AD227*1000+AN227*100+AE227*10+AG227</f>
        <v>9596</v>
      </c>
      <c r="AI227" s="45">
        <f>MAX(IF(R227="",0,R227),IF(Y227="",0,Y227))</f>
        <v>0</v>
      </c>
      <c r="AJ227" s="43" t="str">
        <f ca="1">IF(AND(X227&lt;&gt;"",Y227="",X227&lt;TODAY()),"Overdue",IF(AND(X227&lt;&gt;"",Y227="",X227=TODAY()),"Due today",IF(Y227&lt;&gt;"","Follow-up sent","")))</f>
        <v/>
      </c>
      <c r="AK227" s="50" t="s">
        <v>734</v>
      </c>
      <c r="AL227" s="50" t="s">
        <v>735</v>
      </c>
      <c r="AM227" s="50" t="s">
        <v>736</v>
      </c>
      <c r="AN227" s="50">
        <v>5</v>
      </c>
      <c r="AO227" s="54" t="s">
        <v>1085</v>
      </c>
      <c r="AP227" s="57" t="s">
        <v>127</v>
      </c>
      <c r="AQ227" s="58"/>
      <c r="AR227" s="57"/>
    </row>
    <row r="228" spans="1:44" ht="54" customHeight="1" x14ac:dyDescent="0.25">
      <c r="A228" s="43" t="s">
        <v>1086</v>
      </c>
      <c r="B228" s="43" t="s">
        <v>790</v>
      </c>
      <c r="C228" s="43"/>
      <c r="D228" s="44" t="s">
        <v>1087</v>
      </c>
      <c r="E228" s="43"/>
      <c r="F228" s="43" t="s">
        <v>729</v>
      </c>
      <c r="G228" s="45"/>
      <c r="H228" s="45">
        <v>46161</v>
      </c>
      <c r="I228" s="43" t="s">
        <v>730</v>
      </c>
      <c r="J228" s="43" t="s">
        <v>731</v>
      </c>
      <c r="K228" s="43" t="str">
        <f>IF(LEN(D228)=10,"OK","Check")</f>
        <v>OK</v>
      </c>
      <c r="L228" s="43" t="s">
        <v>732</v>
      </c>
      <c r="M228" s="43" t="str">
        <f>IF(L228="Hold","Hold",IF(IFERROR(E228,0)&gt;=200,"High",IF(IFERROR(E228,0)&gt;=100,"Medium","Normal")))</f>
        <v>Hold</v>
      </c>
      <c r="N228" s="43" t="s">
        <v>90</v>
      </c>
      <c r="O228" s="43" t="s">
        <v>91</v>
      </c>
      <c r="P228" s="43" t="s">
        <v>92</v>
      </c>
      <c r="Q228" s="17" t="s">
        <v>93</v>
      </c>
      <c r="R228" s="45"/>
      <c r="S228" s="43"/>
      <c r="T228" s="43" t="s">
        <v>31</v>
      </c>
      <c r="U228" s="43" t="s">
        <v>94</v>
      </c>
      <c r="V228" s="43" t="s">
        <v>94</v>
      </c>
      <c r="W228" s="43" t="s">
        <v>95</v>
      </c>
      <c r="X228" s="45" t="str">
        <f>IF(AND(R228&lt;&gt;"",OR(U228="No reply",U228="Unknown")),R228+2,"")</f>
        <v/>
      </c>
      <c r="Y228" s="45"/>
      <c r="Z228" s="43" t="s">
        <v>96</v>
      </c>
      <c r="AA228" s="43" t="str">
        <f>IF(L228="Hold","Do not send",IF(T228="Not sent","Send WhatsApp",IF(U228="Demo booked","Prepare demo",IF(W228="Booked","Prepare demo",IF(AND(X228&lt;&gt;"",Y228=""),"Send follow-up","Review")))))</f>
        <v>Do not send</v>
      </c>
      <c r="AB228" s="43"/>
      <c r="AC228" s="43" t="s">
        <v>733</v>
      </c>
      <c r="AD228" s="43">
        <f>IF(AA228="Prepare demo",1,IF(AA228="Send follow-up",2,IF(AA228="Send WhatsApp",3,IF(AA228="Review",4,IF(AA228="Do not send",9,5)))))</f>
        <v>9</v>
      </c>
      <c r="AE228" s="43">
        <f>IF(M228="High",1,IF(M228="Medium",2,IF(M228="Normal",3,IF(M228="Hold",9,4))))</f>
        <v>9</v>
      </c>
      <c r="AF228" s="43">
        <f>IF(T228="Read",1,IF(T228="Delivered",2,IF(T228="Sent",3,IF(T228="Not sent",4,IF(T228="Failed",9,5)))))</f>
        <v>4</v>
      </c>
      <c r="AG228" s="43">
        <f>IF(U228="Demo booked",1,IF(U228="Interested",2,IF(U228="Replied",3,IF(U228="No reply",5,IF(U228="Not interested",8,IF(U228="Bad number",9,6))))))</f>
        <v>6</v>
      </c>
      <c r="AH228" s="46">
        <f>AD228*1000+AN228*100+AE228*10+AG228</f>
        <v>9596</v>
      </c>
      <c r="AI228" s="45">
        <f>MAX(IF(R228="",0,R228),IF(Y228="",0,Y228))</f>
        <v>0</v>
      </c>
      <c r="AJ228" s="43" t="str">
        <f ca="1">IF(AND(X228&lt;&gt;"",Y228="",X228&lt;TODAY()),"Overdue",IF(AND(X228&lt;&gt;"",Y228="",X228=TODAY()),"Due today",IF(Y228&lt;&gt;"","Follow-up sent","")))</f>
        <v/>
      </c>
      <c r="AK228" s="50" t="s">
        <v>734</v>
      </c>
      <c r="AL228" s="50" t="s">
        <v>735</v>
      </c>
      <c r="AM228" s="50" t="s">
        <v>736</v>
      </c>
      <c r="AN228" s="50">
        <v>5</v>
      </c>
      <c r="AO228" s="54" t="s">
        <v>1088</v>
      </c>
      <c r="AP228" s="57" t="s">
        <v>127</v>
      </c>
      <c r="AQ228" s="58"/>
      <c r="AR228" s="57"/>
    </row>
    <row r="229" spans="1:44" ht="54" customHeight="1" x14ac:dyDescent="0.25">
      <c r="A229" s="43" t="s">
        <v>1089</v>
      </c>
      <c r="B229" s="43" t="s">
        <v>790</v>
      </c>
      <c r="C229" s="43"/>
      <c r="D229" s="44" t="s">
        <v>1090</v>
      </c>
      <c r="E229" s="43"/>
      <c r="F229" s="43" t="s">
        <v>729</v>
      </c>
      <c r="G229" s="45"/>
      <c r="H229" s="45">
        <v>46161</v>
      </c>
      <c r="I229" s="43" t="s">
        <v>730</v>
      </c>
      <c r="J229" s="43" t="s">
        <v>731</v>
      </c>
      <c r="K229" s="43" t="str">
        <f>IF(LEN(D229)=10,"OK","Check")</f>
        <v>OK</v>
      </c>
      <c r="L229" s="43" t="s">
        <v>732</v>
      </c>
      <c r="M229" s="43" t="str">
        <f>IF(L229="Hold","Hold",IF(IFERROR(E229,0)&gt;=200,"High",IF(IFERROR(E229,0)&gt;=100,"Medium","Normal")))</f>
        <v>Hold</v>
      </c>
      <c r="N229" s="43" t="s">
        <v>90</v>
      </c>
      <c r="O229" s="43" t="s">
        <v>91</v>
      </c>
      <c r="P229" s="43" t="s">
        <v>92</v>
      </c>
      <c r="Q229" s="17" t="s">
        <v>93</v>
      </c>
      <c r="R229" s="45"/>
      <c r="S229" s="43"/>
      <c r="T229" s="43" t="s">
        <v>31</v>
      </c>
      <c r="U229" s="43" t="s">
        <v>94</v>
      </c>
      <c r="V229" s="43" t="s">
        <v>94</v>
      </c>
      <c r="W229" s="43" t="s">
        <v>95</v>
      </c>
      <c r="X229" s="45" t="str">
        <f>IF(AND(R229&lt;&gt;"",OR(U229="No reply",U229="Unknown")),R229+2,"")</f>
        <v/>
      </c>
      <c r="Y229" s="45"/>
      <c r="Z229" s="43" t="s">
        <v>96</v>
      </c>
      <c r="AA229" s="43" t="str">
        <f>IF(L229="Hold","Do not send",IF(T229="Not sent","Send WhatsApp",IF(U229="Demo booked","Prepare demo",IF(W229="Booked","Prepare demo",IF(AND(X229&lt;&gt;"",Y229=""),"Send follow-up","Review")))))</f>
        <v>Do not send</v>
      </c>
      <c r="AB229" s="43"/>
      <c r="AC229" s="43" t="s">
        <v>733</v>
      </c>
      <c r="AD229" s="43">
        <f>IF(AA229="Prepare demo",1,IF(AA229="Send follow-up",2,IF(AA229="Send WhatsApp",3,IF(AA229="Review",4,IF(AA229="Do not send",9,5)))))</f>
        <v>9</v>
      </c>
      <c r="AE229" s="43">
        <f>IF(M229="High",1,IF(M229="Medium",2,IF(M229="Normal",3,IF(M229="Hold",9,4))))</f>
        <v>9</v>
      </c>
      <c r="AF229" s="43">
        <f>IF(T229="Read",1,IF(T229="Delivered",2,IF(T229="Sent",3,IF(T229="Not sent",4,IF(T229="Failed",9,5)))))</f>
        <v>4</v>
      </c>
      <c r="AG229" s="43">
        <f>IF(U229="Demo booked",1,IF(U229="Interested",2,IF(U229="Replied",3,IF(U229="No reply",5,IF(U229="Not interested",8,IF(U229="Bad number",9,6))))))</f>
        <v>6</v>
      </c>
      <c r="AH229" s="46">
        <f>AD229*1000+AN229*100+AE229*10+AG229</f>
        <v>9596</v>
      </c>
      <c r="AI229" s="45">
        <f>MAX(IF(R229="",0,R229),IF(Y229="",0,Y229))</f>
        <v>0</v>
      </c>
      <c r="AJ229" s="43" t="str">
        <f ca="1">IF(AND(X229&lt;&gt;"",Y229="",X229&lt;TODAY()),"Overdue",IF(AND(X229&lt;&gt;"",Y229="",X229=TODAY()),"Due today",IF(Y229&lt;&gt;"","Follow-up sent","")))</f>
        <v/>
      </c>
      <c r="AK229" s="50" t="s">
        <v>734</v>
      </c>
      <c r="AL229" s="50" t="s">
        <v>735</v>
      </c>
      <c r="AM229" s="50" t="s">
        <v>736</v>
      </c>
      <c r="AN229" s="50">
        <v>5</v>
      </c>
      <c r="AO229" s="54" t="s">
        <v>1091</v>
      </c>
      <c r="AP229" s="57" t="s">
        <v>127</v>
      </c>
      <c r="AQ229" s="58"/>
      <c r="AR229" s="57"/>
    </row>
    <row r="230" spans="1:44" ht="54" customHeight="1" x14ac:dyDescent="0.25">
      <c r="A230" s="43" t="s">
        <v>1092</v>
      </c>
      <c r="B230" s="43" t="s">
        <v>790</v>
      </c>
      <c r="C230" s="43"/>
      <c r="D230" s="44" t="s">
        <v>1093</v>
      </c>
      <c r="E230" s="43"/>
      <c r="F230" s="43" t="s">
        <v>729</v>
      </c>
      <c r="G230" s="45"/>
      <c r="H230" s="45">
        <v>46161</v>
      </c>
      <c r="I230" s="43" t="s">
        <v>730</v>
      </c>
      <c r="J230" s="43" t="s">
        <v>731</v>
      </c>
      <c r="K230" s="43" t="str">
        <f>IF(LEN(D230)=10,"OK","Check")</f>
        <v>OK</v>
      </c>
      <c r="L230" s="43" t="s">
        <v>732</v>
      </c>
      <c r="M230" s="43" t="str">
        <f>IF(L230="Hold","Hold",IF(IFERROR(E230,0)&gt;=200,"High",IF(IFERROR(E230,0)&gt;=100,"Medium","Normal")))</f>
        <v>Hold</v>
      </c>
      <c r="N230" s="43" t="s">
        <v>90</v>
      </c>
      <c r="O230" s="43" t="s">
        <v>91</v>
      </c>
      <c r="P230" s="43" t="s">
        <v>92</v>
      </c>
      <c r="Q230" s="17" t="s">
        <v>93</v>
      </c>
      <c r="R230" s="45"/>
      <c r="S230" s="43"/>
      <c r="T230" s="43" t="s">
        <v>31</v>
      </c>
      <c r="U230" s="43" t="s">
        <v>94</v>
      </c>
      <c r="V230" s="43" t="s">
        <v>94</v>
      </c>
      <c r="W230" s="43" t="s">
        <v>95</v>
      </c>
      <c r="X230" s="45" t="str">
        <f>IF(AND(R230&lt;&gt;"",OR(U230="No reply",U230="Unknown")),R230+2,"")</f>
        <v/>
      </c>
      <c r="Y230" s="45"/>
      <c r="Z230" s="43" t="s">
        <v>96</v>
      </c>
      <c r="AA230" s="43" t="str">
        <f>IF(L230="Hold","Do not send",IF(T230="Not sent","Send WhatsApp",IF(U230="Demo booked","Prepare demo",IF(W230="Booked","Prepare demo",IF(AND(X230&lt;&gt;"",Y230=""),"Send follow-up","Review")))))</f>
        <v>Do not send</v>
      </c>
      <c r="AB230" s="43"/>
      <c r="AC230" s="43" t="s">
        <v>733</v>
      </c>
      <c r="AD230" s="43">
        <f>IF(AA230="Prepare demo",1,IF(AA230="Send follow-up",2,IF(AA230="Send WhatsApp",3,IF(AA230="Review",4,IF(AA230="Do not send",9,5)))))</f>
        <v>9</v>
      </c>
      <c r="AE230" s="43">
        <f>IF(M230="High",1,IF(M230="Medium",2,IF(M230="Normal",3,IF(M230="Hold",9,4))))</f>
        <v>9</v>
      </c>
      <c r="AF230" s="43">
        <f>IF(T230="Read",1,IF(T230="Delivered",2,IF(T230="Sent",3,IF(T230="Not sent",4,IF(T230="Failed",9,5)))))</f>
        <v>4</v>
      </c>
      <c r="AG230" s="43">
        <f>IF(U230="Demo booked",1,IF(U230="Interested",2,IF(U230="Replied",3,IF(U230="No reply",5,IF(U230="Not interested",8,IF(U230="Bad number",9,6))))))</f>
        <v>6</v>
      </c>
      <c r="AH230" s="46">
        <f>AD230*1000+AN230*100+AE230*10+AG230</f>
        <v>9596</v>
      </c>
      <c r="AI230" s="45">
        <f>MAX(IF(R230="",0,R230),IF(Y230="",0,Y230))</f>
        <v>0</v>
      </c>
      <c r="AJ230" s="43" t="str">
        <f ca="1">IF(AND(X230&lt;&gt;"",Y230="",X230&lt;TODAY()),"Overdue",IF(AND(X230&lt;&gt;"",Y230="",X230=TODAY()),"Due today",IF(Y230&lt;&gt;"","Follow-up sent","")))</f>
        <v/>
      </c>
      <c r="AK230" s="50" t="s">
        <v>734</v>
      </c>
      <c r="AL230" s="50" t="s">
        <v>735</v>
      </c>
      <c r="AM230" s="50" t="s">
        <v>736</v>
      </c>
      <c r="AN230" s="50">
        <v>5</v>
      </c>
      <c r="AO230" s="54" t="s">
        <v>1094</v>
      </c>
      <c r="AP230" s="57" t="s">
        <v>127</v>
      </c>
      <c r="AQ230" s="58"/>
      <c r="AR230" s="57"/>
    </row>
    <row r="231" spans="1:44" ht="54" customHeight="1" x14ac:dyDescent="0.25">
      <c r="A231" s="43" t="s">
        <v>1095</v>
      </c>
      <c r="B231" s="43" t="s">
        <v>790</v>
      </c>
      <c r="C231" s="43"/>
      <c r="D231" s="44" t="s">
        <v>1096</v>
      </c>
      <c r="E231" s="43"/>
      <c r="F231" s="43" t="s">
        <v>729</v>
      </c>
      <c r="G231" s="45"/>
      <c r="H231" s="45">
        <v>46161</v>
      </c>
      <c r="I231" s="43" t="s">
        <v>730</v>
      </c>
      <c r="J231" s="43" t="s">
        <v>731</v>
      </c>
      <c r="K231" s="43" t="str">
        <f>IF(LEN(D231)=10,"OK","Check")</f>
        <v>OK</v>
      </c>
      <c r="L231" s="43" t="s">
        <v>732</v>
      </c>
      <c r="M231" s="43" t="str">
        <f>IF(L231="Hold","Hold",IF(IFERROR(E231,0)&gt;=200,"High",IF(IFERROR(E231,0)&gt;=100,"Medium","Normal")))</f>
        <v>Hold</v>
      </c>
      <c r="N231" s="43" t="s">
        <v>90</v>
      </c>
      <c r="O231" s="43" t="s">
        <v>91</v>
      </c>
      <c r="P231" s="43" t="s">
        <v>92</v>
      </c>
      <c r="Q231" s="17" t="s">
        <v>93</v>
      </c>
      <c r="R231" s="45"/>
      <c r="S231" s="43"/>
      <c r="T231" s="43" t="s">
        <v>31</v>
      </c>
      <c r="U231" s="43" t="s">
        <v>94</v>
      </c>
      <c r="V231" s="43" t="s">
        <v>94</v>
      </c>
      <c r="W231" s="43" t="s">
        <v>95</v>
      </c>
      <c r="X231" s="45" t="str">
        <f>IF(AND(R231&lt;&gt;"",OR(U231="No reply",U231="Unknown")),R231+2,"")</f>
        <v/>
      </c>
      <c r="Y231" s="45"/>
      <c r="Z231" s="43" t="s">
        <v>96</v>
      </c>
      <c r="AA231" s="43" t="str">
        <f>IF(L231="Hold","Do not send",IF(T231="Not sent","Send WhatsApp",IF(U231="Demo booked","Prepare demo",IF(W231="Booked","Prepare demo",IF(AND(X231&lt;&gt;"",Y231=""),"Send follow-up","Review")))))</f>
        <v>Do not send</v>
      </c>
      <c r="AB231" s="43"/>
      <c r="AC231" s="43" t="s">
        <v>733</v>
      </c>
      <c r="AD231" s="43">
        <f>IF(AA231="Prepare demo",1,IF(AA231="Send follow-up",2,IF(AA231="Send WhatsApp",3,IF(AA231="Review",4,IF(AA231="Do not send",9,5)))))</f>
        <v>9</v>
      </c>
      <c r="AE231" s="43">
        <f>IF(M231="High",1,IF(M231="Medium",2,IF(M231="Normal",3,IF(M231="Hold",9,4))))</f>
        <v>9</v>
      </c>
      <c r="AF231" s="43">
        <f>IF(T231="Read",1,IF(T231="Delivered",2,IF(T231="Sent",3,IF(T231="Not sent",4,IF(T231="Failed",9,5)))))</f>
        <v>4</v>
      </c>
      <c r="AG231" s="43">
        <f>IF(U231="Demo booked",1,IF(U231="Interested",2,IF(U231="Replied",3,IF(U231="No reply",5,IF(U231="Not interested",8,IF(U231="Bad number",9,6))))))</f>
        <v>6</v>
      </c>
      <c r="AH231" s="46">
        <f>AD231*1000+AN231*100+AE231*10+AG231</f>
        <v>9596</v>
      </c>
      <c r="AI231" s="45">
        <f>MAX(IF(R231="",0,R231),IF(Y231="",0,Y231))</f>
        <v>0</v>
      </c>
      <c r="AJ231" s="43" t="str">
        <f ca="1">IF(AND(X231&lt;&gt;"",Y231="",X231&lt;TODAY()),"Overdue",IF(AND(X231&lt;&gt;"",Y231="",X231=TODAY()),"Due today",IF(Y231&lt;&gt;"","Follow-up sent","")))</f>
        <v/>
      </c>
      <c r="AK231" s="50" t="s">
        <v>734</v>
      </c>
      <c r="AL231" s="50" t="s">
        <v>735</v>
      </c>
      <c r="AM231" s="50" t="s">
        <v>736</v>
      </c>
      <c r="AN231" s="50">
        <v>5</v>
      </c>
      <c r="AO231" s="54" t="s">
        <v>1097</v>
      </c>
      <c r="AP231" s="57" t="s">
        <v>127</v>
      </c>
      <c r="AQ231" s="58"/>
      <c r="AR231" s="57"/>
    </row>
    <row r="232" spans="1:44" ht="54" customHeight="1" x14ac:dyDescent="0.25">
      <c r="A232" s="43" t="s">
        <v>1098</v>
      </c>
      <c r="B232" s="43" t="s">
        <v>790</v>
      </c>
      <c r="C232" s="43"/>
      <c r="D232" s="44" t="s">
        <v>1099</v>
      </c>
      <c r="E232" s="43"/>
      <c r="F232" s="43" t="s">
        <v>729</v>
      </c>
      <c r="G232" s="45"/>
      <c r="H232" s="45">
        <v>46161</v>
      </c>
      <c r="I232" s="43" t="s">
        <v>730</v>
      </c>
      <c r="J232" s="43" t="s">
        <v>731</v>
      </c>
      <c r="K232" s="43" t="str">
        <f>IF(LEN(D232)=10,"OK","Check")</f>
        <v>OK</v>
      </c>
      <c r="L232" s="43" t="s">
        <v>732</v>
      </c>
      <c r="M232" s="43" t="str">
        <f>IF(L232="Hold","Hold",IF(IFERROR(E232,0)&gt;=200,"High",IF(IFERROR(E232,0)&gt;=100,"Medium","Normal")))</f>
        <v>Hold</v>
      </c>
      <c r="N232" s="43" t="s">
        <v>90</v>
      </c>
      <c r="O232" s="43" t="s">
        <v>91</v>
      </c>
      <c r="P232" s="43" t="s">
        <v>92</v>
      </c>
      <c r="Q232" s="17" t="s">
        <v>93</v>
      </c>
      <c r="R232" s="45"/>
      <c r="S232" s="43"/>
      <c r="T232" s="43" t="s">
        <v>31</v>
      </c>
      <c r="U232" s="43" t="s">
        <v>94</v>
      </c>
      <c r="V232" s="43" t="s">
        <v>94</v>
      </c>
      <c r="W232" s="43" t="s">
        <v>95</v>
      </c>
      <c r="X232" s="45" t="str">
        <f>IF(AND(R232&lt;&gt;"",OR(U232="No reply",U232="Unknown")),R232+2,"")</f>
        <v/>
      </c>
      <c r="Y232" s="45"/>
      <c r="Z232" s="43" t="s">
        <v>96</v>
      </c>
      <c r="AA232" s="43" t="str">
        <f>IF(L232="Hold","Do not send",IF(T232="Not sent","Send WhatsApp",IF(U232="Demo booked","Prepare demo",IF(W232="Booked","Prepare demo",IF(AND(X232&lt;&gt;"",Y232=""),"Send follow-up","Review")))))</f>
        <v>Do not send</v>
      </c>
      <c r="AB232" s="43"/>
      <c r="AC232" s="43" t="s">
        <v>733</v>
      </c>
      <c r="AD232" s="43">
        <f>IF(AA232="Prepare demo",1,IF(AA232="Send follow-up",2,IF(AA232="Send WhatsApp",3,IF(AA232="Review",4,IF(AA232="Do not send",9,5)))))</f>
        <v>9</v>
      </c>
      <c r="AE232" s="43">
        <f>IF(M232="High",1,IF(M232="Medium",2,IF(M232="Normal",3,IF(M232="Hold",9,4))))</f>
        <v>9</v>
      </c>
      <c r="AF232" s="43">
        <f>IF(T232="Read",1,IF(T232="Delivered",2,IF(T232="Sent",3,IF(T232="Not sent",4,IF(T232="Failed",9,5)))))</f>
        <v>4</v>
      </c>
      <c r="AG232" s="43">
        <f>IF(U232="Demo booked",1,IF(U232="Interested",2,IF(U232="Replied",3,IF(U232="No reply",5,IF(U232="Not interested",8,IF(U232="Bad number",9,6))))))</f>
        <v>6</v>
      </c>
      <c r="AH232" s="46">
        <f>AD232*1000+AN232*100+AE232*10+AG232</f>
        <v>9596</v>
      </c>
      <c r="AI232" s="45">
        <f>MAX(IF(R232="",0,R232),IF(Y232="",0,Y232))</f>
        <v>0</v>
      </c>
      <c r="AJ232" s="43" t="str">
        <f ca="1">IF(AND(X232&lt;&gt;"",Y232="",X232&lt;TODAY()),"Overdue",IF(AND(X232&lt;&gt;"",Y232="",X232=TODAY()),"Due today",IF(Y232&lt;&gt;"","Follow-up sent","")))</f>
        <v/>
      </c>
      <c r="AK232" s="50" t="s">
        <v>734</v>
      </c>
      <c r="AL232" s="50" t="s">
        <v>735</v>
      </c>
      <c r="AM232" s="50" t="s">
        <v>736</v>
      </c>
      <c r="AN232" s="50">
        <v>5</v>
      </c>
      <c r="AO232" s="54" t="s">
        <v>1100</v>
      </c>
      <c r="AP232" s="57" t="s">
        <v>127</v>
      </c>
      <c r="AQ232" s="58"/>
      <c r="AR232" s="57"/>
    </row>
    <row r="233" spans="1:44" ht="54" customHeight="1" x14ac:dyDescent="0.25">
      <c r="A233" s="43" t="s">
        <v>1101</v>
      </c>
      <c r="B233" s="43" t="s">
        <v>790</v>
      </c>
      <c r="C233" s="43"/>
      <c r="D233" s="44" t="s">
        <v>1102</v>
      </c>
      <c r="E233" s="43"/>
      <c r="F233" s="43" t="s">
        <v>729</v>
      </c>
      <c r="G233" s="45"/>
      <c r="H233" s="45">
        <v>46161</v>
      </c>
      <c r="I233" s="43" t="s">
        <v>730</v>
      </c>
      <c r="J233" s="43" t="s">
        <v>731</v>
      </c>
      <c r="K233" s="43" t="str">
        <f>IF(LEN(D233)=10,"OK","Check")</f>
        <v>OK</v>
      </c>
      <c r="L233" s="43" t="s">
        <v>732</v>
      </c>
      <c r="M233" s="43" t="str">
        <f>IF(L233="Hold","Hold",IF(IFERROR(E233,0)&gt;=200,"High",IF(IFERROR(E233,0)&gt;=100,"Medium","Normal")))</f>
        <v>Hold</v>
      </c>
      <c r="N233" s="43" t="s">
        <v>90</v>
      </c>
      <c r="O233" s="43" t="s">
        <v>91</v>
      </c>
      <c r="P233" s="43" t="s">
        <v>92</v>
      </c>
      <c r="Q233" s="17" t="s">
        <v>93</v>
      </c>
      <c r="R233" s="45"/>
      <c r="S233" s="43"/>
      <c r="T233" s="43" t="s">
        <v>31</v>
      </c>
      <c r="U233" s="43" t="s">
        <v>94</v>
      </c>
      <c r="V233" s="43" t="s">
        <v>94</v>
      </c>
      <c r="W233" s="43" t="s">
        <v>95</v>
      </c>
      <c r="X233" s="45" t="str">
        <f>IF(AND(R233&lt;&gt;"",OR(U233="No reply",U233="Unknown")),R233+2,"")</f>
        <v/>
      </c>
      <c r="Y233" s="45"/>
      <c r="Z233" s="43" t="s">
        <v>96</v>
      </c>
      <c r="AA233" s="43" t="str">
        <f>IF(L233="Hold","Do not send",IF(T233="Not sent","Send WhatsApp",IF(U233="Demo booked","Prepare demo",IF(W233="Booked","Prepare demo",IF(AND(X233&lt;&gt;"",Y233=""),"Send follow-up","Review")))))</f>
        <v>Do not send</v>
      </c>
      <c r="AB233" s="43"/>
      <c r="AC233" s="43" t="s">
        <v>733</v>
      </c>
      <c r="AD233" s="43">
        <f>IF(AA233="Prepare demo",1,IF(AA233="Send follow-up",2,IF(AA233="Send WhatsApp",3,IF(AA233="Review",4,IF(AA233="Do not send",9,5)))))</f>
        <v>9</v>
      </c>
      <c r="AE233" s="43">
        <f>IF(M233="High",1,IF(M233="Medium",2,IF(M233="Normal",3,IF(M233="Hold",9,4))))</f>
        <v>9</v>
      </c>
      <c r="AF233" s="43">
        <f>IF(T233="Read",1,IF(T233="Delivered",2,IF(T233="Sent",3,IF(T233="Not sent",4,IF(T233="Failed",9,5)))))</f>
        <v>4</v>
      </c>
      <c r="AG233" s="43">
        <f>IF(U233="Demo booked",1,IF(U233="Interested",2,IF(U233="Replied",3,IF(U233="No reply",5,IF(U233="Not interested",8,IF(U233="Bad number",9,6))))))</f>
        <v>6</v>
      </c>
      <c r="AH233" s="46">
        <f>AD233*1000+AN233*100+AE233*10+AG233</f>
        <v>9596</v>
      </c>
      <c r="AI233" s="45">
        <f>MAX(IF(R233="",0,R233),IF(Y233="",0,Y233))</f>
        <v>0</v>
      </c>
      <c r="AJ233" s="43" t="str">
        <f ca="1">IF(AND(X233&lt;&gt;"",Y233="",X233&lt;TODAY()),"Overdue",IF(AND(X233&lt;&gt;"",Y233="",X233=TODAY()),"Due today",IF(Y233&lt;&gt;"","Follow-up sent","")))</f>
        <v/>
      </c>
      <c r="AK233" s="50" t="s">
        <v>734</v>
      </c>
      <c r="AL233" s="50" t="s">
        <v>735</v>
      </c>
      <c r="AM233" s="50" t="s">
        <v>736</v>
      </c>
      <c r="AN233" s="50">
        <v>5</v>
      </c>
      <c r="AO233" s="54" t="s">
        <v>1103</v>
      </c>
      <c r="AP233" s="57" t="s">
        <v>127</v>
      </c>
      <c r="AQ233" s="58"/>
      <c r="AR233" s="57"/>
    </row>
    <row r="234" spans="1:44" ht="54" customHeight="1" x14ac:dyDescent="0.25">
      <c r="A234" s="43" t="s">
        <v>1104</v>
      </c>
      <c r="B234" s="43" t="s">
        <v>790</v>
      </c>
      <c r="C234" s="43"/>
      <c r="D234" s="44" t="s">
        <v>1105</v>
      </c>
      <c r="E234" s="43"/>
      <c r="F234" s="43" t="s">
        <v>729</v>
      </c>
      <c r="G234" s="45"/>
      <c r="H234" s="45">
        <v>46161</v>
      </c>
      <c r="I234" s="43" t="s">
        <v>730</v>
      </c>
      <c r="J234" s="43" t="s">
        <v>731</v>
      </c>
      <c r="K234" s="43" t="str">
        <f>IF(LEN(D234)=10,"OK","Check")</f>
        <v>OK</v>
      </c>
      <c r="L234" s="43" t="s">
        <v>732</v>
      </c>
      <c r="M234" s="43" t="str">
        <f>IF(L234="Hold","Hold",IF(IFERROR(E234,0)&gt;=200,"High",IF(IFERROR(E234,0)&gt;=100,"Medium","Normal")))</f>
        <v>Hold</v>
      </c>
      <c r="N234" s="43" t="s">
        <v>90</v>
      </c>
      <c r="O234" s="43" t="s">
        <v>91</v>
      </c>
      <c r="P234" s="43" t="s">
        <v>92</v>
      </c>
      <c r="Q234" s="17" t="s">
        <v>93</v>
      </c>
      <c r="R234" s="45"/>
      <c r="S234" s="43"/>
      <c r="T234" s="43" t="s">
        <v>31</v>
      </c>
      <c r="U234" s="43" t="s">
        <v>94</v>
      </c>
      <c r="V234" s="43" t="s">
        <v>94</v>
      </c>
      <c r="W234" s="43" t="s">
        <v>95</v>
      </c>
      <c r="X234" s="45" t="str">
        <f>IF(AND(R234&lt;&gt;"",OR(U234="No reply",U234="Unknown")),R234+2,"")</f>
        <v/>
      </c>
      <c r="Y234" s="45"/>
      <c r="Z234" s="43" t="s">
        <v>96</v>
      </c>
      <c r="AA234" s="43" t="str">
        <f>IF(L234="Hold","Do not send",IF(T234="Not sent","Send WhatsApp",IF(U234="Demo booked","Prepare demo",IF(W234="Booked","Prepare demo",IF(AND(X234&lt;&gt;"",Y234=""),"Send follow-up","Review")))))</f>
        <v>Do not send</v>
      </c>
      <c r="AB234" s="43"/>
      <c r="AC234" s="43" t="s">
        <v>733</v>
      </c>
      <c r="AD234" s="43">
        <f>IF(AA234="Prepare demo",1,IF(AA234="Send follow-up",2,IF(AA234="Send WhatsApp",3,IF(AA234="Review",4,IF(AA234="Do not send",9,5)))))</f>
        <v>9</v>
      </c>
      <c r="AE234" s="43">
        <f>IF(M234="High",1,IF(M234="Medium",2,IF(M234="Normal",3,IF(M234="Hold",9,4))))</f>
        <v>9</v>
      </c>
      <c r="AF234" s="43">
        <f>IF(T234="Read",1,IF(T234="Delivered",2,IF(T234="Sent",3,IF(T234="Not sent",4,IF(T234="Failed",9,5)))))</f>
        <v>4</v>
      </c>
      <c r="AG234" s="43">
        <f>IF(U234="Demo booked",1,IF(U234="Interested",2,IF(U234="Replied",3,IF(U234="No reply",5,IF(U234="Not interested",8,IF(U234="Bad number",9,6))))))</f>
        <v>6</v>
      </c>
      <c r="AH234" s="46">
        <f>AD234*1000+AN234*100+AE234*10+AG234</f>
        <v>9596</v>
      </c>
      <c r="AI234" s="45">
        <f>MAX(IF(R234="",0,R234),IF(Y234="",0,Y234))</f>
        <v>0</v>
      </c>
      <c r="AJ234" s="43" t="str">
        <f ca="1">IF(AND(X234&lt;&gt;"",Y234="",X234&lt;TODAY()),"Overdue",IF(AND(X234&lt;&gt;"",Y234="",X234=TODAY()),"Due today",IF(Y234&lt;&gt;"","Follow-up sent","")))</f>
        <v/>
      </c>
      <c r="AK234" s="50" t="s">
        <v>734</v>
      </c>
      <c r="AL234" s="50" t="s">
        <v>735</v>
      </c>
      <c r="AM234" s="50" t="s">
        <v>736</v>
      </c>
      <c r="AN234" s="50">
        <v>5</v>
      </c>
      <c r="AO234" s="54" t="s">
        <v>1106</v>
      </c>
      <c r="AP234" s="57" t="s">
        <v>127</v>
      </c>
      <c r="AQ234" s="58"/>
      <c r="AR234" s="57"/>
    </row>
    <row r="235" spans="1:44" ht="54" customHeight="1" x14ac:dyDescent="0.25">
      <c r="A235" s="43" t="s">
        <v>1107</v>
      </c>
      <c r="B235" s="43" t="s">
        <v>790</v>
      </c>
      <c r="C235" s="43"/>
      <c r="D235" s="44" t="s">
        <v>1108</v>
      </c>
      <c r="E235" s="43"/>
      <c r="F235" s="43" t="s">
        <v>729</v>
      </c>
      <c r="G235" s="45"/>
      <c r="H235" s="45">
        <v>46161</v>
      </c>
      <c r="I235" s="43" t="s">
        <v>730</v>
      </c>
      <c r="J235" s="43" t="s">
        <v>731</v>
      </c>
      <c r="K235" s="43" t="str">
        <f>IF(LEN(D235)=10,"OK","Check")</f>
        <v>OK</v>
      </c>
      <c r="L235" s="43" t="s">
        <v>732</v>
      </c>
      <c r="M235" s="43" t="str">
        <f>IF(L235="Hold","Hold",IF(IFERROR(E235,0)&gt;=200,"High",IF(IFERROR(E235,0)&gt;=100,"Medium","Normal")))</f>
        <v>Hold</v>
      </c>
      <c r="N235" s="43" t="s">
        <v>90</v>
      </c>
      <c r="O235" s="43" t="s">
        <v>91</v>
      </c>
      <c r="P235" s="43" t="s">
        <v>92</v>
      </c>
      <c r="Q235" s="17" t="s">
        <v>93</v>
      </c>
      <c r="R235" s="45"/>
      <c r="S235" s="43"/>
      <c r="T235" s="43" t="s">
        <v>31</v>
      </c>
      <c r="U235" s="43" t="s">
        <v>94</v>
      </c>
      <c r="V235" s="43" t="s">
        <v>94</v>
      </c>
      <c r="W235" s="43" t="s">
        <v>95</v>
      </c>
      <c r="X235" s="45" t="str">
        <f>IF(AND(R235&lt;&gt;"",OR(U235="No reply",U235="Unknown")),R235+2,"")</f>
        <v/>
      </c>
      <c r="Y235" s="45"/>
      <c r="Z235" s="43" t="s">
        <v>96</v>
      </c>
      <c r="AA235" s="43" t="str">
        <f>IF(L235="Hold","Do not send",IF(T235="Not sent","Send WhatsApp",IF(U235="Demo booked","Prepare demo",IF(W235="Booked","Prepare demo",IF(AND(X235&lt;&gt;"",Y235=""),"Send follow-up","Review")))))</f>
        <v>Do not send</v>
      </c>
      <c r="AB235" s="43"/>
      <c r="AC235" s="43" t="s">
        <v>733</v>
      </c>
      <c r="AD235" s="43">
        <f>IF(AA235="Prepare demo",1,IF(AA235="Send follow-up",2,IF(AA235="Send WhatsApp",3,IF(AA235="Review",4,IF(AA235="Do not send",9,5)))))</f>
        <v>9</v>
      </c>
      <c r="AE235" s="43">
        <f>IF(M235="High",1,IF(M235="Medium",2,IF(M235="Normal",3,IF(M235="Hold",9,4))))</f>
        <v>9</v>
      </c>
      <c r="AF235" s="43">
        <f>IF(T235="Read",1,IF(T235="Delivered",2,IF(T235="Sent",3,IF(T235="Not sent",4,IF(T235="Failed",9,5)))))</f>
        <v>4</v>
      </c>
      <c r="AG235" s="43">
        <f>IF(U235="Demo booked",1,IF(U235="Interested",2,IF(U235="Replied",3,IF(U235="No reply",5,IF(U235="Not interested",8,IF(U235="Bad number",9,6))))))</f>
        <v>6</v>
      </c>
      <c r="AH235" s="46">
        <f>AD235*1000+AN235*100+AE235*10+AG235</f>
        <v>9596</v>
      </c>
      <c r="AI235" s="45">
        <f>MAX(IF(R235="",0,R235),IF(Y235="",0,Y235))</f>
        <v>0</v>
      </c>
      <c r="AJ235" s="43" t="str">
        <f ca="1">IF(AND(X235&lt;&gt;"",Y235="",X235&lt;TODAY()),"Overdue",IF(AND(X235&lt;&gt;"",Y235="",X235=TODAY()),"Due today",IF(Y235&lt;&gt;"","Follow-up sent","")))</f>
        <v/>
      </c>
      <c r="AK235" s="50" t="s">
        <v>734</v>
      </c>
      <c r="AL235" s="50" t="s">
        <v>735</v>
      </c>
      <c r="AM235" s="50" t="s">
        <v>736</v>
      </c>
      <c r="AN235" s="50">
        <v>5</v>
      </c>
      <c r="AO235" s="54" t="s">
        <v>1109</v>
      </c>
      <c r="AP235" s="57" t="s">
        <v>127</v>
      </c>
      <c r="AQ235" s="58"/>
      <c r="AR235" s="57"/>
    </row>
    <row r="236" spans="1:44" ht="54" customHeight="1" x14ac:dyDescent="0.25">
      <c r="A236" s="43" t="s">
        <v>1110</v>
      </c>
      <c r="B236" s="43" t="s">
        <v>790</v>
      </c>
      <c r="C236" s="43"/>
      <c r="D236" s="44" t="s">
        <v>1111</v>
      </c>
      <c r="E236" s="43"/>
      <c r="F236" s="43" t="s">
        <v>729</v>
      </c>
      <c r="G236" s="45"/>
      <c r="H236" s="45">
        <v>46161</v>
      </c>
      <c r="I236" s="43" t="s">
        <v>730</v>
      </c>
      <c r="J236" s="43" t="s">
        <v>731</v>
      </c>
      <c r="K236" s="43" t="str">
        <f>IF(LEN(D236)=10,"OK","Check")</f>
        <v>OK</v>
      </c>
      <c r="L236" s="43" t="s">
        <v>732</v>
      </c>
      <c r="M236" s="43" t="str">
        <f>IF(L236="Hold","Hold",IF(IFERROR(E236,0)&gt;=200,"High",IF(IFERROR(E236,0)&gt;=100,"Medium","Normal")))</f>
        <v>Hold</v>
      </c>
      <c r="N236" s="43" t="s">
        <v>90</v>
      </c>
      <c r="O236" s="43" t="s">
        <v>91</v>
      </c>
      <c r="P236" s="43" t="s">
        <v>92</v>
      </c>
      <c r="Q236" s="17" t="s">
        <v>93</v>
      </c>
      <c r="R236" s="45"/>
      <c r="S236" s="43"/>
      <c r="T236" s="43" t="s">
        <v>31</v>
      </c>
      <c r="U236" s="43" t="s">
        <v>94</v>
      </c>
      <c r="V236" s="43" t="s">
        <v>94</v>
      </c>
      <c r="W236" s="43" t="s">
        <v>95</v>
      </c>
      <c r="X236" s="45" t="str">
        <f>IF(AND(R236&lt;&gt;"",OR(U236="No reply",U236="Unknown")),R236+2,"")</f>
        <v/>
      </c>
      <c r="Y236" s="45"/>
      <c r="Z236" s="43" t="s">
        <v>96</v>
      </c>
      <c r="AA236" s="43" t="str">
        <f>IF(L236="Hold","Do not send",IF(T236="Not sent","Send WhatsApp",IF(U236="Demo booked","Prepare demo",IF(W236="Booked","Prepare demo",IF(AND(X236&lt;&gt;"",Y236=""),"Send follow-up","Review")))))</f>
        <v>Do not send</v>
      </c>
      <c r="AB236" s="43"/>
      <c r="AC236" s="43" t="s">
        <v>733</v>
      </c>
      <c r="AD236" s="43">
        <f>IF(AA236="Prepare demo",1,IF(AA236="Send follow-up",2,IF(AA236="Send WhatsApp",3,IF(AA236="Review",4,IF(AA236="Do not send",9,5)))))</f>
        <v>9</v>
      </c>
      <c r="AE236" s="43">
        <f>IF(M236="High",1,IF(M236="Medium",2,IF(M236="Normal",3,IF(M236="Hold",9,4))))</f>
        <v>9</v>
      </c>
      <c r="AF236" s="43">
        <f>IF(T236="Read",1,IF(T236="Delivered",2,IF(T236="Sent",3,IF(T236="Not sent",4,IF(T236="Failed",9,5)))))</f>
        <v>4</v>
      </c>
      <c r="AG236" s="43">
        <f>IF(U236="Demo booked",1,IF(U236="Interested",2,IF(U236="Replied",3,IF(U236="No reply",5,IF(U236="Not interested",8,IF(U236="Bad number",9,6))))))</f>
        <v>6</v>
      </c>
      <c r="AH236" s="46">
        <f>AD236*1000+AN236*100+AE236*10+AG236</f>
        <v>9596</v>
      </c>
      <c r="AI236" s="45">
        <f>MAX(IF(R236="",0,R236),IF(Y236="",0,Y236))</f>
        <v>0</v>
      </c>
      <c r="AJ236" s="43" t="str">
        <f ca="1">IF(AND(X236&lt;&gt;"",Y236="",X236&lt;TODAY()),"Overdue",IF(AND(X236&lt;&gt;"",Y236="",X236=TODAY()),"Due today",IF(Y236&lt;&gt;"","Follow-up sent","")))</f>
        <v/>
      </c>
      <c r="AK236" s="50" t="s">
        <v>734</v>
      </c>
      <c r="AL236" s="50" t="s">
        <v>735</v>
      </c>
      <c r="AM236" s="50" t="s">
        <v>736</v>
      </c>
      <c r="AN236" s="50">
        <v>5</v>
      </c>
      <c r="AO236" s="54" t="s">
        <v>1112</v>
      </c>
      <c r="AP236" s="57" t="s">
        <v>127</v>
      </c>
      <c r="AQ236" s="58"/>
      <c r="AR236" s="57"/>
    </row>
    <row r="237" spans="1:44" ht="54" customHeight="1" x14ac:dyDescent="0.25">
      <c r="A237" s="43" t="s">
        <v>1113</v>
      </c>
      <c r="B237" s="43" t="s">
        <v>790</v>
      </c>
      <c r="C237" s="43"/>
      <c r="D237" s="44" t="s">
        <v>1114</v>
      </c>
      <c r="E237" s="43"/>
      <c r="F237" s="43" t="s">
        <v>729</v>
      </c>
      <c r="G237" s="45"/>
      <c r="H237" s="45">
        <v>46161</v>
      </c>
      <c r="I237" s="43" t="s">
        <v>730</v>
      </c>
      <c r="J237" s="43" t="s">
        <v>731</v>
      </c>
      <c r="K237" s="43" t="str">
        <f>IF(LEN(D237)=10,"OK","Check")</f>
        <v>OK</v>
      </c>
      <c r="L237" s="43" t="s">
        <v>732</v>
      </c>
      <c r="M237" s="43" t="str">
        <f>IF(L237="Hold","Hold",IF(IFERROR(E237,0)&gt;=200,"High",IF(IFERROR(E237,0)&gt;=100,"Medium","Normal")))</f>
        <v>Hold</v>
      </c>
      <c r="N237" s="43" t="s">
        <v>90</v>
      </c>
      <c r="O237" s="43" t="s">
        <v>91</v>
      </c>
      <c r="P237" s="43" t="s">
        <v>92</v>
      </c>
      <c r="Q237" s="17" t="s">
        <v>93</v>
      </c>
      <c r="R237" s="45"/>
      <c r="S237" s="43"/>
      <c r="T237" s="43" t="s">
        <v>31</v>
      </c>
      <c r="U237" s="43" t="s">
        <v>94</v>
      </c>
      <c r="V237" s="43" t="s">
        <v>94</v>
      </c>
      <c r="W237" s="43" t="s">
        <v>95</v>
      </c>
      <c r="X237" s="45" t="str">
        <f>IF(AND(R237&lt;&gt;"",OR(U237="No reply",U237="Unknown")),R237+2,"")</f>
        <v/>
      </c>
      <c r="Y237" s="45"/>
      <c r="Z237" s="43" t="s">
        <v>96</v>
      </c>
      <c r="AA237" s="43" t="str">
        <f>IF(L237="Hold","Do not send",IF(T237="Not sent","Send WhatsApp",IF(U237="Demo booked","Prepare demo",IF(W237="Booked","Prepare demo",IF(AND(X237&lt;&gt;"",Y237=""),"Send follow-up","Review")))))</f>
        <v>Do not send</v>
      </c>
      <c r="AB237" s="43"/>
      <c r="AC237" s="43" t="s">
        <v>733</v>
      </c>
      <c r="AD237" s="43">
        <f>IF(AA237="Prepare demo",1,IF(AA237="Send follow-up",2,IF(AA237="Send WhatsApp",3,IF(AA237="Review",4,IF(AA237="Do not send",9,5)))))</f>
        <v>9</v>
      </c>
      <c r="AE237" s="43">
        <f>IF(M237="High",1,IF(M237="Medium",2,IF(M237="Normal",3,IF(M237="Hold",9,4))))</f>
        <v>9</v>
      </c>
      <c r="AF237" s="43">
        <f>IF(T237="Read",1,IF(T237="Delivered",2,IF(T237="Sent",3,IF(T237="Not sent",4,IF(T237="Failed",9,5)))))</f>
        <v>4</v>
      </c>
      <c r="AG237" s="43">
        <f>IF(U237="Demo booked",1,IF(U237="Interested",2,IF(U237="Replied",3,IF(U237="No reply",5,IF(U237="Not interested",8,IF(U237="Bad number",9,6))))))</f>
        <v>6</v>
      </c>
      <c r="AH237" s="46">
        <f>AD237*1000+AN237*100+AE237*10+AG237</f>
        <v>9596</v>
      </c>
      <c r="AI237" s="45">
        <f>MAX(IF(R237="",0,R237),IF(Y237="",0,Y237))</f>
        <v>0</v>
      </c>
      <c r="AJ237" s="43" t="str">
        <f ca="1">IF(AND(X237&lt;&gt;"",Y237="",X237&lt;TODAY()),"Overdue",IF(AND(X237&lt;&gt;"",Y237="",X237=TODAY()),"Due today",IF(Y237&lt;&gt;"","Follow-up sent","")))</f>
        <v/>
      </c>
      <c r="AK237" s="50" t="s">
        <v>734</v>
      </c>
      <c r="AL237" s="50" t="s">
        <v>735</v>
      </c>
      <c r="AM237" s="50" t="s">
        <v>736</v>
      </c>
      <c r="AN237" s="50">
        <v>5</v>
      </c>
      <c r="AO237" s="54" t="s">
        <v>1115</v>
      </c>
      <c r="AP237" s="57" t="s">
        <v>127</v>
      </c>
      <c r="AQ237" s="58"/>
      <c r="AR237" s="57"/>
    </row>
    <row r="238" spans="1:44" ht="54" customHeight="1" x14ac:dyDescent="0.25">
      <c r="A238" s="43" t="s">
        <v>1116</v>
      </c>
      <c r="B238" s="43" t="s">
        <v>790</v>
      </c>
      <c r="C238" s="43"/>
      <c r="D238" s="44" t="s">
        <v>1117</v>
      </c>
      <c r="E238" s="43"/>
      <c r="F238" s="43" t="s">
        <v>729</v>
      </c>
      <c r="G238" s="45"/>
      <c r="H238" s="45">
        <v>46161</v>
      </c>
      <c r="I238" s="43" t="s">
        <v>730</v>
      </c>
      <c r="J238" s="43" t="s">
        <v>731</v>
      </c>
      <c r="K238" s="43" t="str">
        <f>IF(LEN(D238)=10,"OK","Check")</f>
        <v>OK</v>
      </c>
      <c r="L238" s="43" t="s">
        <v>732</v>
      </c>
      <c r="M238" s="43" t="str">
        <f>IF(L238="Hold","Hold",IF(IFERROR(E238,0)&gt;=200,"High",IF(IFERROR(E238,0)&gt;=100,"Medium","Normal")))</f>
        <v>Hold</v>
      </c>
      <c r="N238" s="43" t="s">
        <v>90</v>
      </c>
      <c r="O238" s="43" t="s">
        <v>91</v>
      </c>
      <c r="P238" s="43" t="s">
        <v>92</v>
      </c>
      <c r="Q238" s="17" t="s">
        <v>93</v>
      </c>
      <c r="R238" s="45"/>
      <c r="S238" s="43"/>
      <c r="T238" s="43" t="s">
        <v>31</v>
      </c>
      <c r="U238" s="43" t="s">
        <v>94</v>
      </c>
      <c r="V238" s="43" t="s">
        <v>94</v>
      </c>
      <c r="W238" s="43" t="s">
        <v>95</v>
      </c>
      <c r="X238" s="45" t="str">
        <f>IF(AND(R238&lt;&gt;"",OR(U238="No reply",U238="Unknown")),R238+2,"")</f>
        <v/>
      </c>
      <c r="Y238" s="45"/>
      <c r="Z238" s="43" t="s">
        <v>96</v>
      </c>
      <c r="AA238" s="43" t="str">
        <f>IF(L238="Hold","Do not send",IF(T238="Not sent","Send WhatsApp",IF(U238="Demo booked","Prepare demo",IF(W238="Booked","Prepare demo",IF(AND(X238&lt;&gt;"",Y238=""),"Send follow-up","Review")))))</f>
        <v>Do not send</v>
      </c>
      <c r="AB238" s="43"/>
      <c r="AC238" s="43" t="s">
        <v>733</v>
      </c>
      <c r="AD238" s="43">
        <f>IF(AA238="Prepare demo",1,IF(AA238="Send follow-up",2,IF(AA238="Send WhatsApp",3,IF(AA238="Review",4,IF(AA238="Do not send",9,5)))))</f>
        <v>9</v>
      </c>
      <c r="AE238" s="43">
        <f>IF(M238="High",1,IF(M238="Medium",2,IF(M238="Normal",3,IF(M238="Hold",9,4))))</f>
        <v>9</v>
      </c>
      <c r="AF238" s="43">
        <f>IF(T238="Read",1,IF(T238="Delivered",2,IF(T238="Sent",3,IF(T238="Not sent",4,IF(T238="Failed",9,5)))))</f>
        <v>4</v>
      </c>
      <c r="AG238" s="43">
        <f>IF(U238="Demo booked",1,IF(U238="Interested",2,IF(U238="Replied",3,IF(U238="No reply",5,IF(U238="Not interested",8,IF(U238="Bad number",9,6))))))</f>
        <v>6</v>
      </c>
      <c r="AH238" s="46">
        <f>AD238*1000+AN238*100+AE238*10+AG238</f>
        <v>9596</v>
      </c>
      <c r="AI238" s="45">
        <f>MAX(IF(R238="",0,R238),IF(Y238="",0,Y238))</f>
        <v>0</v>
      </c>
      <c r="AJ238" s="43" t="str">
        <f ca="1">IF(AND(X238&lt;&gt;"",Y238="",X238&lt;TODAY()),"Overdue",IF(AND(X238&lt;&gt;"",Y238="",X238=TODAY()),"Due today",IF(Y238&lt;&gt;"","Follow-up sent","")))</f>
        <v/>
      </c>
      <c r="AK238" s="50" t="s">
        <v>734</v>
      </c>
      <c r="AL238" s="50" t="s">
        <v>735</v>
      </c>
      <c r="AM238" s="50" t="s">
        <v>736</v>
      </c>
      <c r="AN238" s="50">
        <v>5</v>
      </c>
      <c r="AO238" s="54" t="s">
        <v>1118</v>
      </c>
      <c r="AP238" s="57" t="s">
        <v>127</v>
      </c>
      <c r="AQ238" s="58"/>
      <c r="AR238" s="57"/>
    </row>
    <row r="239" spans="1:44" ht="54" customHeight="1" x14ac:dyDescent="0.25">
      <c r="A239" s="43" t="s">
        <v>1119</v>
      </c>
      <c r="B239" s="43" t="s">
        <v>790</v>
      </c>
      <c r="C239" s="43"/>
      <c r="D239" s="44" t="s">
        <v>1120</v>
      </c>
      <c r="E239" s="43"/>
      <c r="F239" s="43" t="s">
        <v>729</v>
      </c>
      <c r="G239" s="45"/>
      <c r="H239" s="45">
        <v>46161</v>
      </c>
      <c r="I239" s="43" t="s">
        <v>730</v>
      </c>
      <c r="J239" s="43" t="s">
        <v>731</v>
      </c>
      <c r="K239" s="43" t="str">
        <f>IF(LEN(D239)=10,"OK","Check")</f>
        <v>OK</v>
      </c>
      <c r="L239" s="43" t="s">
        <v>732</v>
      </c>
      <c r="M239" s="43" t="str">
        <f>IF(L239="Hold","Hold",IF(IFERROR(E239,0)&gt;=200,"High",IF(IFERROR(E239,0)&gt;=100,"Medium","Normal")))</f>
        <v>Hold</v>
      </c>
      <c r="N239" s="43" t="s">
        <v>90</v>
      </c>
      <c r="O239" s="43" t="s">
        <v>91</v>
      </c>
      <c r="P239" s="43" t="s">
        <v>92</v>
      </c>
      <c r="Q239" s="17" t="s">
        <v>93</v>
      </c>
      <c r="R239" s="45"/>
      <c r="S239" s="43"/>
      <c r="T239" s="43" t="s">
        <v>31</v>
      </c>
      <c r="U239" s="43" t="s">
        <v>94</v>
      </c>
      <c r="V239" s="43" t="s">
        <v>94</v>
      </c>
      <c r="W239" s="43" t="s">
        <v>95</v>
      </c>
      <c r="X239" s="45" t="str">
        <f>IF(AND(R239&lt;&gt;"",OR(U239="No reply",U239="Unknown")),R239+2,"")</f>
        <v/>
      </c>
      <c r="Y239" s="45"/>
      <c r="Z239" s="43" t="s">
        <v>96</v>
      </c>
      <c r="AA239" s="43" t="str">
        <f>IF(L239="Hold","Do not send",IF(T239="Not sent","Send WhatsApp",IF(U239="Demo booked","Prepare demo",IF(W239="Booked","Prepare demo",IF(AND(X239&lt;&gt;"",Y239=""),"Send follow-up","Review")))))</f>
        <v>Do not send</v>
      </c>
      <c r="AB239" s="43"/>
      <c r="AC239" s="43" t="s">
        <v>733</v>
      </c>
      <c r="AD239" s="43">
        <f>IF(AA239="Prepare demo",1,IF(AA239="Send follow-up",2,IF(AA239="Send WhatsApp",3,IF(AA239="Review",4,IF(AA239="Do not send",9,5)))))</f>
        <v>9</v>
      </c>
      <c r="AE239" s="43">
        <f>IF(M239="High",1,IF(M239="Medium",2,IF(M239="Normal",3,IF(M239="Hold",9,4))))</f>
        <v>9</v>
      </c>
      <c r="AF239" s="43">
        <f>IF(T239="Read",1,IF(T239="Delivered",2,IF(T239="Sent",3,IF(T239="Not sent",4,IF(T239="Failed",9,5)))))</f>
        <v>4</v>
      </c>
      <c r="AG239" s="43">
        <f>IF(U239="Demo booked",1,IF(U239="Interested",2,IF(U239="Replied",3,IF(U239="No reply",5,IF(U239="Not interested",8,IF(U239="Bad number",9,6))))))</f>
        <v>6</v>
      </c>
      <c r="AH239" s="46">
        <f>AD239*1000+AN239*100+AE239*10+AG239</f>
        <v>9596</v>
      </c>
      <c r="AI239" s="45">
        <f>MAX(IF(R239="",0,R239),IF(Y239="",0,Y239))</f>
        <v>0</v>
      </c>
      <c r="AJ239" s="43" t="str">
        <f ca="1">IF(AND(X239&lt;&gt;"",Y239="",X239&lt;TODAY()),"Overdue",IF(AND(X239&lt;&gt;"",Y239="",X239=TODAY()),"Due today",IF(Y239&lt;&gt;"","Follow-up sent","")))</f>
        <v/>
      </c>
      <c r="AK239" s="50" t="s">
        <v>734</v>
      </c>
      <c r="AL239" s="50" t="s">
        <v>735</v>
      </c>
      <c r="AM239" s="50" t="s">
        <v>736</v>
      </c>
      <c r="AN239" s="50">
        <v>5</v>
      </c>
      <c r="AO239" s="54" t="s">
        <v>1121</v>
      </c>
      <c r="AP239" s="57" t="s">
        <v>127</v>
      </c>
      <c r="AQ239" s="58"/>
      <c r="AR239" s="57"/>
    </row>
    <row r="240" spans="1:44" ht="54" customHeight="1" x14ac:dyDescent="0.25">
      <c r="A240" s="43" t="s">
        <v>1122</v>
      </c>
      <c r="B240" s="43" t="s">
        <v>790</v>
      </c>
      <c r="C240" s="43"/>
      <c r="D240" s="44" t="s">
        <v>1123</v>
      </c>
      <c r="E240" s="43"/>
      <c r="F240" s="43" t="s">
        <v>729</v>
      </c>
      <c r="G240" s="45"/>
      <c r="H240" s="45">
        <v>46161</v>
      </c>
      <c r="I240" s="43" t="s">
        <v>730</v>
      </c>
      <c r="J240" s="43" t="s">
        <v>731</v>
      </c>
      <c r="K240" s="43" t="str">
        <f>IF(LEN(D240)=10,"OK","Check")</f>
        <v>OK</v>
      </c>
      <c r="L240" s="43" t="s">
        <v>732</v>
      </c>
      <c r="M240" s="43" t="str">
        <f>IF(L240="Hold","Hold",IF(IFERROR(E240,0)&gt;=200,"High",IF(IFERROR(E240,0)&gt;=100,"Medium","Normal")))</f>
        <v>Hold</v>
      </c>
      <c r="N240" s="43" t="s">
        <v>90</v>
      </c>
      <c r="O240" s="43" t="s">
        <v>91</v>
      </c>
      <c r="P240" s="43" t="s">
        <v>92</v>
      </c>
      <c r="Q240" s="17" t="s">
        <v>93</v>
      </c>
      <c r="R240" s="45"/>
      <c r="S240" s="43"/>
      <c r="T240" s="43" t="s">
        <v>31</v>
      </c>
      <c r="U240" s="43" t="s">
        <v>94</v>
      </c>
      <c r="V240" s="43" t="s">
        <v>94</v>
      </c>
      <c r="W240" s="43" t="s">
        <v>95</v>
      </c>
      <c r="X240" s="45" t="str">
        <f>IF(AND(R240&lt;&gt;"",OR(U240="No reply",U240="Unknown")),R240+2,"")</f>
        <v/>
      </c>
      <c r="Y240" s="45"/>
      <c r="Z240" s="43" t="s">
        <v>96</v>
      </c>
      <c r="AA240" s="43" t="str">
        <f>IF(L240="Hold","Do not send",IF(T240="Not sent","Send WhatsApp",IF(U240="Demo booked","Prepare demo",IF(W240="Booked","Prepare demo",IF(AND(X240&lt;&gt;"",Y240=""),"Send follow-up","Review")))))</f>
        <v>Do not send</v>
      </c>
      <c r="AB240" s="43"/>
      <c r="AC240" s="43" t="s">
        <v>733</v>
      </c>
      <c r="AD240" s="43">
        <f>IF(AA240="Prepare demo",1,IF(AA240="Send follow-up",2,IF(AA240="Send WhatsApp",3,IF(AA240="Review",4,IF(AA240="Do not send",9,5)))))</f>
        <v>9</v>
      </c>
      <c r="AE240" s="43">
        <f>IF(M240="High",1,IF(M240="Medium",2,IF(M240="Normal",3,IF(M240="Hold",9,4))))</f>
        <v>9</v>
      </c>
      <c r="AF240" s="43">
        <f>IF(T240="Read",1,IF(T240="Delivered",2,IF(T240="Sent",3,IF(T240="Not sent",4,IF(T240="Failed",9,5)))))</f>
        <v>4</v>
      </c>
      <c r="AG240" s="43">
        <f>IF(U240="Demo booked",1,IF(U240="Interested",2,IF(U240="Replied",3,IF(U240="No reply",5,IF(U240="Not interested",8,IF(U240="Bad number",9,6))))))</f>
        <v>6</v>
      </c>
      <c r="AH240" s="46">
        <f>AD240*1000+AN240*100+AE240*10+AG240</f>
        <v>9596</v>
      </c>
      <c r="AI240" s="45">
        <f>MAX(IF(R240="",0,R240),IF(Y240="",0,Y240))</f>
        <v>0</v>
      </c>
      <c r="AJ240" s="43" t="str">
        <f ca="1">IF(AND(X240&lt;&gt;"",Y240="",X240&lt;TODAY()),"Overdue",IF(AND(X240&lt;&gt;"",Y240="",X240=TODAY()),"Due today",IF(Y240&lt;&gt;"","Follow-up sent","")))</f>
        <v/>
      </c>
      <c r="AK240" s="50" t="s">
        <v>734</v>
      </c>
      <c r="AL240" s="50" t="s">
        <v>735</v>
      </c>
      <c r="AM240" s="50" t="s">
        <v>736</v>
      </c>
      <c r="AN240" s="50">
        <v>5</v>
      </c>
      <c r="AO240" s="54" t="s">
        <v>1124</v>
      </c>
      <c r="AP240" s="57" t="s">
        <v>127</v>
      </c>
      <c r="AQ240" s="58"/>
      <c r="AR240" s="57"/>
    </row>
    <row r="241" spans="1:44" ht="54" customHeight="1" x14ac:dyDescent="0.25">
      <c r="A241" s="43" t="s">
        <v>1125</v>
      </c>
      <c r="B241" s="43" t="s">
        <v>790</v>
      </c>
      <c r="C241" s="43"/>
      <c r="D241" s="44" t="s">
        <v>1126</v>
      </c>
      <c r="E241" s="43"/>
      <c r="F241" s="43" t="s">
        <v>729</v>
      </c>
      <c r="G241" s="45"/>
      <c r="H241" s="45">
        <v>46161</v>
      </c>
      <c r="I241" s="43" t="s">
        <v>730</v>
      </c>
      <c r="J241" s="43" t="s">
        <v>731</v>
      </c>
      <c r="K241" s="43" t="str">
        <f>IF(LEN(D241)=10,"OK","Check")</f>
        <v>OK</v>
      </c>
      <c r="L241" s="43" t="s">
        <v>732</v>
      </c>
      <c r="M241" s="43" t="str">
        <f>IF(L241="Hold","Hold",IF(IFERROR(E241,0)&gt;=200,"High",IF(IFERROR(E241,0)&gt;=100,"Medium","Normal")))</f>
        <v>Hold</v>
      </c>
      <c r="N241" s="43" t="s">
        <v>90</v>
      </c>
      <c r="O241" s="43" t="s">
        <v>91</v>
      </c>
      <c r="P241" s="43" t="s">
        <v>92</v>
      </c>
      <c r="Q241" s="17" t="s">
        <v>93</v>
      </c>
      <c r="R241" s="45"/>
      <c r="S241" s="43"/>
      <c r="T241" s="43" t="s">
        <v>31</v>
      </c>
      <c r="U241" s="43" t="s">
        <v>94</v>
      </c>
      <c r="V241" s="43" t="s">
        <v>94</v>
      </c>
      <c r="W241" s="43" t="s">
        <v>95</v>
      </c>
      <c r="X241" s="45" t="str">
        <f>IF(AND(R241&lt;&gt;"",OR(U241="No reply",U241="Unknown")),R241+2,"")</f>
        <v/>
      </c>
      <c r="Y241" s="45"/>
      <c r="Z241" s="43" t="s">
        <v>96</v>
      </c>
      <c r="AA241" s="43" t="str">
        <f>IF(L241="Hold","Do not send",IF(T241="Not sent","Send WhatsApp",IF(U241="Demo booked","Prepare demo",IF(W241="Booked","Prepare demo",IF(AND(X241&lt;&gt;"",Y241=""),"Send follow-up","Review")))))</f>
        <v>Do not send</v>
      </c>
      <c r="AB241" s="43"/>
      <c r="AC241" s="43" t="s">
        <v>733</v>
      </c>
      <c r="AD241" s="43">
        <f>IF(AA241="Prepare demo",1,IF(AA241="Send follow-up",2,IF(AA241="Send WhatsApp",3,IF(AA241="Review",4,IF(AA241="Do not send",9,5)))))</f>
        <v>9</v>
      </c>
      <c r="AE241" s="43">
        <f>IF(M241="High",1,IF(M241="Medium",2,IF(M241="Normal",3,IF(M241="Hold",9,4))))</f>
        <v>9</v>
      </c>
      <c r="AF241" s="43">
        <f>IF(T241="Read",1,IF(T241="Delivered",2,IF(T241="Sent",3,IF(T241="Not sent",4,IF(T241="Failed",9,5)))))</f>
        <v>4</v>
      </c>
      <c r="AG241" s="43">
        <f>IF(U241="Demo booked",1,IF(U241="Interested",2,IF(U241="Replied",3,IF(U241="No reply",5,IF(U241="Not interested",8,IF(U241="Bad number",9,6))))))</f>
        <v>6</v>
      </c>
      <c r="AH241" s="46">
        <f>AD241*1000+AN241*100+AE241*10+AG241</f>
        <v>9596</v>
      </c>
      <c r="AI241" s="45">
        <f>MAX(IF(R241="",0,R241),IF(Y241="",0,Y241))</f>
        <v>0</v>
      </c>
      <c r="AJ241" s="43" t="str">
        <f ca="1">IF(AND(X241&lt;&gt;"",Y241="",X241&lt;TODAY()),"Overdue",IF(AND(X241&lt;&gt;"",Y241="",X241=TODAY()),"Due today",IF(Y241&lt;&gt;"","Follow-up sent","")))</f>
        <v/>
      </c>
      <c r="AK241" s="50" t="s">
        <v>734</v>
      </c>
      <c r="AL241" s="50" t="s">
        <v>735</v>
      </c>
      <c r="AM241" s="50" t="s">
        <v>736</v>
      </c>
      <c r="AN241" s="50">
        <v>5</v>
      </c>
      <c r="AO241" s="54" t="s">
        <v>1127</v>
      </c>
      <c r="AP241" s="57" t="s">
        <v>127</v>
      </c>
      <c r="AQ241" s="58"/>
      <c r="AR241" s="57"/>
    </row>
    <row r="242" spans="1:44" ht="54" customHeight="1" x14ac:dyDescent="0.25">
      <c r="A242" s="43" t="s">
        <v>1128</v>
      </c>
      <c r="B242" s="43" t="s">
        <v>1129</v>
      </c>
      <c r="C242" s="43" t="s">
        <v>1129</v>
      </c>
      <c r="D242" s="44" t="s">
        <v>1130</v>
      </c>
      <c r="E242" s="43"/>
      <c r="F242" s="43" t="s">
        <v>729</v>
      </c>
      <c r="G242" s="45"/>
      <c r="H242" s="45">
        <v>46161</v>
      </c>
      <c r="I242" s="43" t="s">
        <v>730</v>
      </c>
      <c r="J242" s="43" t="s">
        <v>731</v>
      </c>
      <c r="K242" s="43" t="str">
        <f>IF(LEN(D242)=10,"OK","Check")</f>
        <v>OK</v>
      </c>
      <c r="L242" s="43" t="s">
        <v>732</v>
      </c>
      <c r="M242" s="43" t="str">
        <f>IF(L242="Hold","Hold",IF(IFERROR(E242,0)&gt;=200,"High",IF(IFERROR(E242,0)&gt;=100,"Medium","Normal")))</f>
        <v>Hold</v>
      </c>
      <c r="N242" s="43" t="s">
        <v>90</v>
      </c>
      <c r="O242" s="43" t="s">
        <v>91</v>
      </c>
      <c r="P242" s="43" t="s">
        <v>92</v>
      </c>
      <c r="Q242" s="17" t="s">
        <v>93</v>
      </c>
      <c r="R242" s="45"/>
      <c r="S242" s="43"/>
      <c r="T242" s="43" t="s">
        <v>31</v>
      </c>
      <c r="U242" s="43" t="s">
        <v>94</v>
      </c>
      <c r="V242" s="43" t="s">
        <v>94</v>
      </c>
      <c r="W242" s="43" t="s">
        <v>95</v>
      </c>
      <c r="X242" s="45" t="str">
        <f>IF(AND(R242&lt;&gt;"",OR(U242="No reply",U242="Unknown")),R242+2,"")</f>
        <v/>
      </c>
      <c r="Y242" s="45"/>
      <c r="Z242" s="43" t="s">
        <v>96</v>
      </c>
      <c r="AA242" s="43" t="str">
        <f>IF(L242="Hold","Do not send",IF(T242="Not sent","Send WhatsApp",IF(U242="Demo booked","Prepare demo",IF(W242="Booked","Prepare demo",IF(AND(X242&lt;&gt;"",Y242=""),"Send follow-up","Review")))))</f>
        <v>Do not send</v>
      </c>
      <c r="AB242" s="43"/>
      <c r="AC242" s="43" t="s">
        <v>733</v>
      </c>
      <c r="AD242" s="43">
        <f>IF(AA242="Prepare demo",1,IF(AA242="Send follow-up",2,IF(AA242="Send WhatsApp",3,IF(AA242="Review",4,IF(AA242="Do not send",9,5)))))</f>
        <v>9</v>
      </c>
      <c r="AE242" s="43">
        <f>IF(M242="High",1,IF(M242="Medium",2,IF(M242="Normal",3,IF(M242="Hold",9,4))))</f>
        <v>9</v>
      </c>
      <c r="AF242" s="43">
        <f>IF(T242="Read",1,IF(T242="Delivered",2,IF(T242="Sent",3,IF(T242="Not sent",4,IF(T242="Failed",9,5)))))</f>
        <v>4</v>
      </c>
      <c r="AG242" s="43">
        <f>IF(U242="Demo booked",1,IF(U242="Interested",2,IF(U242="Replied",3,IF(U242="No reply",5,IF(U242="Not interested",8,IF(U242="Bad number",9,6))))))</f>
        <v>6</v>
      </c>
      <c r="AH242" s="46">
        <f>AD242*1000+AN242*100+AE242*10+AG242</f>
        <v>9596</v>
      </c>
      <c r="AI242" s="45">
        <f>MAX(IF(R242="",0,R242),IF(Y242="",0,Y242))</f>
        <v>0</v>
      </c>
      <c r="AJ242" s="43" t="str">
        <f ca="1">IF(AND(X242&lt;&gt;"",Y242="",X242&lt;TODAY()),"Overdue",IF(AND(X242&lt;&gt;"",Y242="",X242=TODAY()),"Due today",IF(Y242&lt;&gt;"","Follow-up sent","")))</f>
        <v/>
      </c>
      <c r="AK242" s="50" t="s">
        <v>734</v>
      </c>
      <c r="AL242" s="50" t="s">
        <v>735</v>
      </c>
      <c r="AM242" s="50" t="s">
        <v>736</v>
      </c>
      <c r="AN242" s="50">
        <v>5</v>
      </c>
      <c r="AO242" s="54" t="s">
        <v>1131</v>
      </c>
      <c r="AP242" s="57" t="s">
        <v>127</v>
      </c>
      <c r="AQ242" s="58"/>
      <c r="AR242" s="57"/>
    </row>
    <row r="243" spans="1:44" ht="54" customHeight="1" x14ac:dyDescent="0.25">
      <c r="A243" s="43" t="s">
        <v>1132</v>
      </c>
      <c r="B243" s="43" t="s">
        <v>790</v>
      </c>
      <c r="C243" s="43"/>
      <c r="D243" s="44" t="s">
        <v>1133</v>
      </c>
      <c r="E243" s="43"/>
      <c r="F243" s="43" t="s">
        <v>729</v>
      </c>
      <c r="G243" s="45"/>
      <c r="H243" s="45">
        <v>46161</v>
      </c>
      <c r="I243" s="43" t="s">
        <v>730</v>
      </c>
      <c r="J243" s="43" t="s">
        <v>731</v>
      </c>
      <c r="K243" s="43" t="str">
        <f>IF(LEN(D243)=10,"OK","Check")</f>
        <v>OK</v>
      </c>
      <c r="L243" s="43" t="s">
        <v>732</v>
      </c>
      <c r="M243" s="43" t="str">
        <f>IF(L243="Hold","Hold",IF(IFERROR(E243,0)&gt;=200,"High",IF(IFERROR(E243,0)&gt;=100,"Medium","Normal")))</f>
        <v>Hold</v>
      </c>
      <c r="N243" s="43" t="s">
        <v>90</v>
      </c>
      <c r="O243" s="43" t="s">
        <v>91</v>
      </c>
      <c r="P243" s="43" t="s">
        <v>92</v>
      </c>
      <c r="Q243" s="17" t="s">
        <v>93</v>
      </c>
      <c r="R243" s="45"/>
      <c r="S243" s="43"/>
      <c r="T243" s="43" t="s">
        <v>31</v>
      </c>
      <c r="U243" s="43" t="s">
        <v>94</v>
      </c>
      <c r="V243" s="43" t="s">
        <v>94</v>
      </c>
      <c r="W243" s="43" t="s">
        <v>95</v>
      </c>
      <c r="X243" s="45" t="str">
        <f>IF(AND(R243&lt;&gt;"",OR(U243="No reply",U243="Unknown")),R243+2,"")</f>
        <v/>
      </c>
      <c r="Y243" s="45"/>
      <c r="Z243" s="43" t="s">
        <v>96</v>
      </c>
      <c r="AA243" s="43" t="str">
        <f>IF(L243="Hold","Do not send",IF(T243="Not sent","Send WhatsApp",IF(U243="Demo booked","Prepare demo",IF(W243="Booked","Prepare demo",IF(AND(X243&lt;&gt;"",Y243=""),"Send follow-up","Review")))))</f>
        <v>Do not send</v>
      </c>
      <c r="AB243" s="43"/>
      <c r="AC243" s="43" t="s">
        <v>733</v>
      </c>
      <c r="AD243" s="43">
        <f>IF(AA243="Prepare demo",1,IF(AA243="Send follow-up",2,IF(AA243="Send WhatsApp",3,IF(AA243="Review",4,IF(AA243="Do not send",9,5)))))</f>
        <v>9</v>
      </c>
      <c r="AE243" s="43">
        <f>IF(M243="High",1,IF(M243="Medium",2,IF(M243="Normal",3,IF(M243="Hold",9,4))))</f>
        <v>9</v>
      </c>
      <c r="AF243" s="43">
        <f>IF(T243="Read",1,IF(T243="Delivered",2,IF(T243="Sent",3,IF(T243="Not sent",4,IF(T243="Failed",9,5)))))</f>
        <v>4</v>
      </c>
      <c r="AG243" s="43">
        <f>IF(U243="Demo booked",1,IF(U243="Interested",2,IF(U243="Replied",3,IF(U243="No reply",5,IF(U243="Not interested",8,IF(U243="Bad number",9,6))))))</f>
        <v>6</v>
      </c>
      <c r="AH243" s="46">
        <f>AD243*1000+AN243*100+AE243*10+AG243</f>
        <v>9596</v>
      </c>
      <c r="AI243" s="45">
        <f>MAX(IF(R243="",0,R243),IF(Y243="",0,Y243))</f>
        <v>0</v>
      </c>
      <c r="AJ243" s="43" t="str">
        <f ca="1">IF(AND(X243&lt;&gt;"",Y243="",X243&lt;TODAY()),"Overdue",IF(AND(X243&lt;&gt;"",Y243="",X243=TODAY()),"Due today",IF(Y243&lt;&gt;"","Follow-up sent","")))</f>
        <v/>
      </c>
      <c r="AK243" s="50" t="s">
        <v>734</v>
      </c>
      <c r="AL243" s="50" t="s">
        <v>735</v>
      </c>
      <c r="AM243" s="50" t="s">
        <v>736</v>
      </c>
      <c r="AN243" s="50">
        <v>5</v>
      </c>
      <c r="AO243" s="54" t="s">
        <v>1134</v>
      </c>
      <c r="AP243" s="57" t="s">
        <v>127</v>
      </c>
      <c r="AQ243" s="58"/>
      <c r="AR243" s="57"/>
    </row>
    <row r="244" spans="1:44" ht="54" customHeight="1" x14ac:dyDescent="0.25">
      <c r="A244" s="43" t="s">
        <v>1135</v>
      </c>
      <c r="B244" s="43" t="s">
        <v>790</v>
      </c>
      <c r="C244" s="43"/>
      <c r="D244" s="44" t="s">
        <v>1136</v>
      </c>
      <c r="E244" s="43"/>
      <c r="F244" s="43" t="s">
        <v>729</v>
      </c>
      <c r="G244" s="45"/>
      <c r="H244" s="45">
        <v>46161</v>
      </c>
      <c r="I244" s="43" t="s">
        <v>730</v>
      </c>
      <c r="J244" s="43" t="s">
        <v>731</v>
      </c>
      <c r="K244" s="43" t="str">
        <f>IF(LEN(D244)=10,"OK","Check")</f>
        <v>OK</v>
      </c>
      <c r="L244" s="43" t="s">
        <v>732</v>
      </c>
      <c r="M244" s="43" t="str">
        <f>IF(L244="Hold","Hold",IF(IFERROR(E244,0)&gt;=200,"High",IF(IFERROR(E244,0)&gt;=100,"Medium","Normal")))</f>
        <v>Hold</v>
      </c>
      <c r="N244" s="43" t="s">
        <v>90</v>
      </c>
      <c r="O244" s="43" t="s">
        <v>91</v>
      </c>
      <c r="P244" s="43" t="s">
        <v>92</v>
      </c>
      <c r="Q244" s="17" t="s">
        <v>93</v>
      </c>
      <c r="R244" s="45"/>
      <c r="S244" s="43"/>
      <c r="T244" s="43" t="s">
        <v>31</v>
      </c>
      <c r="U244" s="43" t="s">
        <v>94</v>
      </c>
      <c r="V244" s="43" t="s">
        <v>94</v>
      </c>
      <c r="W244" s="43" t="s">
        <v>95</v>
      </c>
      <c r="X244" s="45" t="str">
        <f>IF(AND(R244&lt;&gt;"",OR(U244="No reply",U244="Unknown")),R244+2,"")</f>
        <v/>
      </c>
      <c r="Y244" s="45"/>
      <c r="Z244" s="43" t="s">
        <v>96</v>
      </c>
      <c r="AA244" s="43" t="str">
        <f>IF(L244="Hold","Do not send",IF(T244="Not sent","Send WhatsApp",IF(U244="Demo booked","Prepare demo",IF(W244="Booked","Prepare demo",IF(AND(X244&lt;&gt;"",Y244=""),"Send follow-up","Review")))))</f>
        <v>Do not send</v>
      </c>
      <c r="AB244" s="43"/>
      <c r="AC244" s="43" t="s">
        <v>733</v>
      </c>
      <c r="AD244" s="43">
        <f>IF(AA244="Prepare demo",1,IF(AA244="Send follow-up",2,IF(AA244="Send WhatsApp",3,IF(AA244="Review",4,IF(AA244="Do not send",9,5)))))</f>
        <v>9</v>
      </c>
      <c r="AE244" s="43">
        <f>IF(M244="High",1,IF(M244="Medium",2,IF(M244="Normal",3,IF(M244="Hold",9,4))))</f>
        <v>9</v>
      </c>
      <c r="AF244" s="43">
        <f>IF(T244="Read",1,IF(T244="Delivered",2,IF(T244="Sent",3,IF(T244="Not sent",4,IF(T244="Failed",9,5)))))</f>
        <v>4</v>
      </c>
      <c r="AG244" s="43">
        <f>IF(U244="Demo booked",1,IF(U244="Interested",2,IF(U244="Replied",3,IF(U244="No reply",5,IF(U244="Not interested",8,IF(U244="Bad number",9,6))))))</f>
        <v>6</v>
      </c>
      <c r="AH244" s="46">
        <f>AD244*1000+AN244*100+AE244*10+AG244</f>
        <v>9596</v>
      </c>
      <c r="AI244" s="45">
        <f>MAX(IF(R244="",0,R244),IF(Y244="",0,Y244))</f>
        <v>0</v>
      </c>
      <c r="AJ244" s="43" t="str">
        <f ca="1">IF(AND(X244&lt;&gt;"",Y244="",X244&lt;TODAY()),"Overdue",IF(AND(X244&lt;&gt;"",Y244="",X244=TODAY()),"Due today",IF(Y244&lt;&gt;"","Follow-up sent","")))</f>
        <v/>
      </c>
      <c r="AK244" s="50" t="s">
        <v>734</v>
      </c>
      <c r="AL244" s="50" t="s">
        <v>735</v>
      </c>
      <c r="AM244" s="50" t="s">
        <v>736</v>
      </c>
      <c r="AN244" s="50">
        <v>5</v>
      </c>
      <c r="AO244" s="54" t="s">
        <v>1137</v>
      </c>
      <c r="AP244" s="57" t="s">
        <v>127</v>
      </c>
      <c r="AQ244" s="58"/>
      <c r="AR244" s="57"/>
    </row>
    <row r="245" spans="1:44" ht="54" customHeight="1" x14ac:dyDescent="0.25">
      <c r="A245" s="43" t="s">
        <v>1138</v>
      </c>
      <c r="B245" s="43" t="s">
        <v>790</v>
      </c>
      <c r="C245" s="43"/>
      <c r="D245" s="44" t="s">
        <v>1139</v>
      </c>
      <c r="E245" s="43"/>
      <c r="F245" s="43" t="s">
        <v>729</v>
      </c>
      <c r="G245" s="45"/>
      <c r="H245" s="45">
        <v>46161</v>
      </c>
      <c r="I245" s="43" t="s">
        <v>730</v>
      </c>
      <c r="J245" s="43" t="s">
        <v>731</v>
      </c>
      <c r="K245" s="43" t="str">
        <f>IF(LEN(D245)=10,"OK","Check")</f>
        <v>OK</v>
      </c>
      <c r="L245" s="43" t="s">
        <v>732</v>
      </c>
      <c r="M245" s="43" t="str">
        <f>IF(L245="Hold","Hold",IF(IFERROR(E245,0)&gt;=200,"High",IF(IFERROR(E245,0)&gt;=100,"Medium","Normal")))</f>
        <v>Hold</v>
      </c>
      <c r="N245" s="43" t="s">
        <v>90</v>
      </c>
      <c r="O245" s="43" t="s">
        <v>91</v>
      </c>
      <c r="P245" s="43" t="s">
        <v>92</v>
      </c>
      <c r="Q245" s="17" t="s">
        <v>93</v>
      </c>
      <c r="R245" s="45"/>
      <c r="S245" s="43"/>
      <c r="T245" s="43" t="s">
        <v>31</v>
      </c>
      <c r="U245" s="43" t="s">
        <v>94</v>
      </c>
      <c r="V245" s="43" t="s">
        <v>94</v>
      </c>
      <c r="W245" s="43" t="s">
        <v>95</v>
      </c>
      <c r="X245" s="45" t="str">
        <f>IF(AND(R245&lt;&gt;"",OR(U245="No reply",U245="Unknown")),R245+2,"")</f>
        <v/>
      </c>
      <c r="Y245" s="45"/>
      <c r="Z245" s="43" t="s">
        <v>96</v>
      </c>
      <c r="AA245" s="43" t="str">
        <f>IF(L245="Hold","Do not send",IF(T245="Not sent","Send WhatsApp",IF(U245="Demo booked","Prepare demo",IF(W245="Booked","Prepare demo",IF(AND(X245&lt;&gt;"",Y245=""),"Send follow-up","Review")))))</f>
        <v>Do not send</v>
      </c>
      <c r="AB245" s="43"/>
      <c r="AC245" s="43" t="s">
        <v>733</v>
      </c>
      <c r="AD245" s="43">
        <f>IF(AA245="Prepare demo",1,IF(AA245="Send follow-up",2,IF(AA245="Send WhatsApp",3,IF(AA245="Review",4,IF(AA245="Do not send",9,5)))))</f>
        <v>9</v>
      </c>
      <c r="AE245" s="43">
        <f>IF(M245="High",1,IF(M245="Medium",2,IF(M245="Normal",3,IF(M245="Hold",9,4))))</f>
        <v>9</v>
      </c>
      <c r="AF245" s="43">
        <f>IF(T245="Read",1,IF(T245="Delivered",2,IF(T245="Sent",3,IF(T245="Not sent",4,IF(T245="Failed",9,5)))))</f>
        <v>4</v>
      </c>
      <c r="AG245" s="43">
        <f>IF(U245="Demo booked",1,IF(U245="Interested",2,IF(U245="Replied",3,IF(U245="No reply",5,IF(U245="Not interested",8,IF(U245="Bad number",9,6))))))</f>
        <v>6</v>
      </c>
      <c r="AH245" s="46">
        <f>AD245*1000+AN245*100+AE245*10+AG245</f>
        <v>9596</v>
      </c>
      <c r="AI245" s="45">
        <f>MAX(IF(R245="",0,R245),IF(Y245="",0,Y245))</f>
        <v>0</v>
      </c>
      <c r="AJ245" s="43" t="str">
        <f ca="1">IF(AND(X245&lt;&gt;"",Y245="",X245&lt;TODAY()),"Overdue",IF(AND(X245&lt;&gt;"",Y245="",X245=TODAY()),"Due today",IF(Y245&lt;&gt;"","Follow-up sent","")))</f>
        <v/>
      </c>
      <c r="AK245" s="50" t="s">
        <v>734</v>
      </c>
      <c r="AL245" s="50" t="s">
        <v>735</v>
      </c>
      <c r="AM245" s="50" t="s">
        <v>736</v>
      </c>
      <c r="AN245" s="50">
        <v>5</v>
      </c>
      <c r="AO245" s="54" t="s">
        <v>1140</v>
      </c>
      <c r="AP245" s="57" t="s">
        <v>127</v>
      </c>
      <c r="AQ245" s="58"/>
      <c r="AR245" s="57"/>
    </row>
    <row r="246" spans="1:44" ht="54" customHeight="1" x14ac:dyDescent="0.25">
      <c r="A246" s="43" t="s">
        <v>1141</v>
      </c>
      <c r="B246" s="43" t="s">
        <v>790</v>
      </c>
      <c r="C246" s="43"/>
      <c r="D246" s="44" t="s">
        <v>1142</v>
      </c>
      <c r="E246" s="43"/>
      <c r="F246" s="43" t="s">
        <v>729</v>
      </c>
      <c r="G246" s="45"/>
      <c r="H246" s="45">
        <v>46161</v>
      </c>
      <c r="I246" s="43" t="s">
        <v>730</v>
      </c>
      <c r="J246" s="43" t="s">
        <v>731</v>
      </c>
      <c r="K246" s="43" t="str">
        <f>IF(LEN(D246)=10,"OK","Check")</f>
        <v>OK</v>
      </c>
      <c r="L246" s="43" t="s">
        <v>732</v>
      </c>
      <c r="M246" s="43" t="str">
        <f>IF(L246="Hold","Hold",IF(IFERROR(E246,0)&gt;=200,"High",IF(IFERROR(E246,0)&gt;=100,"Medium","Normal")))</f>
        <v>Hold</v>
      </c>
      <c r="N246" s="43" t="s">
        <v>90</v>
      </c>
      <c r="O246" s="43" t="s">
        <v>91</v>
      </c>
      <c r="P246" s="43" t="s">
        <v>92</v>
      </c>
      <c r="Q246" s="17" t="s">
        <v>93</v>
      </c>
      <c r="R246" s="45"/>
      <c r="S246" s="43"/>
      <c r="T246" s="43" t="s">
        <v>31</v>
      </c>
      <c r="U246" s="43" t="s">
        <v>94</v>
      </c>
      <c r="V246" s="43" t="s">
        <v>94</v>
      </c>
      <c r="W246" s="43" t="s">
        <v>95</v>
      </c>
      <c r="X246" s="45" t="str">
        <f>IF(AND(R246&lt;&gt;"",OR(U246="No reply",U246="Unknown")),R246+2,"")</f>
        <v/>
      </c>
      <c r="Y246" s="45"/>
      <c r="Z246" s="43" t="s">
        <v>96</v>
      </c>
      <c r="AA246" s="43" t="str">
        <f>IF(L246="Hold","Do not send",IF(T246="Not sent","Send WhatsApp",IF(U246="Demo booked","Prepare demo",IF(W246="Booked","Prepare demo",IF(AND(X246&lt;&gt;"",Y246=""),"Send follow-up","Review")))))</f>
        <v>Do not send</v>
      </c>
      <c r="AB246" s="43"/>
      <c r="AC246" s="43" t="s">
        <v>733</v>
      </c>
      <c r="AD246" s="43">
        <f>IF(AA246="Prepare demo",1,IF(AA246="Send follow-up",2,IF(AA246="Send WhatsApp",3,IF(AA246="Review",4,IF(AA246="Do not send",9,5)))))</f>
        <v>9</v>
      </c>
      <c r="AE246" s="43">
        <f>IF(M246="High",1,IF(M246="Medium",2,IF(M246="Normal",3,IF(M246="Hold",9,4))))</f>
        <v>9</v>
      </c>
      <c r="AF246" s="43">
        <f>IF(T246="Read",1,IF(T246="Delivered",2,IF(T246="Sent",3,IF(T246="Not sent",4,IF(T246="Failed",9,5)))))</f>
        <v>4</v>
      </c>
      <c r="AG246" s="43">
        <f>IF(U246="Demo booked",1,IF(U246="Interested",2,IF(U246="Replied",3,IF(U246="No reply",5,IF(U246="Not interested",8,IF(U246="Bad number",9,6))))))</f>
        <v>6</v>
      </c>
      <c r="AH246" s="46">
        <f>AD246*1000+AN246*100+AE246*10+AG246</f>
        <v>9596</v>
      </c>
      <c r="AI246" s="45">
        <f>MAX(IF(R246="",0,R246),IF(Y246="",0,Y246))</f>
        <v>0</v>
      </c>
      <c r="AJ246" s="43" t="str">
        <f ca="1">IF(AND(X246&lt;&gt;"",Y246="",X246&lt;TODAY()),"Overdue",IF(AND(X246&lt;&gt;"",Y246="",X246=TODAY()),"Due today",IF(Y246&lt;&gt;"","Follow-up sent","")))</f>
        <v/>
      </c>
      <c r="AK246" s="50" t="s">
        <v>734</v>
      </c>
      <c r="AL246" s="50" t="s">
        <v>735</v>
      </c>
      <c r="AM246" s="50" t="s">
        <v>736</v>
      </c>
      <c r="AN246" s="50">
        <v>5</v>
      </c>
      <c r="AO246" s="54" t="s">
        <v>1143</v>
      </c>
      <c r="AP246" s="57" t="s">
        <v>127</v>
      </c>
      <c r="AQ246" s="58"/>
      <c r="AR246" s="57"/>
    </row>
    <row r="247" spans="1:44" ht="54" customHeight="1" x14ac:dyDescent="0.25">
      <c r="A247" s="43" t="s">
        <v>1144</v>
      </c>
      <c r="B247" s="43" t="s">
        <v>790</v>
      </c>
      <c r="C247" s="43"/>
      <c r="D247" s="44" t="s">
        <v>1145</v>
      </c>
      <c r="E247" s="43"/>
      <c r="F247" s="43" t="s">
        <v>729</v>
      </c>
      <c r="G247" s="45"/>
      <c r="H247" s="45">
        <v>46161</v>
      </c>
      <c r="I247" s="43" t="s">
        <v>730</v>
      </c>
      <c r="J247" s="43" t="s">
        <v>731</v>
      </c>
      <c r="K247" s="43" t="str">
        <f>IF(LEN(D247)=10,"OK","Check")</f>
        <v>OK</v>
      </c>
      <c r="L247" s="43" t="s">
        <v>732</v>
      </c>
      <c r="M247" s="43" t="str">
        <f>IF(L247="Hold","Hold",IF(IFERROR(E247,0)&gt;=200,"High",IF(IFERROR(E247,0)&gt;=100,"Medium","Normal")))</f>
        <v>Hold</v>
      </c>
      <c r="N247" s="43" t="s">
        <v>90</v>
      </c>
      <c r="O247" s="43" t="s">
        <v>91</v>
      </c>
      <c r="P247" s="43" t="s">
        <v>92</v>
      </c>
      <c r="Q247" s="17" t="s">
        <v>93</v>
      </c>
      <c r="R247" s="45"/>
      <c r="S247" s="43"/>
      <c r="T247" s="43" t="s">
        <v>31</v>
      </c>
      <c r="U247" s="43" t="s">
        <v>94</v>
      </c>
      <c r="V247" s="43" t="s">
        <v>94</v>
      </c>
      <c r="W247" s="43" t="s">
        <v>95</v>
      </c>
      <c r="X247" s="45" t="str">
        <f>IF(AND(R247&lt;&gt;"",OR(U247="No reply",U247="Unknown")),R247+2,"")</f>
        <v/>
      </c>
      <c r="Y247" s="45"/>
      <c r="Z247" s="43" t="s">
        <v>96</v>
      </c>
      <c r="AA247" s="43" t="str">
        <f>IF(L247="Hold","Do not send",IF(T247="Not sent","Send WhatsApp",IF(U247="Demo booked","Prepare demo",IF(W247="Booked","Prepare demo",IF(AND(X247&lt;&gt;"",Y247=""),"Send follow-up","Review")))))</f>
        <v>Do not send</v>
      </c>
      <c r="AB247" s="43"/>
      <c r="AC247" s="43" t="s">
        <v>733</v>
      </c>
      <c r="AD247" s="43">
        <f>IF(AA247="Prepare demo",1,IF(AA247="Send follow-up",2,IF(AA247="Send WhatsApp",3,IF(AA247="Review",4,IF(AA247="Do not send",9,5)))))</f>
        <v>9</v>
      </c>
      <c r="AE247" s="43">
        <f>IF(M247="High",1,IF(M247="Medium",2,IF(M247="Normal",3,IF(M247="Hold",9,4))))</f>
        <v>9</v>
      </c>
      <c r="AF247" s="43">
        <f>IF(T247="Read",1,IF(T247="Delivered",2,IF(T247="Sent",3,IF(T247="Not sent",4,IF(T247="Failed",9,5)))))</f>
        <v>4</v>
      </c>
      <c r="AG247" s="43">
        <f>IF(U247="Demo booked",1,IF(U247="Interested",2,IF(U247="Replied",3,IF(U247="No reply",5,IF(U247="Not interested",8,IF(U247="Bad number",9,6))))))</f>
        <v>6</v>
      </c>
      <c r="AH247" s="46">
        <f>AD247*1000+AN247*100+AE247*10+AG247</f>
        <v>9596</v>
      </c>
      <c r="AI247" s="45">
        <f>MAX(IF(R247="",0,R247),IF(Y247="",0,Y247))</f>
        <v>0</v>
      </c>
      <c r="AJ247" s="43" t="str">
        <f ca="1">IF(AND(X247&lt;&gt;"",Y247="",X247&lt;TODAY()),"Overdue",IF(AND(X247&lt;&gt;"",Y247="",X247=TODAY()),"Due today",IF(Y247&lt;&gt;"","Follow-up sent","")))</f>
        <v/>
      </c>
      <c r="AK247" s="50" t="s">
        <v>734</v>
      </c>
      <c r="AL247" s="50" t="s">
        <v>735</v>
      </c>
      <c r="AM247" s="50" t="s">
        <v>736</v>
      </c>
      <c r="AN247" s="50">
        <v>5</v>
      </c>
      <c r="AO247" s="54" t="s">
        <v>1146</v>
      </c>
      <c r="AP247" s="57" t="s">
        <v>127</v>
      </c>
      <c r="AQ247" s="58"/>
      <c r="AR247" s="57"/>
    </row>
    <row r="248" spans="1:44" ht="54" customHeight="1" x14ac:dyDescent="0.25">
      <c r="A248" s="43" t="s">
        <v>1147</v>
      </c>
      <c r="B248" s="43" t="s">
        <v>790</v>
      </c>
      <c r="C248" s="43"/>
      <c r="D248" s="44" t="s">
        <v>1148</v>
      </c>
      <c r="E248" s="43"/>
      <c r="F248" s="43" t="s">
        <v>729</v>
      </c>
      <c r="G248" s="45"/>
      <c r="H248" s="45">
        <v>46161</v>
      </c>
      <c r="I248" s="43" t="s">
        <v>730</v>
      </c>
      <c r="J248" s="43" t="s">
        <v>731</v>
      </c>
      <c r="K248" s="43" t="str">
        <f>IF(LEN(D248)=10,"OK","Check")</f>
        <v>OK</v>
      </c>
      <c r="L248" s="43" t="s">
        <v>732</v>
      </c>
      <c r="M248" s="43" t="str">
        <f>IF(L248="Hold","Hold",IF(IFERROR(E248,0)&gt;=200,"High",IF(IFERROR(E248,0)&gt;=100,"Medium","Normal")))</f>
        <v>Hold</v>
      </c>
      <c r="N248" s="43" t="s">
        <v>90</v>
      </c>
      <c r="O248" s="43" t="s">
        <v>91</v>
      </c>
      <c r="P248" s="43" t="s">
        <v>92</v>
      </c>
      <c r="Q248" s="17" t="s">
        <v>93</v>
      </c>
      <c r="R248" s="45"/>
      <c r="S248" s="43"/>
      <c r="T248" s="43" t="s">
        <v>31</v>
      </c>
      <c r="U248" s="43" t="s">
        <v>94</v>
      </c>
      <c r="V248" s="43" t="s">
        <v>94</v>
      </c>
      <c r="W248" s="43" t="s">
        <v>95</v>
      </c>
      <c r="X248" s="45" t="str">
        <f>IF(AND(R248&lt;&gt;"",OR(U248="No reply",U248="Unknown")),R248+2,"")</f>
        <v/>
      </c>
      <c r="Y248" s="45"/>
      <c r="Z248" s="43" t="s">
        <v>96</v>
      </c>
      <c r="AA248" s="43" t="str">
        <f>IF(L248="Hold","Do not send",IF(T248="Not sent","Send WhatsApp",IF(U248="Demo booked","Prepare demo",IF(W248="Booked","Prepare demo",IF(AND(X248&lt;&gt;"",Y248=""),"Send follow-up","Review")))))</f>
        <v>Do not send</v>
      </c>
      <c r="AB248" s="43"/>
      <c r="AC248" s="43" t="s">
        <v>733</v>
      </c>
      <c r="AD248" s="43">
        <f>IF(AA248="Prepare demo",1,IF(AA248="Send follow-up",2,IF(AA248="Send WhatsApp",3,IF(AA248="Review",4,IF(AA248="Do not send",9,5)))))</f>
        <v>9</v>
      </c>
      <c r="AE248" s="43">
        <f>IF(M248="High",1,IF(M248="Medium",2,IF(M248="Normal",3,IF(M248="Hold",9,4))))</f>
        <v>9</v>
      </c>
      <c r="AF248" s="43">
        <f>IF(T248="Read",1,IF(T248="Delivered",2,IF(T248="Sent",3,IF(T248="Not sent",4,IF(T248="Failed",9,5)))))</f>
        <v>4</v>
      </c>
      <c r="AG248" s="43">
        <f>IF(U248="Demo booked",1,IF(U248="Interested",2,IF(U248="Replied",3,IF(U248="No reply",5,IF(U248="Not interested",8,IF(U248="Bad number",9,6))))))</f>
        <v>6</v>
      </c>
      <c r="AH248" s="46">
        <f>AD248*1000+AN248*100+AE248*10+AG248</f>
        <v>9596</v>
      </c>
      <c r="AI248" s="45">
        <f>MAX(IF(R248="",0,R248),IF(Y248="",0,Y248))</f>
        <v>0</v>
      </c>
      <c r="AJ248" s="43" t="str">
        <f ca="1">IF(AND(X248&lt;&gt;"",Y248="",X248&lt;TODAY()),"Overdue",IF(AND(X248&lt;&gt;"",Y248="",X248=TODAY()),"Due today",IF(Y248&lt;&gt;"","Follow-up sent","")))</f>
        <v/>
      </c>
      <c r="AK248" s="50" t="s">
        <v>734</v>
      </c>
      <c r="AL248" s="50" t="s">
        <v>735</v>
      </c>
      <c r="AM248" s="50" t="s">
        <v>736</v>
      </c>
      <c r="AN248" s="50">
        <v>5</v>
      </c>
      <c r="AO248" s="54" t="s">
        <v>1149</v>
      </c>
      <c r="AP248" s="57" t="s">
        <v>127</v>
      </c>
      <c r="AQ248" s="58"/>
      <c r="AR248" s="57"/>
    </row>
    <row r="249" spans="1:44" ht="54" customHeight="1" x14ac:dyDescent="0.25">
      <c r="A249" s="43" t="s">
        <v>1150</v>
      </c>
      <c r="B249" s="43" t="s">
        <v>790</v>
      </c>
      <c r="C249" s="43"/>
      <c r="D249" s="44" t="s">
        <v>1151</v>
      </c>
      <c r="E249" s="43"/>
      <c r="F249" s="43" t="s">
        <v>729</v>
      </c>
      <c r="G249" s="45"/>
      <c r="H249" s="45">
        <v>46161</v>
      </c>
      <c r="I249" s="43" t="s">
        <v>730</v>
      </c>
      <c r="J249" s="43" t="s">
        <v>731</v>
      </c>
      <c r="K249" s="43" t="str">
        <f>IF(LEN(D249)=10,"OK","Check")</f>
        <v>OK</v>
      </c>
      <c r="L249" s="43" t="s">
        <v>732</v>
      </c>
      <c r="M249" s="43" t="str">
        <f>IF(L249="Hold","Hold",IF(IFERROR(E249,0)&gt;=200,"High",IF(IFERROR(E249,0)&gt;=100,"Medium","Normal")))</f>
        <v>Hold</v>
      </c>
      <c r="N249" s="43" t="s">
        <v>90</v>
      </c>
      <c r="O249" s="43" t="s">
        <v>91</v>
      </c>
      <c r="P249" s="43" t="s">
        <v>92</v>
      </c>
      <c r="Q249" s="17" t="s">
        <v>93</v>
      </c>
      <c r="R249" s="45"/>
      <c r="S249" s="43"/>
      <c r="T249" s="43" t="s">
        <v>31</v>
      </c>
      <c r="U249" s="43" t="s">
        <v>94</v>
      </c>
      <c r="V249" s="43" t="s">
        <v>94</v>
      </c>
      <c r="W249" s="43" t="s">
        <v>95</v>
      </c>
      <c r="X249" s="45" t="str">
        <f>IF(AND(R249&lt;&gt;"",OR(U249="No reply",U249="Unknown")),R249+2,"")</f>
        <v/>
      </c>
      <c r="Y249" s="45"/>
      <c r="Z249" s="43" t="s">
        <v>96</v>
      </c>
      <c r="AA249" s="43" t="str">
        <f>IF(L249="Hold","Do not send",IF(T249="Not sent","Send WhatsApp",IF(U249="Demo booked","Prepare demo",IF(W249="Booked","Prepare demo",IF(AND(X249&lt;&gt;"",Y249=""),"Send follow-up","Review")))))</f>
        <v>Do not send</v>
      </c>
      <c r="AB249" s="43"/>
      <c r="AC249" s="43" t="s">
        <v>733</v>
      </c>
      <c r="AD249" s="43">
        <f>IF(AA249="Prepare demo",1,IF(AA249="Send follow-up",2,IF(AA249="Send WhatsApp",3,IF(AA249="Review",4,IF(AA249="Do not send",9,5)))))</f>
        <v>9</v>
      </c>
      <c r="AE249" s="43">
        <f>IF(M249="High",1,IF(M249="Medium",2,IF(M249="Normal",3,IF(M249="Hold",9,4))))</f>
        <v>9</v>
      </c>
      <c r="AF249" s="43">
        <f>IF(T249="Read",1,IF(T249="Delivered",2,IF(T249="Sent",3,IF(T249="Not sent",4,IF(T249="Failed",9,5)))))</f>
        <v>4</v>
      </c>
      <c r="AG249" s="43">
        <f>IF(U249="Demo booked",1,IF(U249="Interested",2,IF(U249="Replied",3,IF(U249="No reply",5,IF(U249="Not interested",8,IF(U249="Bad number",9,6))))))</f>
        <v>6</v>
      </c>
      <c r="AH249" s="46">
        <f>AD249*1000+AN249*100+AE249*10+AG249</f>
        <v>9596</v>
      </c>
      <c r="AI249" s="45">
        <f>MAX(IF(R249="",0,R249),IF(Y249="",0,Y249))</f>
        <v>0</v>
      </c>
      <c r="AJ249" s="43" t="str">
        <f ca="1">IF(AND(X249&lt;&gt;"",Y249="",X249&lt;TODAY()),"Overdue",IF(AND(X249&lt;&gt;"",Y249="",X249=TODAY()),"Due today",IF(Y249&lt;&gt;"","Follow-up sent","")))</f>
        <v/>
      </c>
      <c r="AK249" s="50" t="s">
        <v>734</v>
      </c>
      <c r="AL249" s="50" t="s">
        <v>735</v>
      </c>
      <c r="AM249" s="50" t="s">
        <v>736</v>
      </c>
      <c r="AN249" s="50">
        <v>5</v>
      </c>
      <c r="AO249" s="54" t="s">
        <v>1152</v>
      </c>
      <c r="AP249" s="57" t="s">
        <v>127</v>
      </c>
      <c r="AQ249" s="58"/>
      <c r="AR249" s="57"/>
    </row>
    <row r="250" spans="1:44" ht="54" customHeight="1" x14ac:dyDescent="0.25">
      <c r="A250" s="43" t="s">
        <v>1153</v>
      </c>
      <c r="B250" s="43" t="s">
        <v>790</v>
      </c>
      <c r="C250" s="43"/>
      <c r="D250" s="44" t="s">
        <v>1154</v>
      </c>
      <c r="E250" s="43"/>
      <c r="F250" s="43" t="s">
        <v>729</v>
      </c>
      <c r="G250" s="45"/>
      <c r="H250" s="45">
        <v>46161</v>
      </c>
      <c r="I250" s="43" t="s">
        <v>730</v>
      </c>
      <c r="J250" s="43" t="s">
        <v>731</v>
      </c>
      <c r="K250" s="43" t="str">
        <f>IF(LEN(D250)=10,"OK","Check")</f>
        <v>OK</v>
      </c>
      <c r="L250" s="43" t="s">
        <v>732</v>
      </c>
      <c r="M250" s="43" t="str">
        <f>IF(L250="Hold","Hold",IF(IFERROR(E250,0)&gt;=200,"High",IF(IFERROR(E250,0)&gt;=100,"Medium","Normal")))</f>
        <v>Hold</v>
      </c>
      <c r="N250" s="43" t="s">
        <v>90</v>
      </c>
      <c r="O250" s="43" t="s">
        <v>91</v>
      </c>
      <c r="P250" s="43" t="s">
        <v>92</v>
      </c>
      <c r="Q250" s="17" t="s">
        <v>93</v>
      </c>
      <c r="R250" s="45"/>
      <c r="S250" s="43"/>
      <c r="T250" s="43" t="s">
        <v>31</v>
      </c>
      <c r="U250" s="43" t="s">
        <v>94</v>
      </c>
      <c r="V250" s="43" t="s">
        <v>94</v>
      </c>
      <c r="W250" s="43" t="s">
        <v>95</v>
      </c>
      <c r="X250" s="45" t="str">
        <f>IF(AND(R250&lt;&gt;"",OR(U250="No reply",U250="Unknown")),R250+2,"")</f>
        <v/>
      </c>
      <c r="Y250" s="45"/>
      <c r="Z250" s="43" t="s">
        <v>96</v>
      </c>
      <c r="AA250" s="43" t="str">
        <f>IF(L250="Hold","Do not send",IF(T250="Not sent","Send WhatsApp",IF(U250="Demo booked","Prepare demo",IF(W250="Booked","Prepare demo",IF(AND(X250&lt;&gt;"",Y250=""),"Send follow-up","Review")))))</f>
        <v>Do not send</v>
      </c>
      <c r="AB250" s="43"/>
      <c r="AC250" s="43" t="s">
        <v>733</v>
      </c>
      <c r="AD250" s="43">
        <f>IF(AA250="Prepare demo",1,IF(AA250="Send follow-up",2,IF(AA250="Send WhatsApp",3,IF(AA250="Review",4,IF(AA250="Do not send",9,5)))))</f>
        <v>9</v>
      </c>
      <c r="AE250" s="43">
        <f>IF(M250="High",1,IF(M250="Medium",2,IF(M250="Normal",3,IF(M250="Hold",9,4))))</f>
        <v>9</v>
      </c>
      <c r="AF250" s="43">
        <f>IF(T250="Read",1,IF(T250="Delivered",2,IF(T250="Sent",3,IF(T250="Not sent",4,IF(T250="Failed",9,5)))))</f>
        <v>4</v>
      </c>
      <c r="AG250" s="43">
        <f>IF(U250="Demo booked",1,IF(U250="Interested",2,IF(U250="Replied",3,IF(U250="No reply",5,IF(U250="Not interested",8,IF(U250="Bad number",9,6))))))</f>
        <v>6</v>
      </c>
      <c r="AH250" s="46">
        <f>AD250*1000+AN250*100+AE250*10+AG250</f>
        <v>9596</v>
      </c>
      <c r="AI250" s="45">
        <f>MAX(IF(R250="",0,R250),IF(Y250="",0,Y250))</f>
        <v>0</v>
      </c>
      <c r="AJ250" s="43" t="str">
        <f ca="1">IF(AND(X250&lt;&gt;"",Y250="",X250&lt;TODAY()),"Overdue",IF(AND(X250&lt;&gt;"",Y250="",X250=TODAY()),"Due today",IF(Y250&lt;&gt;"","Follow-up sent","")))</f>
        <v/>
      </c>
      <c r="AK250" s="50" t="s">
        <v>734</v>
      </c>
      <c r="AL250" s="50" t="s">
        <v>735</v>
      </c>
      <c r="AM250" s="50" t="s">
        <v>736</v>
      </c>
      <c r="AN250" s="50">
        <v>5</v>
      </c>
      <c r="AO250" s="54" t="s">
        <v>1155</v>
      </c>
      <c r="AP250" s="57" t="s">
        <v>127</v>
      </c>
      <c r="AQ250" s="58"/>
      <c r="AR250" s="57"/>
    </row>
    <row r="251" spans="1:44" ht="54" customHeight="1" x14ac:dyDescent="0.25">
      <c r="A251" s="43" t="s">
        <v>1156</v>
      </c>
      <c r="B251" s="43" t="s">
        <v>790</v>
      </c>
      <c r="C251" s="43"/>
      <c r="D251" s="44" t="s">
        <v>1157</v>
      </c>
      <c r="E251" s="43"/>
      <c r="F251" s="43" t="s">
        <v>729</v>
      </c>
      <c r="G251" s="45"/>
      <c r="H251" s="45">
        <v>46161</v>
      </c>
      <c r="I251" s="43" t="s">
        <v>730</v>
      </c>
      <c r="J251" s="43" t="s">
        <v>731</v>
      </c>
      <c r="K251" s="43" t="str">
        <f>IF(LEN(D251)=10,"OK","Check")</f>
        <v>OK</v>
      </c>
      <c r="L251" s="43" t="s">
        <v>732</v>
      </c>
      <c r="M251" s="43" t="str">
        <f>IF(L251="Hold","Hold",IF(IFERROR(E251,0)&gt;=200,"High",IF(IFERROR(E251,0)&gt;=100,"Medium","Normal")))</f>
        <v>Hold</v>
      </c>
      <c r="N251" s="43" t="s">
        <v>90</v>
      </c>
      <c r="O251" s="43" t="s">
        <v>91</v>
      </c>
      <c r="P251" s="43" t="s">
        <v>92</v>
      </c>
      <c r="Q251" s="17" t="s">
        <v>93</v>
      </c>
      <c r="R251" s="45"/>
      <c r="S251" s="43"/>
      <c r="T251" s="43" t="s">
        <v>31</v>
      </c>
      <c r="U251" s="43" t="s">
        <v>94</v>
      </c>
      <c r="V251" s="43" t="s">
        <v>94</v>
      </c>
      <c r="W251" s="43" t="s">
        <v>95</v>
      </c>
      <c r="X251" s="45" t="str">
        <f>IF(AND(R251&lt;&gt;"",OR(U251="No reply",U251="Unknown")),R251+2,"")</f>
        <v/>
      </c>
      <c r="Y251" s="45"/>
      <c r="Z251" s="43" t="s">
        <v>96</v>
      </c>
      <c r="AA251" s="43" t="str">
        <f>IF(L251="Hold","Do not send",IF(T251="Not sent","Send WhatsApp",IF(U251="Demo booked","Prepare demo",IF(W251="Booked","Prepare demo",IF(AND(X251&lt;&gt;"",Y251=""),"Send follow-up","Review")))))</f>
        <v>Do not send</v>
      </c>
      <c r="AB251" s="43"/>
      <c r="AC251" s="43" t="s">
        <v>733</v>
      </c>
      <c r="AD251" s="43">
        <f>IF(AA251="Prepare demo",1,IF(AA251="Send follow-up",2,IF(AA251="Send WhatsApp",3,IF(AA251="Review",4,IF(AA251="Do not send",9,5)))))</f>
        <v>9</v>
      </c>
      <c r="AE251" s="43">
        <f>IF(M251="High",1,IF(M251="Medium",2,IF(M251="Normal",3,IF(M251="Hold",9,4))))</f>
        <v>9</v>
      </c>
      <c r="AF251" s="43">
        <f>IF(T251="Read",1,IF(T251="Delivered",2,IF(T251="Sent",3,IF(T251="Not sent",4,IF(T251="Failed",9,5)))))</f>
        <v>4</v>
      </c>
      <c r="AG251" s="43">
        <f>IF(U251="Demo booked",1,IF(U251="Interested",2,IF(U251="Replied",3,IF(U251="No reply",5,IF(U251="Not interested",8,IF(U251="Bad number",9,6))))))</f>
        <v>6</v>
      </c>
      <c r="AH251" s="46">
        <f>AD251*1000+AN251*100+AE251*10+AG251</f>
        <v>9596</v>
      </c>
      <c r="AI251" s="45">
        <f>MAX(IF(R251="",0,R251),IF(Y251="",0,Y251))</f>
        <v>0</v>
      </c>
      <c r="AJ251" s="43" t="str">
        <f ca="1">IF(AND(X251&lt;&gt;"",Y251="",X251&lt;TODAY()),"Overdue",IF(AND(X251&lt;&gt;"",Y251="",X251=TODAY()),"Due today",IF(Y251&lt;&gt;"","Follow-up sent","")))</f>
        <v/>
      </c>
      <c r="AK251" s="50" t="s">
        <v>734</v>
      </c>
      <c r="AL251" s="50" t="s">
        <v>735</v>
      </c>
      <c r="AM251" s="50" t="s">
        <v>736</v>
      </c>
      <c r="AN251" s="50">
        <v>5</v>
      </c>
      <c r="AO251" s="54" t="s">
        <v>1158</v>
      </c>
      <c r="AP251" s="57" t="s">
        <v>127</v>
      </c>
      <c r="AQ251" s="58"/>
      <c r="AR251" s="57"/>
    </row>
    <row r="252" spans="1:44" ht="54" customHeight="1" x14ac:dyDescent="0.25">
      <c r="A252" s="43" t="s">
        <v>1159</v>
      </c>
      <c r="B252" s="43" t="s">
        <v>790</v>
      </c>
      <c r="C252" s="43"/>
      <c r="D252" s="44" t="s">
        <v>1160</v>
      </c>
      <c r="E252" s="43"/>
      <c r="F252" s="43" t="s">
        <v>729</v>
      </c>
      <c r="G252" s="45"/>
      <c r="H252" s="45">
        <v>46161</v>
      </c>
      <c r="I252" s="43" t="s">
        <v>730</v>
      </c>
      <c r="J252" s="43" t="s">
        <v>731</v>
      </c>
      <c r="K252" s="43" t="str">
        <f>IF(LEN(D252)=10,"OK","Check")</f>
        <v>OK</v>
      </c>
      <c r="L252" s="43" t="s">
        <v>732</v>
      </c>
      <c r="M252" s="43" t="str">
        <f>IF(L252="Hold","Hold",IF(IFERROR(E252,0)&gt;=200,"High",IF(IFERROR(E252,0)&gt;=100,"Medium","Normal")))</f>
        <v>Hold</v>
      </c>
      <c r="N252" s="43" t="s">
        <v>90</v>
      </c>
      <c r="O252" s="43" t="s">
        <v>91</v>
      </c>
      <c r="P252" s="43" t="s">
        <v>92</v>
      </c>
      <c r="Q252" s="17" t="s">
        <v>93</v>
      </c>
      <c r="R252" s="45"/>
      <c r="S252" s="43"/>
      <c r="T252" s="43" t="s">
        <v>31</v>
      </c>
      <c r="U252" s="43" t="s">
        <v>94</v>
      </c>
      <c r="V252" s="43" t="s">
        <v>94</v>
      </c>
      <c r="W252" s="43" t="s">
        <v>95</v>
      </c>
      <c r="X252" s="45" t="str">
        <f>IF(AND(R252&lt;&gt;"",OR(U252="No reply",U252="Unknown")),R252+2,"")</f>
        <v/>
      </c>
      <c r="Y252" s="45"/>
      <c r="Z252" s="43" t="s">
        <v>96</v>
      </c>
      <c r="AA252" s="43" t="str">
        <f>IF(L252="Hold","Do not send",IF(T252="Not sent","Send WhatsApp",IF(U252="Demo booked","Prepare demo",IF(W252="Booked","Prepare demo",IF(AND(X252&lt;&gt;"",Y252=""),"Send follow-up","Review")))))</f>
        <v>Do not send</v>
      </c>
      <c r="AB252" s="43"/>
      <c r="AC252" s="43" t="s">
        <v>733</v>
      </c>
      <c r="AD252" s="43">
        <f>IF(AA252="Prepare demo",1,IF(AA252="Send follow-up",2,IF(AA252="Send WhatsApp",3,IF(AA252="Review",4,IF(AA252="Do not send",9,5)))))</f>
        <v>9</v>
      </c>
      <c r="AE252" s="43">
        <f>IF(M252="High",1,IF(M252="Medium",2,IF(M252="Normal",3,IF(M252="Hold",9,4))))</f>
        <v>9</v>
      </c>
      <c r="AF252" s="43">
        <f>IF(T252="Read",1,IF(T252="Delivered",2,IF(T252="Sent",3,IF(T252="Not sent",4,IF(T252="Failed",9,5)))))</f>
        <v>4</v>
      </c>
      <c r="AG252" s="43">
        <f>IF(U252="Demo booked",1,IF(U252="Interested",2,IF(U252="Replied",3,IF(U252="No reply",5,IF(U252="Not interested",8,IF(U252="Bad number",9,6))))))</f>
        <v>6</v>
      </c>
      <c r="AH252" s="46">
        <f>AD252*1000+AN252*100+AE252*10+AG252</f>
        <v>9596</v>
      </c>
      <c r="AI252" s="45">
        <f>MAX(IF(R252="",0,R252),IF(Y252="",0,Y252))</f>
        <v>0</v>
      </c>
      <c r="AJ252" s="43" t="str">
        <f ca="1">IF(AND(X252&lt;&gt;"",Y252="",X252&lt;TODAY()),"Overdue",IF(AND(X252&lt;&gt;"",Y252="",X252=TODAY()),"Due today",IF(Y252&lt;&gt;"","Follow-up sent","")))</f>
        <v/>
      </c>
      <c r="AK252" s="50" t="s">
        <v>734</v>
      </c>
      <c r="AL252" s="50" t="s">
        <v>735</v>
      </c>
      <c r="AM252" s="50" t="s">
        <v>736</v>
      </c>
      <c r="AN252" s="50">
        <v>5</v>
      </c>
      <c r="AO252" s="54" t="s">
        <v>1161</v>
      </c>
      <c r="AP252" s="57" t="s">
        <v>127</v>
      </c>
      <c r="AQ252" s="58"/>
      <c r="AR252" s="57"/>
    </row>
    <row r="253" spans="1:44" ht="54" customHeight="1" x14ac:dyDescent="0.25">
      <c r="A253" s="43" t="s">
        <v>1162</v>
      </c>
      <c r="B253" s="43" t="s">
        <v>790</v>
      </c>
      <c r="C253" s="43"/>
      <c r="D253" s="44" t="s">
        <v>1163</v>
      </c>
      <c r="E253" s="43"/>
      <c r="F253" s="43" t="s">
        <v>729</v>
      </c>
      <c r="G253" s="45"/>
      <c r="H253" s="45">
        <v>46161</v>
      </c>
      <c r="I253" s="43" t="s">
        <v>730</v>
      </c>
      <c r="J253" s="43" t="s">
        <v>731</v>
      </c>
      <c r="K253" s="43" t="str">
        <f>IF(LEN(D253)=10,"OK","Check")</f>
        <v>OK</v>
      </c>
      <c r="L253" s="43" t="s">
        <v>732</v>
      </c>
      <c r="M253" s="43" t="str">
        <f>IF(L253="Hold","Hold",IF(IFERROR(E253,0)&gt;=200,"High",IF(IFERROR(E253,0)&gt;=100,"Medium","Normal")))</f>
        <v>Hold</v>
      </c>
      <c r="N253" s="43" t="s">
        <v>90</v>
      </c>
      <c r="O253" s="43" t="s">
        <v>91</v>
      </c>
      <c r="P253" s="43" t="s">
        <v>92</v>
      </c>
      <c r="Q253" s="17" t="s">
        <v>93</v>
      </c>
      <c r="R253" s="45"/>
      <c r="S253" s="43"/>
      <c r="T253" s="43" t="s">
        <v>31</v>
      </c>
      <c r="U253" s="43" t="s">
        <v>94</v>
      </c>
      <c r="V253" s="43" t="s">
        <v>94</v>
      </c>
      <c r="W253" s="43" t="s">
        <v>95</v>
      </c>
      <c r="X253" s="45" t="str">
        <f>IF(AND(R253&lt;&gt;"",OR(U253="No reply",U253="Unknown")),R253+2,"")</f>
        <v/>
      </c>
      <c r="Y253" s="45"/>
      <c r="Z253" s="43" t="s">
        <v>96</v>
      </c>
      <c r="AA253" s="43" t="str">
        <f>IF(L253="Hold","Do not send",IF(T253="Not sent","Send WhatsApp",IF(U253="Demo booked","Prepare demo",IF(W253="Booked","Prepare demo",IF(AND(X253&lt;&gt;"",Y253=""),"Send follow-up","Review")))))</f>
        <v>Do not send</v>
      </c>
      <c r="AB253" s="43"/>
      <c r="AC253" s="43" t="s">
        <v>733</v>
      </c>
      <c r="AD253" s="43">
        <f>IF(AA253="Prepare demo",1,IF(AA253="Send follow-up",2,IF(AA253="Send WhatsApp",3,IF(AA253="Review",4,IF(AA253="Do not send",9,5)))))</f>
        <v>9</v>
      </c>
      <c r="AE253" s="43">
        <f>IF(M253="High",1,IF(M253="Medium",2,IF(M253="Normal",3,IF(M253="Hold",9,4))))</f>
        <v>9</v>
      </c>
      <c r="AF253" s="43">
        <f>IF(T253="Read",1,IF(T253="Delivered",2,IF(T253="Sent",3,IF(T253="Not sent",4,IF(T253="Failed",9,5)))))</f>
        <v>4</v>
      </c>
      <c r="AG253" s="43">
        <f>IF(U253="Demo booked",1,IF(U253="Interested",2,IF(U253="Replied",3,IF(U253="No reply",5,IF(U253="Not interested",8,IF(U253="Bad number",9,6))))))</f>
        <v>6</v>
      </c>
      <c r="AH253" s="46">
        <f>AD253*1000+AN253*100+AE253*10+AG253</f>
        <v>9596</v>
      </c>
      <c r="AI253" s="45">
        <f>MAX(IF(R253="",0,R253),IF(Y253="",0,Y253))</f>
        <v>0</v>
      </c>
      <c r="AJ253" s="43" t="str">
        <f ca="1">IF(AND(X253&lt;&gt;"",Y253="",X253&lt;TODAY()),"Overdue",IF(AND(X253&lt;&gt;"",Y253="",X253=TODAY()),"Due today",IF(Y253&lt;&gt;"","Follow-up sent","")))</f>
        <v/>
      </c>
      <c r="AK253" s="50" t="s">
        <v>734</v>
      </c>
      <c r="AL253" s="50" t="s">
        <v>735</v>
      </c>
      <c r="AM253" s="50" t="s">
        <v>736</v>
      </c>
      <c r="AN253" s="50">
        <v>5</v>
      </c>
      <c r="AO253" s="54" t="s">
        <v>1164</v>
      </c>
      <c r="AP253" s="57" t="s">
        <v>127</v>
      </c>
      <c r="AQ253" s="58"/>
      <c r="AR253" s="57"/>
    </row>
    <row r="254" spans="1:44" ht="54" customHeight="1" x14ac:dyDescent="0.25">
      <c r="A254" s="43" t="s">
        <v>1165</v>
      </c>
      <c r="B254" s="43" t="s">
        <v>790</v>
      </c>
      <c r="C254" s="43"/>
      <c r="D254" s="44" t="s">
        <v>1166</v>
      </c>
      <c r="E254" s="43"/>
      <c r="F254" s="43" t="s">
        <v>729</v>
      </c>
      <c r="G254" s="45"/>
      <c r="H254" s="45">
        <v>46161</v>
      </c>
      <c r="I254" s="43" t="s">
        <v>730</v>
      </c>
      <c r="J254" s="43" t="s">
        <v>731</v>
      </c>
      <c r="K254" s="43" t="str">
        <f>IF(LEN(D254)=10,"OK","Check")</f>
        <v>OK</v>
      </c>
      <c r="L254" s="43" t="s">
        <v>732</v>
      </c>
      <c r="M254" s="43" t="str">
        <f>IF(L254="Hold","Hold",IF(IFERROR(E254,0)&gt;=200,"High",IF(IFERROR(E254,0)&gt;=100,"Medium","Normal")))</f>
        <v>Hold</v>
      </c>
      <c r="N254" s="43" t="s">
        <v>90</v>
      </c>
      <c r="O254" s="43" t="s">
        <v>91</v>
      </c>
      <c r="P254" s="43" t="s">
        <v>92</v>
      </c>
      <c r="Q254" s="17" t="s">
        <v>93</v>
      </c>
      <c r="R254" s="45"/>
      <c r="S254" s="43"/>
      <c r="T254" s="43" t="s">
        <v>31</v>
      </c>
      <c r="U254" s="43" t="s">
        <v>94</v>
      </c>
      <c r="V254" s="43" t="s">
        <v>94</v>
      </c>
      <c r="W254" s="43" t="s">
        <v>95</v>
      </c>
      <c r="X254" s="45" t="str">
        <f>IF(AND(R254&lt;&gt;"",OR(U254="No reply",U254="Unknown")),R254+2,"")</f>
        <v/>
      </c>
      <c r="Y254" s="45"/>
      <c r="Z254" s="43" t="s">
        <v>96</v>
      </c>
      <c r="AA254" s="43" t="str">
        <f>IF(L254="Hold","Do not send",IF(T254="Not sent","Send WhatsApp",IF(U254="Demo booked","Prepare demo",IF(W254="Booked","Prepare demo",IF(AND(X254&lt;&gt;"",Y254=""),"Send follow-up","Review")))))</f>
        <v>Do not send</v>
      </c>
      <c r="AB254" s="43"/>
      <c r="AC254" s="43" t="s">
        <v>733</v>
      </c>
      <c r="AD254" s="43">
        <f>IF(AA254="Prepare demo",1,IF(AA254="Send follow-up",2,IF(AA254="Send WhatsApp",3,IF(AA254="Review",4,IF(AA254="Do not send",9,5)))))</f>
        <v>9</v>
      </c>
      <c r="AE254" s="43">
        <f>IF(M254="High",1,IF(M254="Medium",2,IF(M254="Normal",3,IF(M254="Hold",9,4))))</f>
        <v>9</v>
      </c>
      <c r="AF254" s="43">
        <f>IF(T254="Read",1,IF(T254="Delivered",2,IF(T254="Sent",3,IF(T254="Not sent",4,IF(T254="Failed",9,5)))))</f>
        <v>4</v>
      </c>
      <c r="AG254" s="43">
        <f>IF(U254="Demo booked",1,IF(U254="Interested",2,IF(U254="Replied",3,IF(U254="No reply",5,IF(U254="Not interested",8,IF(U254="Bad number",9,6))))))</f>
        <v>6</v>
      </c>
      <c r="AH254" s="46">
        <f>AD254*1000+AN254*100+AE254*10+AG254</f>
        <v>9596</v>
      </c>
      <c r="AI254" s="45">
        <f>MAX(IF(R254="",0,R254),IF(Y254="",0,Y254))</f>
        <v>0</v>
      </c>
      <c r="AJ254" s="43" t="str">
        <f ca="1">IF(AND(X254&lt;&gt;"",Y254="",X254&lt;TODAY()),"Overdue",IF(AND(X254&lt;&gt;"",Y254="",X254=TODAY()),"Due today",IF(Y254&lt;&gt;"","Follow-up sent","")))</f>
        <v/>
      </c>
      <c r="AK254" s="50" t="s">
        <v>734</v>
      </c>
      <c r="AL254" s="50" t="s">
        <v>735</v>
      </c>
      <c r="AM254" s="50" t="s">
        <v>736</v>
      </c>
      <c r="AN254" s="50">
        <v>5</v>
      </c>
      <c r="AO254" s="54" t="s">
        <v>1167</v>
      </c>
      <c r="AP254" s="57" t="s">
        <v>127</v>
      </c>
      <c r="AQ254" s="58"/>
      <c r="AR254" s="57"/>
    </row>
    <row r="255" spans="1:44" ht="54" customHeight="1" x14ac:dyDescent="0.25">
      <c r="A255" s="43" t="s">
        <v>1168</v>
      </c>
      <c r="B255" s="43" t="s">
        <v>790</v>
      </c>
      <c r="C255" s="43"/>
      <c r="D255" s="44" t="s">
        <v>1169</v>
      </c>
      <c r="E255" s="43"/>
      <c r="F255" s="43" t="s">
        <v>729</v>
      </c>
      <c r="G255" s="45"/>
      <c r="H255" s="45">
        <v>46161</v>
      </c>
      <c r="I255" s="43" t="s">
        <v>730</v>
      </c>
      <c r="J255" s="43" t="s">
        <v>731</v>
      </c>
      <c r="K255" s="43" t="str">
        <f>IF(LEN(D255)=10,"OK","Check")</f>
        <v>OK</v>
      </c>
      <c r="L255" s="43" t="s">
        <v>732</v>
      </c>
      <c r="M255" s="43" t="str">
        <f>IF(L255="Hold","Hold",IF(IFERROR(E255,0)&gt;=200,"High",IF(IFERROR(E255,0)&gt;=100,"Medium","Normal")))</f>
        <v>Hold</v>
      </c>
      <c r="N255" s="43" t="s">
        <v>90</v>
      </c>
      <c r="O255" s="43" t="s">
        <v>91</v>
      </c>
      <c r="P255" s="43" t="s">
        <v>92</v>
      </c>
      <c r="Q255" s="17" t="s">
        <v>93</v>
      </c>
      <c r="R255" s="45"/>
      <c r="S255" s="43"/>
      <c r="T255" s="43" t="s">
        <v>31</v>
      </c>
      <c r="U255" s="43" t="s">
        <v>94</v>
      </c>
      <c r="V255" s="43" t="s">
        <v>94</v>
      </c>
      <c r="W255" s="43" t="s">
        <v>95</v>
      </c>
      <c r="X255" s="45" t="str">
        <f>IF(AND(R255&lt;&gt;"",OR(U255="No reply",U255="Unknown")),R255+2,"")</f>
        <v/>
      </c>
      <c r="Y255" s="45"/>
      <c r="Z255" s="43" t="s">
        <v>96</v>
      </c>
      <c r="AA255" s="43" t="str">
        <f>IF(L255="Hold","Do not send",IF(T255="Not sent","Send WhatsApp",IF(U255="Demo booked","Prepare demo",IF(W255="Booked","Prepare demo",IF(AND(X255&lt;&gt;"",Y255=""),"Send follow-up","Review")))))</f>
        <v>Do not send</v>
      </c>
      <c r="AB255" s="43"/>
      <c r="AC255" s="43" t="s">
        <v>733</v>
      </c>
      <c r="AD255" s="43">
        <f>IF(AA255="Prepare demo",1,IF(AA255="Send follow-up",2,IF(AA255="Send WhatsApp",3,IF(AA255="Review",4,IF(AA255="Do not send",9,5)))))</f>
        <v>9</v>
      </c>
      <c r="AE255" s="43">
        <f>IF(M255="High",1,IF(M255="Medium",2,IF(M255="Normal",3,IF(M255="Hold",9,4))))</f>
        <v>9</v>
      </c>
      <c r="AF255" s="43">
        <f>IF(T255="Read",1,IF(T255="Delivered",2,IF(T255="Sent",3,IF(T255="Not sent",4,IF(T255="Failed",9,5)))))</f>
        <v>4</v>
      </c>
      <c r="AG255" s="43">
        <f>IF(U255="Demo booked",1,IF(U255="Interested",2,IF(U255="Replied",3,IF(U255="No reply",5,IF(U255="Not interested",8,IF(U255="Bad number",9,6))))))</f>
        <v>6</v>
      </c>
      <c r="AH255" s="46">
        <f>AD255*1000+AN255*100+AE255*10+AG255</f>
        <v>9596</v>
      </c>
      <c r="AI255" s="45">
        <f>MAX(IF(R255="",0,R255),IF(Y255="",0,Y255))</f>
        <v>0</v>
      </c>
      <c r="AJ255" s="43" t="str">
        <f ca="1">IF(AND(X255&lt;&gt;"",Y255="",X255&lt;TODAY()),"Overdue",IF(AND(X255&lt;&gt;"",Y255="",X255=TODAY()),"Due today",IF(Y255&lt;&gt;"","Follow-up sent","")))</f>
        <v/>
      </c>
      <c r="AK255" s="50" t="s">
        <v>734</v>
      </c>
      <c r="AL255" s="50" t="s">
        <v>735</v>
      </c>
      <c r="AM255" s="50" t="s">
        <v>736</v>
      </c>
      <c r="AN255" s="50">
        <v>5</v>
      </c>
      <c r="AO255" s="54" t="s">
        <v>1170</v>
      </c>
      <c r="AP255" s="57" t="s">
        <v>127</v>
      </c>
      <c r="AQ255" s="58"/>
      <c r="AR255" s="57"/>
    </row>
    <row r="256" spans="1:44" ht="54" customHeight="1" x14ac:dyDescent="0.25">
      <c r="A256" s="43" t="s">
        <v>1171</v>
      </c>
      <c r="B256" s="43" t="s">
        <v>790</v>
      </c>
      <c r="C256" s="43"/>
      <c r="D256" s="44" t="s">
        <v>1172</v>
      </c>
      <c r="E256" s="43"/>
      <c r="F256" s="43" t="s">
        <v>729</v>
      </c>
      <c r="G256" s="45"/>
      <c r="H256" s="45">
        <v>46161</v>
      </c>
      <c r="I256" s="43" t="s">
        <v>730</v>
      </c>
      <c r="J256" s="43" t="s">
        <v>731</v>
      </c>
      <c r="K256" s="43" t="str">
        <f>IF(LEN(D256)=10,"OK","Check")</f>
        <v>OK</v>
      </c>
      <c r="L256" s="43" t="s">
        <v>732</v>
      </c>
      <c r="M256" s="43" t="str">
        <f>IF(L256="Hold","Hold",IF(IFERROR(E256,0)&gt;=200,"High",IF(IFERROR(E256,0)&gt;=100,"Medium","Normal")))</f>
        <v>Hold</v>
      </c>
      <c r="N256" s="43" t="s">
        <v>90</v>
      </c>
      <c r="O256" s="43" t="s">
        <v>91</v>
      </c>
      <c r="P256" s="43" t="s">
        <v>92</v>
      </c>
      <c r="Q256" s="17" t="s">
        <v>93</v>
      </c>
      <c r="R256" s="45"/>
      <c r="S256" s="43"/>
      <c r="T256" s="43" t="s">
        <v>31</v>
      </c>
      <c r="U256" s="43" t="s">
        <v>94</v>
      </c>
      <c r="V256" s="43" t="s">
        <v>94</v>
      </c>
      <c r="W256" s="43" t="s">
        <v>95</v>
      </c>
      <c r="X256" s="45" t="str">
        <f>IF(AND(R256&lt;&gt;"",OR(U256="No reply",U256="Unknown")),R256+2,"")</f>
        <v/>
      </c>
      <c r="Y256" s="45"/>
      <c r="Z256" s="43" t="s">
        <v>96</v>
      </c>
      <c r="AA256" s="43" t="str">
        <f>IF(L256="Hold","Do not send",IF(T256="Not sent","Send WhatsApp",IF(U256="Demo booked","Prepare demo",IF(W256="Booked","Prepare demo",IF(AND(X256&lt;&gt;"",Y256=""),"Send follow-up","Review")))))</f>
        <v>Do not send</v>
      </c>
      <c r="AB256" s="43"/>
      <c r="AC256" s="43" t="s">
        <v>733</v>
      </c>
      <c r="AD256" s="43">
        <f>IF(AA256="Prepare demo",1,IF(AA256="Send follow-up",2,IF(AA256="Send WhatsApp",3,IF(AA256="Review",4,IF(AA256="Do not send",9,5)))))</f>
        <v>9</v>
      </c>
      <c r="AE256" s="43">
        <f>IF(M256="High",1,IF(M256="Medium",2,IF(M256="Normal",3,IF(M256="Hold",9,4))))</f>
        <v>9</v>
      </c>
      <c r="AF256" s="43">
        <f>IF(T256="Read",1,IF(T256="Delivered",2,IF(T256="Sent",3,IF(T256="Not sent",4,IF(T256="Failed",9,5)))))</f>
        <v>4</v>
      </c>
      <c r="AG256" s="43">
        <f>IF(U256="Demo booked",1,IF(U256="Interested",2,IF(U256="Replied",3,IF(U256="No reply",5,IF(U256="Not interested",8,IF(U256="Bad number",9,6))))))</f>
        <v>6</v>
      </c>
      <c r="AH256" s="46">
        <f>AD256*1000+AN256*100+AE256*10+AG256</f>
        <v>9596</v>
      </c>
      <c r="AI256" s="45">
        <f>MAX(IF(R256="",0,R256),IF(Y256="",0,Y256))</f>
        <v>0</v>
      </c>
      <c r="AJ256" s="43" t="str">
        <f ca="1">IF(AND(X256&lt;&gt;"",Y256="",X256&lt;TODAY()),"Overdue",IF(AND(X256&lt;&gt;"",Y256="",X256=TODAY()),"Due today",IF(Y256&lt;&gt;"","Follow-up sent","")))</f>
        <v/>
      </c>
      <c r="AK256" s="50" t="s">
        <v>734</v>
      </c>
      <c r="AL256" s="50" t="s">
        <v>735</v>
      </c>
      <c r="AM256" s="50" t="s">
        <v>736</v>
      </c>
      <c r="AN256" s="50">
        <v>5</v>
      </c>
      <c r="AO256" s="54" t="s">
        <v>1173</v>
      </c>
      <c r="AP256" s="57" t="s">
        <v>127</v>
      </c>
      <c r="AQ256" s="58"/>
      <c r="AR256" s="57"/>
    </row>
    <row r="257" spans="1:44" ht="54" customHeight="1" x14ac:dyDescent="0.25">
      <c r="A257" s="43" t="s">
        <v>1174</v>
      </c>
      <c r="B257" s="43" t="s">
        <v>790</v>
      </c>
      <c r="C257" s="43"/>
      <c r="D257" s="44" t="s">
        <v>1175</v>
      </c>
      <c r="E257" s="43"/>
      <c r="F257" s="43" t="s">
        <v>729</v>
      </c>
      <c r="G257" s="45"/>
      <c r="H257" s="45">
        <v>46161</v>
      </c>
      <c r="I257" s="43" t="s">
        <v>730</v>
      </c>
      <c r="J257" s="43" t="s">
        <v>731</v>
      </c>
      <c r="K257" s="43" t="str">
        <f>IF(LEN(D257)=10,"OK","Check")</f>
        <v>OK</v>
      </c>
      <c r="L257" s="43" t="s">
        <v>732</v>
      </c>
      <c r="M257" s="43" t="str">
        <f>IF(L257="Hold","Hold",IF(IFERROR(E257,0)&gt;=200,"High",IF(IFERROR(E257,0)&gt;=100,"Medium","Normal")))</f>
        <v>Hold</v>
      </c>
      <c r="N257" s="43" t="s">
        <v>90</v>
      </c>
      <c r="O257" s="43" t="s">
        <v>91</v>
      </c>
      <c r="P257" s="43" t="s">
        <v>92</v>
      </c>
      <c r="Q257" s="17" t="s">
        <v>93</v>
      </c>
      <c r="R257" s="45"/>
      <c r="S257" s="43"/>
      <c r="T257" s="43" t="s">
        <v>31</v>
      </c>
      <c r="U257" s="43" t="s">
        <v>94</v>
      </c>
      <c r="V257" s="43" t="s">
        <v>94</v>
      </c>
      <c r="W257" s="43" t="s">
        <v>95</v>
      </c>
      <c r="X257" s="45" t="str">
        <f>IF(AND(R257&lt;&gt;"",OR(U257="No reply",U257="Unknown")),R257+2,"")</f>
        <v/>
      </c>
      <c r="Y257" s="45"/>
      <c r="Z257" s="43" t="s">
        <v>96</v>
      </c>
      <c r="AA257" s="43" t="str">
        <f>IF(L257="Hold","Do not send",IF(T257="Not sent","Send WhatsApp",IF(U257="Demo booked","Prepare demo",IF(W257="Booked","Prepare demo",IF(AND(X257&lt;&gt;"",Y257=""),"Send follow-up","Review")))))</f>
        <v>Do not send</v>
      </c>
      <c r="AB257" s="43"/>
      <c r="AC257" s="43" t="s">
        <v>733</v>
      </c>
      <c r="AD257" s="43">
        <f>IF(AA257="Prepare demo",1,IF(AA257="Send follow-up",2,IF(AA257="Send WhatsApp",3,IF(AA257="Review",4,IF(AA257="Do not send",9,5)))))</f>
        <v>9</v>
      </c>
      <c r="AE257" s="43">
        <f>IF(M257="High",1,IF(M257="Medium",2,IF(M257="Normal",3,IF(M257="Hold",9,4))))</f>
        <v>9</v>
      </c>
      <c r="AF257" s="43">
        <f>IF(T257="Read",1,IF(T257="Delivered",2,IF(T257="Sent",3,IF(T257="Not sent",4,IF(T257="Failed",9,5)))))</f>
        <v>4</v>
      </c>
      <c r="AG257" s="43">
        <f>IF(U257="Demo booked",1,IF(U257="Interested",2,IF(U257="Replied",3,IF(U257="No reply",5,IF(U257="Not interested",8,IF(U257="Bad number",9,6))))))</f>
        <v>6</v>
      </c>
      <c r="AH257" s="46">
        <f>AD257*1000+AN257*100+AE257*10+AG257</f>
        <v>9596</v>
      </c>
      <c r="AI257" s="45">
        <f>MAX(IF(R257="",0,R257),IF(Y257="",0,Y257))</f>
        <v>0</v>
      </c>
      <c r="AJ257" s="43" t="str">
        <f ca="1">IF(AND(X257&lt;&gt;"",Y257="",X257&lt;TODAY()),"Overdue",IF(AND(X257&lt;&gt;"",Y257="",X257=TODAY()),"Due today",IF(Y257&lt;&gt;"","Follow-up sent","")))</f>
        <v/>
      </c>
      <c r="AK257" s="50" t="s">
        <v>734</v>
      </c>
      <c r="AL257" s="50" t="s">
        <v>735</v>
      </c>
      <c r="AM257" s="50" t="s">
        <v>736</v>
      </c>
      <c r="AN257" s="50">
        <v>5</v>
      </c>
      <c r="AO257" s="54" t="s">
        <v>1176</v>
      </c>
      <c r="AP257" s="57" t="s">
        <v>127</v>
      </c>
      <c r="AQ257" s="58"/>
      <c r="AR257" s="57"/>
    </row>
    <row r="258" spans="1:44" ht="54" customHeight="1" x14ac:dyDescent="0.25">
      <c r="A258" s="43" t="s">
        <v>1177</v>
      </c>
      <c r="B258" s="43" t="s">
        <v>790</v>
      </c>
      <c r="C258" s="43"/>
      <c r="D258" s="44" t="s">
        <v>1178</v>
      </c>
      <c r="E258" s="43"/>
      <c r="F258" s="43" t="s">
        <v>729</v>
      </c>
      <c r="G258" s="45"/>
      <c r="H258" s="45">
        <v>46161</v>
      </c>
      <c r="I258" s="43" t="s">
        <v>730</v>
      </c>
      <c r="J258" s="43" t="s">
        <v>731</v>
      </c>
      <c r="K258" s="43" t="str">
        <f>IF(LEN(D258)=10,"OK","Check")</f>
        <v>OK</v>
      </c>
      <c r="L258" s="43" t="s">
        <v>732</v>
      </c>
      <c r="M258" s="43" t="str">
        <f>IF(L258="Hold","Hold",IF(IFERROR(E258,0)&gt;=200,"High",IF(IFERROR(E258,0)&gt;=100,"Medium","Normal")))</f>
        <v>Hold</v>
      </c>
      <c r="N258" s="43" t="s">
        <v>90</v>
      </c>
      <c r="O258" s="43" t="s">
        <v>91</v>
      </c>
      <c r="P258" s="43" t="s">
        <v>92</v>
      </c>
      <c r="Q258" s="17" t="s">
        <v>93</v>
      </c>
      <c r="R258" s="45"/>
      <c r="S258" s="43"/>
      <c r="T258" s="43" t="s">
        <v>31</v>
      </c>
      <c r="U258" s="43" t="s">
        <v>94</v>
      </c>
      <c r="V258" s="43" t="s">
        <v>94</v>
      </c>
      <c r="W258" s="43" t="s">
        <v>95</v>
      </c>
      <c r="X258" s="45" t="str">
        <f>IF(AND(R258&lt;&gt;"",OR(U258="No reply",U258="Unknown")),R258+2,"")</f>
        <v/>
      </c>
      <c r="Y258" s="45"/>
      <c r="Z258" s="43" t="s">
        <v>96</v>
      </c>
      <c r="AA258" s="43" t="str">
        <f>IF(L258="Hold","Do not send",IF(T258="Not sent","Send WhatsApp",IF(U258="Demo booked","Prepare demo",IF(W258="Booked","Prepare demo",IF(AND(X258&lt;&gt;"",Y258=""),"Send follow-up","Review")))))</f>
        <v>Do not send</v>
      </c>
      <c r="AB258" s="43"/>
      <c r="AC258" s="43" t="s">
        <v>733</v>
      </c>
      <c r="AD258" s="43">
        <f>IF(AA258="Prepare demo",1,IF(AA258="Send follow-up",2,IF(AA258="Send WhatsApp",3,IF(AA258="Review",4,IF(AA258="Do not send",9,5)))))</f>
        <v>9</v>
      </c>
      <c r="AE258" s="43">
        <f>IF(M258="High",1,IF(M258="Medium",2,IF(M258="Normal",3,IF(M258="Hold",9,4))))</f>
        <v>9</v>
      </c>
      <c r="AF258" s="43">
        <f>IF(T258="Read",1,IF(T258="Delivered",2,IF(T258="Sent",3,IF(T258="Not sent",4,IF(T258="Failed",9,5)))))</f>
        <v>4</v>
      </c>
      <c r="AG258" s="43">
        <f>IF(U258="Demo booked",1,IF(U258="Interested",2,IF(U258="Replied",3,IF(U258="No reply",5,IF(U258="Not interested",8,IF(U258="Bad number",9,6))))))</f>
        <v>6</v>
      </c>
      <c r="AH258" s="46">
        <f>AD258*1000+AN258*100+AE258*10+AG258</f>
        <v>9596</v>
      </c>
      <c r="AI258" s="45">
        <f>MAX(IF(R258="",0,R258),IF(Y258="",0,Y258))</f>
        <v>0</v>
      </c>
      <c r="AJ258" s="43" t="str">
        <f ca="1">IF(AND(X258&lt;&gt;"",Y258="",X258&lt;TODAY()),"Overdue",IF(AND(X258&lt;&gt;"",Y258="",X258=TODAY()),"Due today",IF(Y258&lt;&gt;"","Follow-up sent","")))</f>
        <v/>
      </c>
      <c r="AK258" s="50" t="s">
        <v>734</v>
      </c>
      <c r="AL258" s="50" t="s">
        <v>735</v>
      </c>
      <c r="AM258" s="50" t="s">
        <v>736</v>
      </c>
      <c r="AN258" s="50">
        <v>5</v>
      </c>
      <c r="AO258" s="54" t="s">
        <v>1179</v>
      </c>
      <c r="AP258" s="57" t="s">
        <v>127</v>
      </c>
      <c r="AQ258" s="58"/>
      <c r="AR258" s="57"/>
    </row>
    <row r="259" spans="1:44" ht="54" customHeight="1" x14ac:dyDescent="0.25">
      <c r="A259" s="43" t="s">
        <v>1180</v>
      </c>
      <c r="B259" s="43" t="s">
        <v>790</v>
      </c>
      <c r="C259" s="43"/>
      <c r="D259" s="44" t="s">
        <v>1181</v>
      </c>
      <c r="E259" s="43"/>
      <c r="F259" s="43" t="s">
        <v>729</v>
      </c>
      <c r="G259" s="45"/>
      <c r="H259" s="45">
        <v>46161</v>
      </c>
      <c r="I259" s="43" t="s">
        <v>730</v>
      </c>
      <c r="J259" s="43" t="s">
        <v>731</v>
      </c>
      <c r="K259" s="43" t="str">
        <f>IF(LEN(D259)=10,"OK","Check")</f>
        <v>OK</v>
      </c>
      <c r="L259" s="43" t="s">
        <v>732</v>
      </c>
      <c r="M259" s="43" t="str">
        <f>IF(L259="Hold","Hold",IF(IFERROR(E259,0)&gt;=200,"High",IF(IFERROR(E259,0)&gt;=100,"Medium","Normal")))</f>
        <v>Hold</v>
      </c>
      <c r="N259" s="43" t="s">
        <v>90</v>
      </c>
      <c r="O259" s="43" t="s">
        <v>91</v>
      </c>
      <c r="P259" s="43" t="s">
        <v>92</v>
      </c>
      <c r="Q259" s="17" t="s">
        <v>93</v>
      </c>
      <c r="R259" s="45"/>
      <c r="S259" s="43"/>
      <c r="T259" s="43" t="s">
        <v>31</v>
      </c>
      <c r="U259" s="43" t="s">
        <v>94</v>
      </c>
      <c r="V259" s="43" t="s">
        <v>94</v>
      </c>
      <c r="W259" s="43" t="s">
        <v>95</v>
      </c>
      <c r="X259" s="45" t="str">
        <f>IF(AND(R259&lt;&gt;"",OR(U259="No reply",U259="Unknown")),R259+2,"")</f>
        <v/>
      </c>
      <c r="Y259" s="45"/>
      <c r="Z259" s="43" t="s">
        <v>96</v>
      </c>
      <c r="AA259" s="43" t="str">
        <f>IF(L259="Hold","Do not send",IF(T259="Not sent","Send WhatsApp",IF(U259="Demo booked","Prepare demo",IF(W259="Booked","Prepare demo",IF(AND(X259&lt;&gt;"",Y259=""),"Send follow-up","Review")))))</f>
        <v>Do not send</v>
      </c>
      <c r="AB259" s="43"/>
      <c r="AC259" s="43" t="s">
        <v>733</v>
      </c>
      <c r="AD259" s="43">
        <f>IF(AA259="Prepare demo",1,IF(AA259="Send follow-up",2,IF(AA259="Send WhatsApp",3,IF(AA259="Review",4,IF(AA259="Do not send",9,5)))))</f>
        <v>9</v>
      </c>
      <c r="AE259" s="43">
        <f>IF(M259="High",1,IF(M259="Medium",2,IF(M259="Normal",3,IF(M259="Hold",9,4))))</f>
        <v>9</v>
      </c>
      <c r="AF259" s="43">
        <f>IF(T259="Read",1,IF(T259="Delivered",2,IF(T259="Sent",3,IF(T259="Not sent",4,IF(T259="Failed",9,5)))))</f>
        <v>4</v>
      </c>
      <c r="AG259" s="43">
        <f>IF(U259="Demo booked",1,IF(U259="Interested",2,IF(U259="Replied",3,IF(U259="No reply",5,IF(U259="Not interested",8,IF(U259="Bad number",9,6))))))</f>
        <v>6</v>
      </c>
      <c r="AH259" s="46">
        <f>AD259*1000+AN259*100+AE259*10+AG259</f>
        <v>9596</v>
      </c>
      <c r="AI259" s="45">
        <f>MAX(IF(R259="",0,R259),IF(Y259="",0,Y259))</f>
        <v>0</v>
      </c>
      <c r="AJ259" s="43" t="str">
        <f ca="1">IF(AND(X259&lt;&gt;"",Y259="",X259&lt;TODAY()),"Overdue",IF(AND(X259&lt;&gt;"",Y259="",X259=TODAY()),"Due today",IF(Y259&lt;&gt;"","Follow-up sent","")))</f>
        <v/>
      </c>
      <c r="AK259" s="50" t="s">
        <v>734</v>
      </c>
      <c r="AL259" s="50" t="s">
        <v>735</v>
      </c>
      <c r="AM259" s="50" t="s">
        <v>736</v>
      </c>
      <c r="AN259" s="50">
        <v>5</v>
      </c>
      <c r="AO259" s="54" t="s">
        <v>1182</v>
      </c>
      <c r="AP259" s="57" t="s">
        <v>127</v>
      </c>
      <c r="AQ259" s="58"/>
      <c r="AR259" s="57"/>
    </row>
    <row r="260" spans="1:44" ht="54" customHeight="1" x14ac:dyDescent="0.25">
      <c r="A260" s="43" t="s">
        <v>1183</v>
      </c>
      <c r="B260" s="43" t="s">
        <v>790</v>
      </c>
      <c r="C260" s="43"/>
      <c r="D260" s="44" t="s">
        <v>1184</v>
      </c>
      <c r="E260" s="43"/>
      <c r="F260" s="43" t="s">
        <v>729</v>
      </c>
      <c r="G260" s="45"/>
      <c r="H260" s="45">
        <v>46161</v>
      </c>
      <c r="I260" s="43" t="s">
        <v>730</v>
      </c>
      <c r="J260" s="43" t="s">
        <v>731</v>
      </c>
      <c r="K260" s="43" t="str">
        <f>IF(LEN(D260)=10,"OK","Check")</f>
        <v>OK</v>
      </c>
      <c r="L260" s="43" t="s">
        <v>732</v>
      </c>
      <c r="M260" s="43" t="str">
        <f>IF(L260="Hold","Hold",IF(IFERROR(E260,0)&gt;=200,"High",IF(IFERROR(E260,0)&gt;=100,"Medium","Normal")))</f>
        <v>Hold</v>
      </c>
      <c r="N260" s="43" t="s">
        <v>90</v>
      </c>
      <c r="O260" s="43" t="s">
        <v>91</v>
      </c>
      <c r="P260" s="43" t="s">
        <v>92</v>
      </c>
      <c r="Q260" s="17" t="s">
        <v>93</v>
      </c>
      <c r="R260" s="45"/>
      <c r="S260" s="43"/>
      <c r="T260" s="43" t="s">
        <v>31</v>
      </c>
      <c r="U260" s="43" t="s">
        <v>94</v>
      </c>
      <c r="V260" s="43" t="s">
        <v>94</v>
      </c>
      <c r="W260" s="43" t="s">
        <v>95</v>
      </c>
      <c r="X260" s="45" t="str">
        <f>IF(AND(R260&lt;&gt;"",OR(U260="No reply",U260="Unknown")),R260+2,"")</f>
        <v/>
      </c>
      <c r="Y260" s="45"/>
      <c r="Z260" s="43" t="s">
        <v>96</v>
      </c>
      <c r="AA260" s="43" t="str">
        <f>IF(L260="Hold","Do not send",IF(T260="Not sent","Send WhatsApp",IF(U260="Demo booked","Prepare demo",IF(W260="Booked","Prepare demo",IF(AND(X260&lt;&gt;"",Y260=""),"Send follow-up","Review")))))</f>
        <v>Do not send</v>
      </c>
      <c r="AB260" s="43"/>
      <c r="AC260" s="43" t="s">
        <v>733</v>
      </c>
      <c r="AD260" s="43">
        <f>IF(AA260="Prepare demo",1,IF(AA260="Send follow-up",2,IF(AA260="Send WhatsApp",3,IF(AA260="Review",4,IF(AA260="Do not send",9,5)))))</f>
        <v>9</v>
      </c>
      <c r="AE260" s="43">
        <f>IF(M260="High",1,IF(M260="Medium",2,IF(M260="Normal",3,IF(M260="Hold",9,4))))</f>
        <v>9</v>
      </c>
      <c r="AF260" s="43">
        <f>IF(T260="Read",1,IF(T260="Delivered",2,IF(T260="Sent",3,IF(T260="Not sent",4,IF(T260="Failed",9,5)))))</f>
        <v>4</v>
      </c>
      <c r="AG260" s="43">
        <f>IF(U260="Demo booked",1,IF(U260="Interested",2,IF(U260="Replied",3,IF(U260="No reply",5,IF(U260="Not interested",8,IF(U260="Bad number",9,6))))))</f>
        <v>6</v>
      </c>
      <c r="AH260" s="46">
        <f>AD260*1000+AN260*100+AE260*10+AG260</f>
        <v>9596</v>
      </c>
      <c r="AI260" s="45">
        <f>MAX(IF(R260="",0,R260),IF(Y260="",0,Y260))</f>
        <v>0</v>
      </c>
      <c r="AJ260" s="43" t="str">
        <f ca="1">IF(AND(X260&lt;&gt;"",Y260="",X260&lt;TODAY()),"Overdue",IF(AND(X260&lt;&gt;"",Y260="",X260=TODAY()),"Due today",IF(Y260&lt;&gt;"","Follow-up sent","")))</f>
        <v/>
      </c>
      <c r="AK260" s="50" t="s">
        <v>734</v>
      </c>
      <c r="AL260" s="50" t="s">
        <v>735</v>
      </c>
      <c r="AM260" s="50" t="s">
        <v>736</v>
      </c>
      <c r="AN260" s="50">
        <v>5</v>
      </c>
      <c r="AO260" s="54" t="s">
        <v>1185</v>
      </c>
      <c r="AP260" s="57" t="s">
        <v>127</v>
      </c>
      <c r="AQ260" s="58"/>
      <c r="AR260" s="57"/>
    </row>
    <row r="261" spans="1:44" ht="54" customHeight="1" x14ac:dyDescent="0.25">
      <c r="A261" s="43" t="s">
        <v>1186</v>
      </c>
      <c r="B261" s="43" t="s">
        <v>790</v>
      </c>
      <c r="C261" s="43"/>
      <c r="D261" s="44" t="s">
        <v>1187</v>
      </c>
      <c r="E261" s="43"/>
      <c r="F261" s="43" t="s">
        <v>729</v>
      </c>
      <c r="G261" s="45"/>
      <c r="H261" s="45">
        <v>46161</v>
      </c>
      <c r="I261" s="43" t="s">
        <v>730</v>
      </c>
      <c r="J261" s="43" t="s">
        <v>731</v>
      </c>
      <c r="K261" s="43" t="str">
        <f>IF(LEN(D261)=10,"OK","Check")</f>
        <v>OK</v>
      </c>
      <c r="L261" s="43" t="s">
        <v>732</v>
      </c>
      <c r="M261" s="43" t="str">
        <f>IF(L261="Hold","Hold",IF(IFERROR(E261,0)&gt;=200,"High",IF(IFERROR(E261,0)&gt;=100,"Medium","Normal")))</f>
        <v>Hold</v>
      </c>
      <c r="N261" s="43" t="s">
        <v>90</v>
      </c>
      <c r="O261" s="43" t="s">
        <v>91</v>
      </c>
      <c r="P261" s="43" t="s">
        <v>92</v>
      </c>
      <c r="Q261" s="17" t="s">
        <v>93</v>
      </c>
      <c r="R261" s="45"/>
      <c r="S261" s="43"/>
      <c r="T261" s="43" t="s">
        <v>31</v>
      </c>
      <c r="U261" s="43" t="s">
        <v>94</v>
      </c>
      <c r="V261" s="43" t="s">
        <v>94</v>
      </c>
      <c r="W261" s="43" t="s">
        <v>95</v>
      </c>
      <c r="X261" s="45" t="str">
        <f>IF(AND(R261&lt;&gt;"",OR(U261="No reply",U261="Unknown")),R261+2,"")</f>
        <v/>
      </c>
      <c r="Y261" s="45"/>
      <c r="Z261" s="43" t="s">
        <v>96</v>
      </c>
      <c r="AA261" s="43" t="str">
        <f>IF(L261="Hold","Do not send",IF(T261="Not sent","Send WhatsApp",IF(U261="Demo booked","Prepare demo",IF(W261="Booked","Prepare demo",IF(AND(X261&lt;&gt;"",Y261=""),"Send follow-up","Review")))))</f>
        <v>Do not send</v>
      </c>
      <c r="AB261" s="43"/>
      <c r="AC261" s="43" t="s">
        <v>733</v>
      </c>
      <c r="AD261" s="43">
        <f>IF(AA261="Prepare demo",1,IF(AA261="Send follow-up",2,IF(AA261="Send WhatsApp",3,IF(AA261="Review",4,IF(AA261="Do not send",9,5)))))</f>
        <v>9</v>
      </c>
      <c r="AE261" s="43">
        <f>IF(M261="High",1,IF(M261="Medium",2,IF(M261="Normal",3,IF(M261="Hold",9,4))))</f>
        <v>9</v>
      </c>
      <c r="AF261" s="43">
        <f>IF(T261="Read",1,IF(T261="Delivered",2,IF(T261="Sent",3,IF(T261="Not sent",4,IF(T261="Failed",9,5)))))</f>
        <v>4</v>
      </c>
      <c r="AG261" s="43">
        <f>IF(U261="Demo booked",1,IF(U261="Interested",2,IF(U261="Replied",3,IF(U261="No reply",5,IF(U261="Not interested",8,IF(U261="Bad number",9,6))))))</f>
        <v>6</v>
      </c>
      <c r="AH261" s="46">
        <f>AD261*1000+AN261*100+AE261*10+AG261</f>
        <v>9596</v>
      </c>
      <c r="AI261" s="45">
        <f>MAX(IF(R261="",0,R261),IF(Y261="",0,Y261))</f>
        <v>0</v>
      </c>
      <c r="AJ261" s="43" t="str">
        <f ca="1">IF(AND(X261&lt;&gt;"",Y261="",X261&lt;TODAY()),"Overdue",IF(AND(X261&lt;&gt;"",Y261="",X261=TODAY()),"Due today",IF(Y261&lt;&gt;"","Follow-up sent","")))</f>
        <v/>
      </c>
      <c r="AK261" s="50" t="s">
        <v>734</v>
      </c>
      <c r="AL261" s="50" t="s">
        <v>735</v>
      </c>
      <c r="AM261" s="50" t="s">
        <v>736</v>
      </c>
      <c r="AN261" s="50">
        <v>5</v>
      </c>
      <c r="AO261" s="54" t="s">
        <v>1188</v>
      </c>
      <c r="AP261" s="57" t="s">
        <v>127</v>
      </c>
      <c r="AQ261" s="58"/>
      <c r="AR261" s="57"/>
    </row>
    <row r="262" spans="1:44" ht="54" customHeight="1" x14ac:dyDescent="0.25">
      <c r="A262" s="43" t="s">
        <v>1189</v>
      </c>
      <c r="B262" s="43" t="s">
        <v>790</v>
      </c>
      <c r="C262" s="43"/>
      <c r="D262" s="44" t="s">
        <v>1190</v>
      </c>
      <c r="E262" s="43"/>
      <c r="F262" s="43" t="s">
        <v>729</v>
      </c>
      <c r="G262" s="45"/>
      <c r="H262" s="45">
        <v>46161</v>
      </c>
      <c r="I262" s="43" t="s">
        <v>730</v>
      </c>
      <c r="J262" s="43" t="s">
        <v>731</v>
      </c>
      <c r="K262" s="43" t="str">
        <f>IF(LEN(D262)=10,"OK","Check")</f>
        <v>OK</v>
      </c>
      <c r="L262" s="43" t="s">
        <v>732</v>
      </c>
      <c r="M262" s="43" t="str">
        <f>IF(L262="Hold","Hold",IF(IFERROR(E262,0)&gt;=200,"High",IF(IFERROR(E262,0)&gt;=100,"Medium","Normal")))</f>
        <v>Hold</v>
      </c>
      <c r="N262" s="43" t="s">
        <v>90</v>
      </c>
      <c r="O262" s="43" t="s">
        <v>91</v>
      </c>
      <c r="P262" s="43" t="s">
        <v>92</v>
      </c>
      <c r="Q262" s="17" t="s">
        <v>93</v>
      </c>
      <c r="R262" s="45"/>
      <c r="S262" s="43"/>
      <c r="T262" s="43" t="s">
        <v>31</v>
      </c>
      <c r="U262" s="43" t="s">
        <v>94</v>
      </c>
      <c r="V262" s="43" t="s">
        <v>94</v>
      </c>
      <c r="W262" s="43" t="s">
        <v>95</v>
      </c>
      <c r="X262" s="45" t="str">
        <f>IF(AND(R262&lt;&gt;"",OR(U262="No reply",U262="Unknown")),R262+2,"")</f>
        <v/>
      </c>
      <c r="Y262" s="45"/>
      <c r="Z262" s="43" t="s">
        <v>96</v>
      </c>
      <c r="AA262" s="43" t="str">
        <f>IF(L262="Hold","Do not send",IF(T262="Not sent","Send WhatsApp",IF(U262="Demo booked","Prepare demo",IF(W262="Booked","Prepare demo",IF(AND(X262&lt;&gt;"",Y262=""),"Send follow-up","Review")))))</f>
        <v>Do not send</v>
      </c>
      <c r="AB262" s="43"/>
      <c r="AC262" s="43" t="s">
        <v>733</v>
      </c>
      <c r="AD262" s="43">
        <f>IF(AA262="Prepare demo",1,IF(AA262="Send follow-up",2,IF(AA262="Send WhatsApp",3,IF(AA262="Review",4,IF(AA262="Do not send",9,5)))))</f>
        <v>9</v>
      </c>
      <c r="AE262" s="43">
        <f>IF(M262="High",1,IF(M262="Medium",2,IF(M262="Normal",3,IF(M262="Hold",9,4))))</f>
        <v>9</v>
      </c>
      <c r="AF262" s="43">
        <f>IF(T262="Read",1,IF(T262="Delivered",2,IF(T262="Sent",3,IF(T262="Not sent",4,IF(T262="Failed",9,5)))))</f>
        <v>4</v>
      </c>
      <c r="AG262" s="43">
        <f>IF(U262="Demo booked",1,IF(U262="Interested",2,IF(U262="Replied",3,IF(U262="No reply",5,IF(U262="Not interested",8,IF(U262="Bad number",9,6))))))</f>
        <v>6</v>
      </c>
      <c r="AH262" s="46">
        <f>AD262*1000+AN262*100+AE262*10+AG262</f>
        <v>9596</v>
      </c>
      <c r="AI262" s="45">
        <f>MAX(IF(R262="",0,R262),IF(Y262="",0,Y262))</f>
        <v>0</v>
      </c>
      <c r="AJ262" s="43" t="str">
        <f ca="1">IF(AND(X262&lt;&gt;"",Y262="",X262&lt;TODAY()),"Overdue",IF(AND(X262&lt;&gt;"",Y262="",X262=TODAY()),"Due today",IF(Y262&lt;&gt;"","Follow-up sent","")))</f>
        <v/>
      </c>
      <c r="AK262" s="50" t="s">
        <v>734</v>
      </c>
      <c r="AL262" s="50" t="s">
        <v>735</v>
      </c>
      <c r="AM262" s="50" t="s">
        <v>736</v>
      </c>
      <c r="AN262" s="50">
        <v>5</v>
      </c>
      <c r="AO262" s="54" t="s">
        <v>1191</v>
      </c>
      <c r="AP262" s="57" t="s">
        <v>127</v>
      </c>
      <c r="AQ262" s="58"/>
      <c r="AR262" s="57"/>
    </row>
    <row r="263" spans="1:44" ht="54" customHeight="1" x14ac:dyDescent="0.25">
      <c r="A263" s="43" t="s">
        <v>1192</v>
      </c>
      <c r="B263" s="43" t="s">
        <v>790</v>
      </c>
      <c r="C263" s="43"/>
      <c r="D263" s="44" t="s">
        <v>1193</v>
      </c>
      <c r="E263" s="43"/>
      <c r="F263" s="43" t="s">
        <v>729</v>
      </c>
      <c r="G263" s="45"/>
      <c r="H263" s="45">
        <v>46161</v>
      </c>
      <c r="I263" s="43" t="s">
        <v>730</v>
      </c>
      <c r="J263" s="43" t="s">
        <v>731</v>
      </c>
      <c r="K263" s="43" t="str">
        <f>IF(LEN(D263)=10,"OK","Check")</f>
        <v>OK</v>
      </c>
      <c r="L263" s="43" t="s">
        <v>732</v>
      </c>
      <c r="M263" s="43" t="str">
        <f>IF(L263="Hold","Hold",IF(IFERROR(E263,0)&gt;=200,"High",IF(IFERROR(E263,0)&gt;=100,"Medium","Normal")))</f>
        <v>Hold</v>
      </c>
      <c r="N263" s="43" t="s">
        <v>90</v>
      </c>
      <c r="O263" s="43" t="s">
        <v>91</v>
      </c>
      <c r="P263" s="43" t="s">
        <v>92</v>
      </c>
      <c r="Q263" s="17" t="s">
        <v>93</v>
      </c>
      <c r="R263" s="45"/>
      <c r="S263" s="43"/>
      <c r="T263" s="43" t="s">
        <v>31</v>
      </c>
      <c r="U263" s="43" t="s">
        <v>94</v>
      </c>
      <c r="V263" s="43" t="s">
        <v>94</v>
      </c>
      <c r="W263" s="43" t="s">
        <v>95</v>
      </c>
      <c r="X263" s="45" t="str">
        <f>IF(AND(R263&lt;&gt;"",OR(U263="No reply",U263="Unknown")),R263+2,"")</f>
        <v/>
      </c>
      <c r="Y263" s="45"/>
      <c r="Z263" s="43" t="s">
        <v>96</v>
      </c>
      <c r="AA263" s="43" t="str">
        <f>IF(L263="Hold","Do not send",IF(T263="Not sent","Send WhatsApp",IF(U263="Demo booked","Prepare demo",IF(W263="Booked","Prepare demo",IF(AND(X263&lt;&gt;"",Y263=""),"Send follow-up","Review")))))</f>
        <v>Do not send</v>
      </c>
      <c r="AB263" s="43"/>
      <c r="AC263" s="43" t="s">
        <v>733</v>
      </c>
      <c r="AD263" s="43">
        <f>IF(AA263="Prepare demo",1,IF(AA263="Send follow-up",2,IF(AA263="Send WhatsApp",3,IF(AA263="Review",4,IF(AA263="Do not send",9,5)))))</f>
        <v>9</v>
      </c>
      <c r="AE263" s="43">
        <f>IF(M263="High",1,IF(M263="Medium",2,IF(M263="Normal",3,IF(M263="Hold",9,4))))</f>
        <v>9</v>
      </c>
      <c r="AF263" s="43">
        <f>IF(T263="Read",1,IF(T263="Delivered",2,IF(T263="Sent",3,IF(T263="Not sent",4,IF(T263="Failed",9,5)))))</f>
        <v>4</v>
      </c>
      <c r="AG263" s="43">
        <f>IF(U263="Demo booked",1,IF(U263="Interested",2,IF(U263="Replied",3,IF(U263="No reply",5,IF(U263="Not interested",8,IF(U263="Bad number",9,6))))))</f>
        <v>6</v>
      </c>
      <c r="AH263" s="46">
        <f>AD263*1000+AN263*100+AE263*10+AG263</f>
        <v>9596</v>
      </c>
      <c r="AI263" s="45">
        <f>MAX(IF(R263="",0,R263),IF(Y263="",0,Y263))</f>
        <v>0</v>
      </c>
      <c r="AJ263" s="43" t="str">
        <f ca="1">IF(AND(X263&lt;&gt;"",Y263="",X263&lt;TODAY()),"Overdue",IF(AND(X263&lt;&gt;"",Y263="",X263=TODAY()),"Due today",IF(Y263&lt;&gt;"","Follow-up sent","")))</f>
        <v/>
      </c>
      <c r="AK263" s="50" t="s">
        <v>734</v>
      </c>
      <c r="AL263" s="50" t="s">
        <v>735</v>
      </c>
      <c r="AM263" s="50" t="s">
        <v>736</v>
      </c>
      <c r="AN263" s="50">
        <v>5</v>
      </c>
      <c r="AO263" s="54" t="s">
        <v>1194</v>
      </c>
      <c r="AP263" s="57" t="s">
        <v>127</v>
      </c>
      <c r="AQ263" s="58"/>
      <c r="AR263" s="57"/>
    </row>
    <row r="264" spans="1:44" ht="54" customHeight="1" x14ac:dyDescent="0.25">
      <c r="A264" s="43" t="s">
        <v>1195</v>
      </c>
      <c r="B264" s="43" t="s">
        <v>790</v>
      </c>
      <c r="C264" s="43"/>
      <c r="D264" s="44" t="s">
        <v>1196</v>
      </c>
      <c r="E264" s="43"/>
      <c r="F264" s="43" t="s">
        <v>729</v>
      </c>
      <c r="G264" s="45"/>
      <c r="H264" s="45">
        <v>46161</v>
      </c>
      <c r="I264" s="43" t="s">
        <v>730</v>
      </c>
      <c r="J264" s="43" t="s">
        <v>731</v>
      </c>
      <c r="K264" s="43" t="str">
        <f>IF(LEN(D264)=10,"OK","Check")</f>
        <v>OK</v>
      </c>
      <c r="L264" s="43" t="s">
        <v>732</v>
      </c>
      <c r="M264" s="43" t="str">
        <f>IF(L264="Hold","Hold",IF(IFERROR(E264,0)&gt;=200,"High",IF(IFERROR(E264,0)&gt;=100,"Medium","Normal")))</f>
        <v>Hold</v>
      </c>
      <c r="N264" s="43" t="s">
        <v>90</v>
      </c>
      <c r="O264" s="43" t="s">
        <v>91</v>
      </c>
      <c r="P264" s="43" t="s">
        <v>92</v>
      </c>
      <c r="Q264" s="17" t="s">
        <v>93</v>
      </c>
      <c r="R264" s="45"/>
      <c r="S264" s="43"/>
      <c r="T264" s="43" t="s">
        <v>31</v>
      </c>
      <c r="U264" s="43" t="s">
        <v>94</v>
      </c>
      <c r="V264" s="43" t="s">
        <v>94</v>
      </c>
      <c r="W264" s="43" t="s">
        <v>95</v>
      </c>
      <c r="X264" s="45" t="str">
        <f>IF(AND(R264&lt;&gt;"",OR(U264="No reply",U264="Unknown")),R264+2,"")</f>
        <v/>
      </c>
      <c r="Y264" s="45"/>
      <c r="Z264" s="43" t="s">
        <v>96</v>
      </c>
      <c r="AA264" s="43" t="str">
        <f>IF(L264="Hold","Do not send",IF(T264="Not sent","Send WhatsApp",IF(U264="Demo booked","Prepare demo",IF(W264="Booked","Prepare demo",IF(AND(X264&lt;&gt;"",Y264=""),"Send follow-up","Review")))))</f>
        <v>Do not send</v>
      </c>
      <c r="AB264" s="43"/>
      <c r="AC264" s="43" t="s">
        <v>733</v>
      </c>
      <c r="AD264" s="43">
        <f>IF(AA264="Prepare demo",1,IF(AA264="Send follow-up",2,IF(AA264="Send WhatsApp",3,IF(AA264="Review",4,IF(AA264="Do not send",9,5)))))</f>
        <v>9</v>
      </c>
      <c r="AE264" s="43">
        <f>IF(M264="High",1,IF(M264="Medium",2,IF(M264="Normal",3,IF(M264="Hold",9,4))))</f>
        <v>9</v>
      </c>
      <c r="AF264" s="43">
        <f>IF(T264="Read",1,IF(T264="Delivered",2,IF(T264="Sent",3,IF(T264="Not sent",4,IF(T264="Failed",9,5)))))</f>
        <v>4</v>
      </c>
      <c r="AG264" s="43">
        <f>IF(U264="Demo booked",1,IF(U264="Interested",2,IF(U264="Replied",3,IF(U264="No reply",5,IF(U264="Not interested",8,IF(U264="Bad number",9,6))))))</f>
        <v>6</v>
      </c>
      <c r="AH264" s="46">
        <f>AD264*1000+AN264*100+AE264*10+AG264</f>
        <v>9596</v>
      </c>
      <c r="AI264" s="45">
        <f>MAX(IF(R264="",0,R264),IF(Y264="",0,Y264))</f>
        <v>0</v>
      </c>
      <c r="AJ264" s="43" t="str">
        <f ca="1">IF(AND(X264&lt;&gt;"",Y264="",X264&lt;TODAY()),"Overdue",IF(AND(X264&lt;&gt;"",Y264="",X264=TODAY()),"Due today",IF(Y264&lt;&gt;"","Follow-up sent","")))</f>
        <v/>
      </c>
      <c r="AK264" s="50" t="s">
        <v>734</v>
      </c>
      <c r="AL264" s="50" t="s">
        <v>735</v>
      </c>
      <c r="AM264" s="50" t="s">
        <v>736</v>
      </c>
      <c r="AN264" s="50">
        <v>5</v>
      </c>
      <c r="AO264" s="54" t="s">
        <v>1197</v>
      </c>
      <c r="AP264" s="57" t="s">
        <v>127</v>
      </c>
      <c r="AQ264" s="58"/>
      <c r="AR264" s="57"/>
    </row>
    <row r="265" spans="1:44" ht="54" customHeight="1" x14ac:dyDescent="0.25">
      <c r="A265" s="43" t="s">
        <v>1198</v>
      </c>
      <c r="B265" s="43" t="s">
        <v>790</v>
      </c>
      <c r="C265" s="43"/>
      <c r="D265" s="44" t="s">
        <v>1199</v>
      </c>
      <c r="E265" s="43"/>
      <c r="F265" s="43" t="s">
        <v>729</v>
      </c>
      <c r="G265" s="45"/>
      <c r="H265" s="45">
        <v>46161</v>
      </c>
      <c r="I265" s="43" t="s">
        <v>730</v>
      </c>
      <c r="J265" s="43" t="s">
        <v>731</v>
      </c>
      <c r="K265" s="43" t="str">
        <f>IF(LEN(D265)=10,"OK","Check")</f>
        <v>OK</v>
      </c>
      <c r="L265" s="43" t="s">
        <v>732</v>
      </c>
      <c r="M265" s="43" t="str">
        <f>IF(L265="Hold","Hold",IF(IFERROR(E265,0)&gt;=200,"High",IF(IFERROR(E265,0)&gt;=100,"Medium","Normal")))</f>
        <v>Hold</v>
      </c>
      <c r="N265" s="43" t="s">
        <v>90</v>
      </c>
      <c r="O265" s="43" t="s">
        <v>91</v>
      </c>
      <c r="P265" s="43" t="s">
        <v>92</v>
      </c>
      <c r="Q265" s="17" t="s">
        <v>93</v>
      </c>
      <c r="R265" s="45"/>
      <c r="S265" s="43"/>
      <c r="T265" s="43" t="s">
        <v>31</v>
      </c>
      <c r="U265" s="43" t="s">
        <v>94</v>
      </c>
      <c r="V265" s="43" t="s">
        <v>94</v>
      </c>
      <c r="W265" s="43" t="s">
        <v>95</v>
      </c>
      <c r="X265" s="45" t="str">
        <f>IF(AND(R265&lt;&gt;"",OR(U265="No reply",U265="Unknown")),R265+2,"")</f>
        <v/>
      </c>
      <c r="Y265" s="45"/>
      <c r="Z265" s="43" t="s">
        <v>96</v>
      </c>
      <c r="AA265" s="43" t="str">
        <f>IF(L265="Hold","Do not send",IF(T265="Not sent","Send WhatsApp",IF(U265="Demo booked","Prepare demo",IF(W265="Booked","Prepare demo",IF(AND(X265&lt;&gt;"",Y265=""),"Send follow-up","Review")))))</f>
        <v>Do not send</v>
      </c>
      <c r="AB265" s="43"/>
      <c r="AC265" s="43" t="s">
        <v>733</v>
      </c>
      <c r="AD265" s="43">
        <f>IF(AA265="Prepare demo",1,IF(AA265="Send follow-up",2,IF(AA265="Send WhatsApp",3,IF(AA265="Review",4,IF(AA265="Do not send",9,5)))))</f>
        <v>9</v>
      </c>
      <c r="AE265" s="43">
        <f>IF(M265="High",1,IF(M265="Medium",2,IF(M265="Normal",3,IF(M265="Hold",9,4))))</f>
        <v>9</v>
      </c>
      <c r="AF265" s="43">
        <f>IF(T265="Read",1,IF(T265="Delivered",2,IF(T265="Sent",3,IF(T265="Not sent",4,IF(T265="Failed",9,5)))))</f>
        <v>4</v>
      </c>
      <c r="AG265" s="43">
        <f>IF(U265="Demo booked",1,IF(U265="Interested",2,IF(U265="Replied",3,IF(U265="No reply",5,IF(U265="Not interested",8,IF(U265="Bad number",9,6))))))</f>
        <v>6</v>
      </c>
      <c r="AH265" s="46">
        <f>AD265*1000+AN265*100+AE265*10+AG265</f>
        <v>9596</v>
      </c>
      <c r="AI265" s="45">
        <f>MAX(IF(R265="",0,R265),IF(Y265="",0,Y265))</f>
        <v>0</v>
      </c>
      <c r="AJ265" s="43" t="str">
        <f ca="1">IF(AND(X265&lt;&gt;"",Y265="",X265&lt;TODAY()),"Overdue",IF(AND(X265&lt;&gt;"",Y265="",X265=TODAY()),"Due today",IF(Y265&lt;&gt;"","Follow-up sent","")))</f>
        <v/>
      </c>
      <c r="AK265" s="50" t="s">
        <v>734</v>
      </c>
      <c r="AL265" s="50" t="s">
        <v>735</v>
      </c>
      <c r="AM265" s="50" t="s">
        <v>736</v>
      </c>
      <c r="AN265" s="50">
        <v>5</v>
      </c>
      <c r="AO265" s="54" t="s">
        <v>1200</v>
      </c>
      <c r="AP265" s="57" t="s">
        <v>127</v>
      </c>
      <c r="AQ265" s="58"/>
      <c r="AR265" s="57"/>
    </row>
    <row r="266" spans="1:44" ht="54" customHeight="1" x14ac:dyDescent="0.25">
      <c r="A266" s="43" t="s">
        <v>1201</v>
      </c>
      <c r="B266" s="43" t="s">
        <v>790</v>
      </c>
      <c r="C266" s="43"/>
      <c r="D266" s="44" t="s">
        <v>1202</v>
      </c>
      <c r="E266" s="43"/>
      <c r="F266" s="43" t="s">
        <v>729</v>
      </c>
      <c r="G266" s="45"/>
      <c r="H266" s="45">
        <v>46161</v>
      </c>
      <c r="I266" s="43" t="s">
        <v>730</v>
      </c>
      <c r="J266" s="43" t="s">
        <v>731</v>
      </c>
      <c r="K266" s="43" t="str">
        <f>IF(LEN(D266)=10,"OK","Check")</f>
        <v>OK</v>
      </c>
      <c r="L266" s="43" t="s">
        <v>732</v>
      </c>
      <c r="M266" s="43" t="str">
        <f>IF(L266="Hold","Hold",IF(IFERROR(E266,0)&gt;=200,"High",IF(IFERROR(E266,0)&gt;=100,"Medium","Normal")))</f>
        <v>Hold</v>
      </c>
      <c r="N266" s="43" t="s">
        <v>90</v>
      </c>
      <c r="O266" s="43" t="s">
        <v>91</v>
      </c>
      <c r="P266" s="43" t="s">
        <v>92</v>
      </c>
      <c r="Q266" s="17" t="s">
        <v>93</v>
      </c>
      <c r="R266" s="45"/>
      <c r="S266" s="43"/>
      <c r="T266" s="43" t="s">
        <v>31</v>
      </c>
      <c r="U266" s="43" t="s">
        <v>94</v>
      </c>
      <c r="V266" s="43" t="s">
        <v>94</v>
      </c>
      <c r="W266" s="43" t="s">
        <v>95</v>
      </c>
      <c r="X266" s="45" t="str">
        <f>IF(AND(R266&lt;&gt;"",OR(U266="No reply",U266="Unknown")),R266+2,"")</f>
        <v/>
      </c>
      <c r="Y266" s="45"/>
      <c r="Z266" s="43" t="s">
        <v>96</v>
      </c>
      <c r="AA266" s="43" t="str">
        <f>IF(L266="Hold","Do not send",IF(T266="Not sent","Send WhatsApp",IF(U266="Demo booked","Prepare demo",IF(W266="Booked","Prepare demo",IF(AND(X266&lt;&gt;"",Y266=""),"Send follow-up","Review")))))</f>
        <v>Do not send</v>
      </c>
      <c r="AB266" s="43"/>
      <c r="AC266" s="43" t="s">
        <v>733</v>
      </c>
      <c r="AD266" s="43">
        <f>IF(AA266="Prepare demo",1,IF(AA266="Send follow-up",2,IF(AA266="Send WhatsApp",3,IF(AA266="Review",4,IF(AA266="Do not send",9,5)))))</f>
        <v>9</v>
      </c>
      <c r="AE266" s="43">
        <f>IF(M266="High",1,IF(M266="Medium",2,IF(M266="Normal",3,IF(M266="Hold",9,4))))</f>
        <v>9</v>
      </c>
      <c r="AF266" s="43">
        <f>IF(T266="Read",1,IF(T266="Delivered",2,IF(T266="Sent",3,IF(T266="Not sent",4,IF(T266="Failed",9,5)))))</f>
        <v>4</v>
      </c>
      <c r="AG266" s="43">
        <f>IF(U266="Demo booked",1,IF(U266="Interested",2,IF(U266="Replied",3,IF(U266="No reply",5,IF(U266="Not interested",8,IF(U266="Bad number",9,6))))))</f>
        <v>6</v>
      </c>
      <c r="AH266" s="46">
        <f>AD266*1000+AN266*100+AE266*10+AG266</f>
        <v>9596</v>
      </c>
      <c r="AI266" s="45">
        <f>MAX(IF(R266="",0,R266),IF(Y266="",0,Y266))</f>
        <v>0</v>
      </c>
      <c r="AJ266" s="43" t="str">
        <f ca="1">IF(AND(X266&lt;&gt;"",Y266="",X266&lt;TODAY()),"Overdue",IF(AND(X266&lt;&gt;"",Y266="",X266=TODAY()),"Due today",IF(Y266&lt;&gt;"","Follow-up sent","")))</f>
        <v/>
      </c>
      <c r="AK266" s="50" t="s">
        <v>734</v>
      </c>
      <c r="AL266" s="50" t="s">
        <v>735</v>
      </c>
      <c r="AM266" s="50" t="s">
        <v>736</v>
      </c>
      <c r="AN266" s="50">
        <v>5</v>
      </c>
      <c r="AO266" s="54" t="s">
        <v>1203</v>
      </c>
      <c r="AP266" s="57" t="s">
        <v>127</v>
      </c>
      <c r="AQ266" s="58"/>
      <c r="AR266" s="57"/>
    </row>
    <row r="267" spans="1:44" ht="54" customHeight="1" x14ac:dyDescent="0.25">
      <c r="A267" s="43" t="s">
        <v>1204</v>
      </c>
      <c r="B267" s="43" t="s">
        <v>790</v>
      </c>
      <c r="C267" s="43"/>
      <c r="D267" s="44" t="s">
        <v>1205</v>
      </c>
      <c r="E267" s="43"/>
      <c r="F267" s="43" t="s">
        <v>729</v>
      </c>
      <c r="G267" s="45"/>
      <c r="H267" s="45">
        <v>46161</v>
      </c>
      <c r="I267" s="43" t="s">
        <v>730</v>
      </c>
      <c r="J267" s="43" t="s">
        <v>731</v>
      </c>
      <c r="K267" s="43" t="str">
        <f>IF(LEN(D267)=10,"OK","Check")</f>
        <v>OK</v>
      </c>
      <c r="L267" s="43" t="s">
        <v>732</v>
      </c>
      <c r="M267" s="43" t="str">
        <f>IF(L267="Hold","Hold",IF(IFERROR(E267,0)&gt;=200,"High",IF(IFERROR(E267,0)&gt;=100,"Medium","Normal")))</f>
        <v>Hold</v>
      </c>
      <c r="N267" s="43" t="s">
        <v>90</v>
      </c>
      <c r="O267" s="43" t="s">
        <v>91</v>
      </c>
      <c r="P267" s="43" t="s">
        <v>92</v>
      </c>
      <c r="Q267" s="17" t="s">
        <v>93</v>
      </c>
      <c r="R267" s="45"/>
      <c r="S267" s="43"/>
      <c r="T267" s="43" t="s">
        <v>31</v>
      </c>
      <c r="U267" s="43" t="s">
        <v>94</v>
      </c>
      <c r="V267" s="43" t="s">
        <v>94</v>
      </c>
      <c r="W267" s="43" t="s">
        <v>95</v>
      </c>
      <c r="X267" s="45" t="str">
        <f>IF(AND(R267&lt;&gt;"",OR(U267="No reply",U267="Unknown")),R267+2,"")</f>
        <v/>
      </c>
      <c r="Y267" s="45"/>
      <c r="Z267" s="43" t="s">
        <v>96</v>
      </c>
      <c r="AA267" s="43" t="str">
        <f>IF(L267="Hold","Do not send",IF(T267="Not sent","Send WhatsApp",IF(U267="Demo booked","Prepare demo",IF(W267="Booked","Prepare demo",IF(AND(X267&lt;&gt;"",Y267=""),"Send follow-up","Review")))))</f>
        <v>Do not send</v>
      </c>
      <c r="AB267" s="43"/>
      <c r="AC267" s="43" t="s">
        <v>733</v>
      </c>
      <c r="AD267" s="43">
        <f>IF(AA267="Prepare demo",1,IF(AA267="Send follow-up",2,IF(AA267="Send WhatsApp",3,IF(AA267="Review",4,IF(AA267="Do not send",9,5)))))</f>
        <v>9</v>
      </c>
      <c r="AE267" s="43">
        <f>IF(M267="High",1,IF(M267="Medium",2,IF(M267="Normal",3,IF(M267="Hold",9,4))))</f>
        <v>9</v>
      </c>
      <c r="AF267" s="43">
        <f>IF(T267="Read",1,IF(T267="Delivered",2,IF(T267="Sent",3,IF(T267="Not sent",4,IF(T267="Failed",9,5)))))</f>
        <v>4</v>
      </c>
      <c r="AG267" s="43">
        <f>IF(U267="Demo booked",1,IF(U267="Interested",2,IF(U267="Replied",3,IF(U267="No reply",5,IF(U267="Not interested",8,IF(U267="Bad number",9,6))))))</f>
        <v>6</v>
      </c>
      <c r="AH267" s="46">
        <f>AD267*1000+AN267*100+AE267*10+AG267</f>
        <v>9596</v>
      </c>
      <c r="AI267" s="45">
        <f>MAX(IF(R267="",0,R267),IF(Y267="",0,Y267))</f>
        <v>0</v>
      </c>
      <c r="AJ267" s="43" t="str">
        <f ca="1">IF(AND(X267&lt;&gt;"",Y267="",X267&lt;TODAY()),"Overdue",IF(AND(X267&lt;&gt;"",Y267="",X267=TODAY()),"Due today",IF(Y267&lt;&gt;"","Follow-up sent","")))</f>
        <v/>
      </c>
      <c r="AK267" s="50" t="s">
        <v>734</v>
      </c>
      <c r="AL267" s="50" t="s">
        <v>735</v>
      </c>
      <c r="AM267" s="50" t="s">
        <v>736</v>
      </c>
      <c r="AN267" s="50">
        <v>5</v>
      </c>
      <c r="AO267" s="54" t="s">
        <v>1206</v>
      </c>
      <c r="AP267" s="57" t="s">
        <v>127</v>
      </c>
      <c r="AQ267" s="58"/>
      <c r="AR267" s="57"/>
    </row>
    <row r="268" spans="1:44" ht="54" customHeight="1" x14ac:dyDescent="0.25">
      <c r="A268" s="43" t="s">
        <v>1207</v>
      </c>
      <c r="B268" s="43" t="s">
        <v>790</v>
      </c>
      <c r="C268" s="43"/>
      <c r="D268" s="44" t="s">
        <v>1208</v>
      </c>
      <c r="E268" s="43"/>
      <c r="F268" s="43" t="s">
        <v>729</v>
      </c>
      <c r="G268" s="45"/>
      <c r="H268" s="45">
        <v>46161</v>
      </c>
      <c r="I268" s="43" t="s">
        <v>730</v>
      </c>
      <c r="J268" s="43" t="s">
        <v>731</v>
      </c>
      <c r="K268" s="43" t="str">
        <f>IF(LEN(D268)=10,"OK","Check")</f>
        <v>OK</v>
      </c>
      <c r="L268" s="43" t="s">
        <v>732</v>
      </c>
      <c r="M268" s="43" t="str">
        <f>IF(L268="Hold","Hold",IF(IFERROR(E268,0)&gt;=200,"High",IF(IFERROR(E268,0)&gt;=100,"Medium","Normal")))</f>
        <v>Hold</v>
      </c>
      <c r="N268" s="43" t="s">
        <v>90</v>
      </c>
      <c r="O268" s="43" t="s">
        <v>91</v>
      </c>
      <c r="P268" s="43" t="s">
        <v>92</v>
      </c>
      <c r="Q268" s="17" t="s">
        <v>93</v>
      </c>
      <c r="R268" s="45"/>
      <c r="S268" s="43"/>
      <c r="T268" s="43" t="s">
        <v>31</v>
      </c>
      <c r="U268" s="43" t="s">
        <v>94</v>
      </c>
      <c r="V268" s="43" t="s">
        <v>94</v>
      </c>
      <c r="W268" s="43" t="s">
        <v>95</v>
      </c>
      <c r="X268" s="45" t="str">
        <f>IF(AND(R268&lt;&gt;"",OR(U268="No reply",U268="Unknown")),R268+2,"")</f>
        <v/>
      </c>
      <c r="Y268" s="45"/>
      <c r="Z268" s="43" t="s">
        <v>96</v>
      </c>
      <c r="AA268" s="43" t="str">
        <f>IF(L268="Hold","Do not send",IF(T268="Not sent","Send WhatsApp",IF(U268="Demo booked","Prepare demo",IF(W268="Booked","Prepare demo",IF(AND(X268&lt;&gt;"",Y268=""),"Send follow-up","Review")))))</f>
        <v>Do not send</v>
      </c>
      <c r="AB268" s="43"/>
      <c r="AC268" s="43" t="s">
        <v>733</v>
      </c>
      <c r="AD268" s="43">
        <f>IF(AA268="Prepare demo",1,IF(AA268="Send follow-up",2,IF(AA268="Send WhatsApp",3,IF(AA268="Review",4,IF(AA268="Do not send",9,5)))))</f>
        <v>9</v>
      </c>
      <c r="AE268" s="43">
        <f>IF(M268="High",1,IF(M268="Medium",2,IF(M268="Normal",3,IF(M268="Hold",9,4))))</f>
        <v>9</v>
      </c>
      <c r="AF268" s="43">
        <f>IF(T268="Read",1,IF(T268="Delivered",2,IF(T268="Sent",3,IF(T268="Not sent",4,IF(T268="Failed",9,5)))))</f>
        <v>4</v>
      </c>
      <c r="AG268" s="43">
        <f>IF(U268="Demo booked",1,IF(U268="Interested",2,IF(U268="Replied",3,IF(U268="No reply",5,IF(U268="Not interested",8,IF(U268="Bad number",9,6))))))</f>
        <v>6</v>
      </c>
      <c r="AH268" s="46">
        <f>AD268*1000+AN268*100+AE268*10+AG268</f>
        <v>9596</v>
      </c>
      <c r="AI268" s="45">
        <f>MAX(IF(R268="",0,R268),IF(Y268="",0,Y268))</f>
        <v>0</v>
      </c>
      <c r="AJ268" s="43" t="str">
        <f ca="1">IF(AND(X268&lt;&gt;"",Y268="",X268&lt;TODAY()),"Overdue",IF(AND(X268&lt;&gt;"",Y268="",X268=TODAY()),"Due today",IF(Y268&lt;&gt;"","Follow-up sent","")))</f>
        <v/>
      </c>
      <c r="AK268" s="50" t="s">
        <v>734</v>
      </c>
      <c r="AL268" s="50" t="s">
        <v>735</v>
      </c>
      <c r="AM268" s="50" t="s">
        <v>736</v>
      </c>
      <c r="AN268" s="50">
        <v>5</v>
      </c>
      <c r="AO268" s="54" t="s">
        <v>1209</v>
      </c>
      <c r="AP268" s="57" t="s">
        <v>127</v>
      </c>
      <c r="AQ268" s="58"/>
      <c r="AR268" s="57"/>
    </row>
    <row r="269" spans="1:44" ht="54" customHeight="1" x14ac:dyDescent="0.25">
      <c r="A269" s="43" t="s">
        <v>1210</v>
      </c>
      <c r="B269" s="43" t="s">
        <v>790</v>
      </c>
      <c r="C269" s="43"/>
      <c r="D269" s="44" t="s">
        <v>1211</v>
      </c>
      <c r="E269" s="43"/>
      <c r="F269" s="43" t="s">
        <v>729</v>
      </c>
      <c r="G269" s="45"/>
      <c r="H269" s="45">
        <v>46161</v>
      </c>
      <c r="I269" s="43" t="s">
        <v>730</v>
      </c>
      <c r="J269" s="43" t="s">
        <v>731</v>
      </c>
      <c r="K269" s="43" t="str">
        <f>IF(LEN(D269)=10,"OK","Check")</f>
        <v>OK</v>
      </c>
      <c r="L269" s="43" t="s">
        <v>732</v>
      </c>
      <c r="M269" s="43" t="str">
        <f>IF(L269="Hold","Hold",IF(IFERROR(E269,0)&gt;=200,"High",IF(IFERROR(E269,0)&gt;=100,"Medium","Normal")))</f>
        <v>Hold</v>
      </c>
      <c r="N269" s="43" t="s">
        <v>90</v>
      </c>
      <c r="O269" s="43" t="s">
        <v>91</v>
      </c>
      <c r="P269" s="43" t="s">
        <v>92</v>
      </c>
      <c r="Q269" s="17" t="s">
        <v>93</v>
      </c>
      <c r="R269" s="45"/>
      <c r="S269" s="43"/>
      <c r="T269" s="43" t="s">
        <v>31</v>
      </c>
      <c r="U269" s="43" t="s">
        <v>94</v>
      </c>
      <c r="V269" s="43" t="s">
        <v>94</v>
      </c>
      <c r="W269" s="43" t="s">
        <v>95</v>
      </c>
      <c r="X269" s="45" t="str">
        <f>IF(AND(R269&lt;&gt;"",OR(U269="No reply",U269="Unknown")),R269+2,"")</f>
        <v/>
      </c>
      <c r="Y269" s="45"/>
      <c r="Z269" s="43" t="s">
        <v>96</v>
      </c>
      <c r="AA269" s="43" t="str">
        <f>IF(L269="Hold","Do not send",IF(T269="Not sent","Send WhatsApp",IF(U269="Demo booked","Prepare demo",IF(W269="Booked","Prepare demo",IF(AND(X269&lt;&gt;"",Y269=""),"Send follow-up","Review")))))</f>
        <v>Do not send</v>
      </c>
      <c r="AB269" s="43"/>
      <c r="AC269" s="43" t="s">
        <v>733</v>
      </c>
      <c r="AD269" s="43">
        <f>IF(AA269="Prepare demo",1,IF(AA269="Send follow-up",2,IF(AA269="Send WhatsApp",3,IF(AA269="Review",4,IF(AA269="Do not send",9,5)))))</f>
        <v>9</v>
      </c>
      <c r="AE269" s="43">
        <f>IF(M269="High",1,IF(M269="Medium",2,IF(M269="Normal",3,IF(M269="Hold",9,4))))</f>
        <v>9</v>
      </c>
      <c r="AF269" s="43">
        <f>IF(T269="Read",1,IF(T269="Delivered",2,IF(T269="Sent",3,IF(T269="Not sent",4,IF(T269="Failed",9,5)))))</f>
        <v>4</v>
      </c>
      <c r="AG269" s="43">
        <f>IF(U269="Demo booked",1,IF(U269="Interested",2,IF(U269="Replied",3,IF(U269="No reply",5,IF(U269="Not interested",8,IF(U269="Bad number",9,6))))))</f>
        <v>6</v>
      </c>
      <c r="AH269" s="46">
        <f>AD269*1000+AN269*100+AE269*10+AG269</f>
        <v>9596</v>
      </c>
      <c r="AI269" s="45">
        <f>MAX(IF(R269="",0,R269),IF(Y269="",0,Y269))</f>
        <v>0</v>
      </c>
      <c r="AJ269" s="43" t="str">
        <f ca="1">IF(AND(X269&lt;&gt;"",Y269="",X269&lt;TODAY()),"Overdue",IF(AND(X269&lt;&gt;"",Y269="",X269=TODAY()),"Due today",IF(Y269&lt;&gt;"","Follow-up sent","")))</f>
        <v/>
      </c>
      <c r="AK269" s="50" t="s">
        <v>734</v>
      </c>
      <c r="AL269" s="50" t="s">
        <v>735</v>
      </c>
      <c r="AM269" s="50" t="s">
        <v>736</v>
      </c>
      <c r="AN269" s="50">
        <v>5</v>
      </c>
      <c r="AO269" s="54" t="s">
        <v>1212</v>
      </c>
      <c r="AP269" s="57" t="s">
        <v>127</v>
      </c>
      <c r="AQ269" s="58"/>
      <c r="AR269" s="57"/>
    </row>
    <row r="270" spans="1:44" ht="54" customHeight="1" x14ac:dyDescent="0.25">
      <c r="A270" s="43" t="s">
        <v>1213</v>
      </c>
      <c r="B270" s="43" t="s">
        <v>790</v>
      </c>
      <c r="C270" s="43"/>
      <c r="D270" s="44" t="s">
        <v>1214</v>
      </c>
      <c r="E270" s="43"/>
      <c r="F270" s="43" t="s">
        <v>729</v>
      </c>
      <c r="G270" s="45"/>
      <c r="H270" s="45">
        <v>46161</v>
      </c>
      <c r="I270" s="43" t="s">
        <v>730</v>
      </c>
      <c r="J270" s="43" t="s">
        <v>731</v>
      </c>
      <c r="K270" s="43" t="str">
        <f>IF(LEN(D270)=10,"OK","Check")</f>
        <v>OK</v>
      </c>
      <c r="L270" s="43" t="s">
        <v>732</v>
      </c>
      <c r="M270" s="43" t="str">
        <f>IF(L270="Hold","Hold",IF(IFERROR(E270,0)&gt;=200,"High",IF(IFERROR(E270,0)&gt;=100,"Medium","Normal")))</f>
        <v>Hold</v>
      </c>
      <c r="N270" s="43" t="s">
        <v>90</v>
      </c>
      <c r="O270" s="43" t="s">
        <v>91</v>
      </c>
      <c r="P270" s="43" t="s">
        <v>92</v>
      </c>
      <c r="Q270" s="17" t="s">
        <v>93</v>
      </c>
      <c r="R270" s="45"/>
      <c r="S270" s="43"/>
      <c r="T270" s="43" t="s">
        <v>31</v>
      </c>
      <c r="U270" s="43" t="s">
        <v>94</v>
      </c>
      <c r="V270" s="43" t="s">
        <v>94</v>
      </c>
      <c r="W270" s="43" t="s">
        <v>95</v>
      </c>
      <c r="X270" s="45" t="str">
        <f>IF(AND(R270&lt;&gt;"",OR(U270="No reply",U270="Unknown")),R270+2,"")</f>
        <v/>
      </c>
      <c r="Y270" s="45"/>
      <c r="Z270" s="43" t="s">
        <v>96</v>
      </c>
      <c r="AA270" s="43" t="str">
        <f>IF(L270="Hold","Do not send",IF(T270="Not sent","Send WhatsApp",IF(U270="Demo booked","Prepare demo",IF(W270="Booked","Prepare demo",IF(AND(X270&lt;&gt;"",Y270=""),"Send follow-up","Review")))))</f>
        <v>Do not send</v>
      </c>
      <c r="AB270" s="43"/>
      <c r="AC270" s="43" t="s">
        <v>733</v>
      </c>
      <c r="AD270" s="43">
        <f>IF(AA270="Prepare demo",1,IF(AA270="Send follow-up",2,IF(AA270="Send WhatsApp",3,IF(AA270="Review",4,IF(AA270="Do not send",9,5)))))</f>
        <v>9</v>
      </c>
      <c r="AE270" s="43">
        <f>IF(M270="High",1,IF(M270="Medium",2,IF(M270="Normal",3,IF(M270="Hold",9,4))))</f>
        <v>9</v>
      </c>
      <c r="AF270" s="43">
        <f>IF(T270="Read",1,IF(T270="Delivered",2,IF(T270="Sent",3,IF(T270="Not sent",4,IF(T270="Failed",9,5)))))</f>
        <v>4</v>
      </c>
      <c r="AG270" s="43">
        <f>IF(U270="Demo booked",1,IF(U270="Interested",2,IF(U270="Replied",3,IF(U270="No reply",5,IF(U270="Not interested",8,IF(U270="Bad number",9,6))))))</f>
        <v>6</v>
      </c>
      <c r="AH270" s="46">
        <f>AD270*1000+AN270*100+AE270*10+AG270</f>
        <v>9596</v>
      </c>
      <c r="AI270" s="45">
        <f>MAX(IF(R270="",0,R270),IF(Y270="",0,Y270))</f>
        <v>0</v>
      </c>
      <c r="AJ270" s="43" t="str">
        <f ca="1">IF(AND(X270&lt;&gt;"",Y270="",X270&lt;TODAY()),"Overdue",IF(AND(X270&lt;&gt;"",Y270="",X270=TODAY()),"Due today",IF(Y270&lt;&gt;"","Follow-up sent","")))</f>
        <v/>
      </c>
      <c r="AK270" s="50" t="s">
        <v>734</v>
      </c>
      <c r="AL270" s="50" t="s">
        <v>735</v>
      </c>
      <c r="AM270" s="50" t="s">
        <v>736</v>
      </c>
      <c r="AN270" s="50">
        <v>5</v>
      </c>
      <c r="AO270" s="54" t="s">
        <v>1215</v>
      </c>
      <c r="AP270" s="57" t="s">
        <v>127</v>
      </c>
      <c r="AQ270" s="58"/>
      <c r="AR270" s="57"/>
    </row>
    <row r="271" spans="1:44" ht="54" customHeight="1" x14ac:dyDescent="0.25">
      <c r="A271" s="43" t="s">
        <v>1216</v>
      </c>
      <c r="B271" s="43" t="s">
        <v>790</v>
      </c>
      <c r="C271" s="43"/>
      <c r="D271" s="44" t="s">
        <v>1217</v>
      </c>
      <c r="E271" s="43"/>
      <c r="F271" s="43" t="s">
        <v>729</v>
      </c>
      <c r="G271" s="45"/>
      <c r="H271" s="45">
        <v>46161</v>
      </c>
      <c r="I271" s="43" t="s">
        <v>730</v>
      </c>
      <c r="J271" s="43" t="s">
        <v>731</v>
      </c>
      <c r="K271" s="43" t="str">
        <f>IF(LEN(D271)=10,"OK","Check")</f>
        <v>OK</v>
      </c>
      <c r="L271" s="43" t="s">
        <v>732</v>
      </c>
      <c r="M271" s="43" t="str">
        <f>IF(L271="Hold","Hold",IF(IFERROR(E271,0)&gt;=200,"High",IF(IFERROR(E271,0)&gt;=100,"Medium","Normal")))</f>
        <v>Hold</v>
      </c>
      <c r="N271" s="43" t="s">
        <v>90</v>
      </c>
      <c r="O271" s="43" t="s">
        <v>91</v>
      </c>
      <c r="P271" s="43" t="s">
        <v>92</v>
      </c>
      <c r="Q271" s="17" t="s">
        <v>93</v>
      </c>
      <c r="R271" s="45"/>
      <c r="S271" s="43"/>
      <c r="T271" s="43" t="s">
        <v>31</v>
      </c>
      <c r="U271" s="43" t="s">
        <v>94</v>
      </c>
      <c r="V271" s="43" t="s">
        <v>94</v>
      </c>
      <c r="W271" s="43" t="s">
        <v>95</v>
      </c>
      <c r="X271" s="45" t="str">
        <f>IF(AND(R271&lt;&gt;"",OR(U271="No reply",U271="Unknown")),R271+2,"")</f>
        <v/>
      </c>
      <c r="Y271" s="45"/>
      <c r="Z271" s="43" t="s">
        <v>96</v>
      </c>
      <c r="AA271" s="43" t="str">
        <f>IF(L271="Hold","Do not send",IF(T271="Not sent","Send WhatsApp",IF(U271="Demo booked","Prepare demo",IF(W271="Booked","Prepare demo",IF(AND(X271&lt;&gt;"",Y271=""),"Send follow-up","Review")))))</f>
        <v>Do not send</v>
      </c>
      <c r="AB271" s="43"/>
      <c r="AC271" s="43" t="s">
        <v>733</v>
      </c>
      <c r="AD271" s="43">
        <f>IF(AA271="Prepare demo",1,IF(AA271="Send follow-up",2,IF(AA271="Send WhatsApp",3,IF(AA271="Review",4,IF(AA271="Do not send",9,5)))))</f>
        <v>9</v>
      </c>
      <c r="AE271" s="43">
        <f>IF(M271="High",1,IF(M271="Medium",2,IF(M271="Normal",3,IF(M271="Hold",9,4))))</f>
        <v>9</v>
      </c>
      <c r="AF271" s="43">
        <f>IF(T271="Read",1,IF(T271="Delivered",2,IF(T271="Sent",3,IF(T271="Not sent",4,IF(T271="Failed",9,5)))))</f>
        <v>4</v>
      </c>
      <c r="AG271" s="43">
        <f>IF(U271="Demo booked",1,IF(U271="Interested",2,IF(U271="Replied",3,IF(U271="No reply",5,IF(U271="Not interested",8,IF(U271="Bad number",9,6))))))</f>
        <v>6</v>
      </c>
      <c r="AH271" s="46">
        <f>AD271*1000+AN271*100+AE271*10+AG271</f>
        <v>9596</v>
      </c>
      <c r="AI271" s="45">
        <f>MAX(IF(R271="",0,R271),IF(Y271="",0,Y271))</f>
        <v>0</v>
      </c>
      <c r="AJ271" s="43" t="str">
        <f ca="1">IF(AND(X271&lt;&gt;"",Y271="",X271&lt;TODAY()),"Overdue",IF(AND(X271&lt;&gt;"",Y271="",X271=TODAY()),"Due today",IF(Y271&lt;&gt;"","Follow-up sent","")))</f>
        <v/>
      </c>
      <c r="AK271" s="50" t="s">
        <v>734</v>
      </c>
      <c r="AL271" s="50" t="s">
        <v>735</v>
      </c>
      <c r="AM271" s="50" t="s">
        <v>736</v>
      </c>
      <c r="AN271" s="50">
        <v>5</v>
      </c>
      <c r="AO271" s="54" t="s">
        <v>1218</v>
      </c>
      <c r="AP271" s="57" t="s">
        <v>127</v>
      </c>
      <c r="AQ271" s="58"/>
      <c r="AR271" s="57"/>
    </row>
    <row r="272" spans="1:44" ht="54" customHeight="1" x14ac:dyDescent="0.25">
      <c r="A272" s="43" t="s">
        <v>1219</v>
      </c>
      <c r="B272" s="43" t="s">
        <v>790</v>
      </c>
      <c r="C272" s="43"/>
      <c r="D272" s="44" t="s">
        <v>1220</v>
      </c>
      <c r="E272" s="43"/>
      <c r="F272" s="43" t="s">
        <v>729</v>
      </c>
      <c r="G272" s="45"/>
      <c r="H272" s="45">
        <v>46161</v>
      </c>
      <c r="I272" s="43" t="s">
        <v>730</v>
      </c>
      <c r="J272" s="43" t="s">
        <v>731</v>
      </c>
      <c r="K272" s="43" t="str">
        <f>IF(LEN(D272)=10,"OK","Check")</f>
        <v>OK</v>
      </c>
      <c r="L272" s="43" t="s">
        <v>732</v>
      </c>
      <c r="M272" s="43" t="str">
        <f>IF(L272="Hold","Hold",IF(IFERROR(E272,0)&gt;=200,"High",IF(IFERROR(E272,0)&gt;=100,"Medium","Normal")))</f>
        <v>Hold</v>
      </c>
      <c r="N272" s="43" t="s">
        <v>90</v>
      </c>
      <c r="O272" s="43" t="s">
        <v>91</v>
      </c>
      <c r="P272" s="43" t="s">
        <v>92</v>
      </c>
      <c r="Q272" s="17" t="s">
        <v>93</v>
      </c>
      <c r="R272" s="45"/>
      <c r="S272" s="43"/>
      <c r="T272" s="43" t="s">
        <v>31</v>
      </c>
      <c r="U272" s="43" t="s">
        <v>94</v>
      </c>
      <c r="V272" s="43" t="s">
        <v>94</v>
      </c>
      <c r="W272" s="43" t="s">
        <v>95</v>
      </c>
      <c r="X272" s="45" t="str">
        <f>IF(AND(R272&lt;&gt;"",OR(U272="No reply",U272="Unknown")),R272+2,"")</f>
        <v/>
      </c>
      <c r="Y272" s="45"/>
      <c r="Z272" s="43" t="s">
        <v>96</v>
      </c>
      <c r="AA272" s="43" t="str">
        <f>IF(L272="Hold","Do not send",IF(T272="Not sent","Send WhatsApp",IF(U272="Demo booked","Prepare demo",IF(W272="Booked","Prepare demo",IF(AND(X272&lt;&gt;"",Y272=""),"Send follow-up","Review")))))</f>
        <v>Do not send</v>
      </c>
      <c r="AB272" s="43"/>
      <c r="AC272" s="43" t="s">
        <v>733</v>
      </c>
      <c r="AD272" s="43">
        <f>IF(AA272="Prepare demo",1,IF(AA272="Send follow-up",2,IF(AA272="Send WhatsApp",3,IF(AA272="Review",4,IF(AA272="Do not send",9,5)))))</f>
        <v>9</v>
      </c>
      <c r="AE272" s="43">
        <f>IF(M272="High",1,IF(M272="Medium",2,IF(M272="Normal",3,IF(M272="Hold",9,4))))</f>
        <v>9</v>
      </c>
      <c r="AF272" s="43">
        <f>IF(T272="Read",1,IF(T272="Delivered",2,IF(T272="Sent",3,IF(T272="Not sent",4,IF(T272="Failed",9,5)))))</f>
        <v>4</v>
      </c>
      <c r="AG272" s="43">
        <f>IF(U272="Demo booked",1,IF(U272="Interested",2,IF(U272="Replied",3,IF(U272="No reply",5,IF(U272="Not interested",8,IF(U272="Bad number",9,6))))))</f>
        <v>6</v>
      </c>
      <c r="AH272" s="46">
        <f>AD272*1000+AN272*100+AE272*10+AG272</f>
        <v>9596</v>
      </c>
      <c r="AI272" s="45">
        <f>MAX(IF(R272="",0,R272),IF(Y272="",0,Y272))</f>
        <v>0</v>
      </c>
      <c r="AJ272" s="43" t="str">
        <f ca="1">IF(AND(X272&lt;&gt;"",Y272="",X272&lt;TODAY()),"Overdue",IF(AND(X272&lt;&gt;"",Y272="",X272=TODAY()),"Due today",IF(Y272&lt;&gt;"","Follow-up sent","")))</f>
        <v/>
      </c>
      <c r="AK272" s="50" t="s">
        <v>734</v>
      </c>
      <c r="AL272" s="50" t="s">
        <v>735</v>
      </c>
      <c r="AM272" s="50" t="s">
        <v>736</v>
      </c>
      <c r="AN272" s="50">
        <v>5</v>
      </c>
      <c r="AO272" s="54" t="s">
        <v>1221</v>
      </c>
      <c r="AP272" s="57" t="s">
        <v>127</v>
      </c>
      <c r="AQ272" s="58"/>
      <c r="AR272" s="57"/>
    </row>
    <row r="273" spans="1:44" ht="54" customHeight="1" x14ac:dyDescent="0.25">
      <c r="A273" s="43" t="s">
        <v>1222</v>
      </c>
      <c r="B273" s="43" t="s">
        <v>790</v>
      </c>
      <c r="C273" s="43"/>
      <c r="D273" s="44" t="s">
        <v>1223</v>
      </c>
      <c r="E273" s="43"/>
      <c r="F273" s="43" t="s">
        <v>729</v>
      </c>
      <c r="G273" s="45"/>
      <c r="H273" s="45">
        <v>46161</v>
      </c>
      <c r="I273" s="43" t="s">
        <v>730</v>
      </c>
      <c r="J273" s="43" t="s">
        <v>731</v>
      </c>
      <c r="K273" s="43" t="str">
        <f>IF(LEN(D273)=10,"OK","Check")</f>
        <v>OK</v>
      </c>
      <c r="L273" s="43" t="s">
        <v>732</v>
      </c>
      <c r="M273" s="43" t="str">
        <f>IF(L273="Hold","Hold",IF(IFERROR(E273,0)&gt;=200,"High",IF(IFERROR(E273,0)&gt;=100,"Medium","Normal")))</f>
        <v>Hold</v>
      </c>
      <c r="N273" s="43" t="s">
        <v>90</v>
      </c>
      <c r="O273" s="43" t="s">
        <v>91</v>
      </c>
      <c r="P273" s="43" t="s">
        <v>92</v>
      </c>
      <c r="Q273" s="17" t="s">
        <v>93</v>
      </c>
      <c r="R273" s="45"/>
      <c r="S273" s="43"/>
      <c r="T273" s="43" t="s">
        <v>31</v>
      </c>
      <c r="U273" s="43" t="s">
        <v>94</v>
      </c>
      <c r="V273" s="43" t="s">
        <v>94</v>
      </c>
      <c r="W273" s="43" t="s">
        <v>95</v>
      </c>
      <c r="X273" s="45" t="str">
        <f>IF(AND(R273&lt;&gt;"",OR(U273="No reply",U273="Unknown")),R273+2,"")</f>
        <v/>
      </c>
      <c r="Y273" s="45"/>
      <c r="Z273" s="43" t="s">
        <v>96</v>
      </c>
      <c r="AA273" s="43" t="str">
        <f>IF(L273="Hold","Do not send",IF(T273="Not sent","Send WhatsApp",IF(U273="Demo booked","Prepare demo",IF(W273="Booked","Prepare demo",IF(AND(X273&lt;&gt;"",Y273=""),"Send follow-up","Review")))))</f>
        <v>Do not send</v>
      </c>
      <c r="AB273" s="43"/>
      <c r="AC273" s="43" t="s">
        <v>733</v>
      </c>
      <c r="AD273" s="43">
        <f>IF(AA273="Prepare demo",1,IF(AA273="Send follow-up",2,IF(AA273="Send WhatsApp",3,IF(AA273="Review",4,IF(AA273="Do not send",9,5)))))</f>
        <v>9</v>
      </c>
      <c r="AE273" s="43">
        <f>IF(M273="High",1,IF(M273="Medium",2,IF(M273="Normal",3,IF(M273="Hold",9,4))))</f>
        <v>9</v>
      </c>
      <c r="AF273" s="43">
        <f>IF(T273="Read",1,IF(T273="Delivered",2,IF(T273="Sent",3,IF(T273="Not sent",4,IF(T273="Failed",9,5)))))</f>
        <v>4</v>
      </c>
      <c r="AG273" s="43">
        <f>IF(U273="Demo booked",1,IF(U273="Interested",2,IF(U273="Replied",3,IF(U273="No reply",5,IF(U273="Not interested",8,IF(U273="Bad number",9,6))))))</f>
        <v>6</v>
      </c>
      <c r="AH273" s="46">
        <f>AD273*1000+AN273*100+AE273*10+AG273</f>
        <v>9596</v>
      </c>
      <c r="AI273" s="45">
        <f>MAX(IF(R273="",0,R273),IF(Y273="",0,Y273))</f>
        <v>0</v>
      </c>
      <c r="AJ273" s="43" t="str">
        <f ca="1">IF(AND(X273&lt;&gt;"",Y273="",X273&lt;TODAY()),"Overdue",IF(AND(X273&lt;&gt;"",Y273="",X273=TODAY()),"Due today",IF(Y273&lt;&gt;"","Follow-up sent","")))</f>
        <v/>
      </c>
      <c r="AK273" s="50" t="s">
        <v>734</v>
      </c>
      <c r="AL273" s="50" t="s">
        <v>735</v>
      </c>
      <c r="AM273" s="50" t="s">
        <v>736</v>
      </c>
      <c r="AN273" s="50">
        <v>5</v>
      </c>
      <c r="AO273" s="54" t="s">
        <v>1224</v>
      </c>
      <c r="AP273" s="57" t="s">
        <v>127</v>
      </c>
      <c r="AQ273" s="58"/>
      <c r="AR273" s="57"/>
    </row>
    <row r="274" spans="1:44" ht="54" customHeight="1" x14ac:dyDescent="0.25">
      <c r="A274" s="43" t="s">
        <v>1225</v>
      </c>
      <c r="B274" s="43" t="s">
        <v>790</v>
      </c>
      <c r="C274" s="43"/>
      <c r="D274" s="44" t="s">
        <v>1226</v>
      </c>
      <c r="E274" s="43"/>
      <c r="F274" s="43" t="s">
        <v>729</v>
      </c>
      <c r="G274" s="45"/>
      <c r="H274" s="45">
        <v>46161</v>
      </c>
      <c r="I274" s="43" t="s">
        <v>730</v>
      </c>
      <c r="J274" s="43" t="s">
        <v>731</v>
      </c>
      <c r="K274" s="43" t="str">
        <f>IF(LEN(D274)=10,"OK","Check")</f>
        <v>OK</v>
      </c>
      <c r="L274" s="43" t="s">
        <v>732</v>
      </c>
      <c r="M274" s="43" t="str">
        <f>IF(L274="Hold","Hold",IF(IFERROR(E274,0)&gt;=200,"High",IF(IFERROR(E274,0)&gt;=100,"Medium","Normal")))</f>
        <v>Hold</v>
      </c>
      <c r="N274" s="43" t="s">
        <v>90</v>
      </c>
      <c r="O274" s="43" t="s">
        <v>91</v>
      </c>
      <c r="P274" s="43" t="s">
        <v>92</v>
      </c>
      <c r="Q274" s="17" t="s">
        <v>93</v>
      </c>
      <c r="R274" s="45"/>
      <c r="S274" s="43"/>
      <c r="T274" s="43" t="s">
        <v>31</v>
      </c>
      <c r="U274" s="43" t="s">
        <v>94</v>
      </c>
      <c r="V274" s="43" t="s">
        <v>94</v>
      </c>
      <c r="W274" s="43" t="s">
        <v>95</v>
      </c>
      <c r="X274" s="45" t="str">
        <f>IF(AND(R274&lt;&gt;"",OR(U274="No reply",U274="Unknown")),R274+2,"")</f>
        <v/>
      </c>
      <c r="Y274" s="45"/>
      <c r="Z274" s="43" t="s">
        <v>96</v>
      </c>
      <c r="AA274" s="43" t="str">
        <f>IF(L274="Hold","Do not send",IF(T274="Not sent","Send WhatsApp",IF(U274="Demo booked","Prepare demo",IF(W274="Booked","Prepare demo",IF(AND(X274&lt;&gt;"",Y274=""),"Send follow-up","Review")))))</f>
        <v>Do not send</v>
      </c>
      <c r="AB274" s="43"/>
      <c r="AC274" s="43" t="s">
        <v>733</v>
      </c>
      <c r="AD274" s="43">
        <f>IF(AA274="Prepare demo",1,IF(AA274="Send follow-up",2,IF(AA274="Send WhatsApp",3,IF(AA274="Review",4,IF(AA274="Do not send",9,5)))))</f>
        <v>9</v>
      </c>
      <c r="AE274" s="43">
        <f>IF(M274="High",1,IF(M274="Medium",2,IF(M274="Normal",3,IF(M274="Hold",9,4))))</f>
        <v>9</v>
      </c>
      <c r="AF274" s="43">
        <f>IF(T274="Read",1,IF(T274="Delivered",2,IF(T274="Sent",3,IF(T274="Not sent",4,IF(T274="Failed",9,5)))))</f>
        <v>4</v>
      </c>
      <c r="AG274" s="43">
        <f>IF(U274="Demo booked",1,IF(U274="Interested",2,IF(U274="Replied",3,IF(U274="No reply",5,IF(U274="Not interested",8,IF(U274="Bad number",9,6))))))</f>
        <v>6</v>
      </c>
      <c r="AH274" s="46">
        <f>AD274*1000+AN274*100+AE274*10+AG274</f>
        <v>9596</v>
      </c>
      <c r="AI274" s="45">
        <f>MAX(IF(R274="",0,R274),IF(Y274="",0,Y274))</f>
        <v>0</v>
      </c>
      <c r="AJ274" s="43" t="str">
        <f ca="1">IF(AND(X274&lt;&gt;"",Y274="",X274&lt;TODAY()),"Overdue",IF(AND(X274&lt;&gt;"",Y274="",X274=TODAY()),"Due today",IF(Y274&lt;&gt;"","Follow-up sent","")))</f>
        <v/>
      </c>
      <c r="AK274" s="50" t="s">
        <v>734</v>
      </c>
      <c r="AL274" s="50" t="s">
        <v>735</v>
      </c>
      <c r="AM274" s="50" t="s">
        <v>736</v>
      </c>
      <c r="AN274" s="50">
        <v>5</v>
      </c>
      <c r="AO274" s="54" t="s">
        <v>1227</v>
      </c>
      <c r="AP274" s="57" t="s">
        <v>127</v>
      </c>
      <c r="AQ274" s="58"/>
      <c r="AR274" s="57"/>
    </row>
    <row r="275" spans="1:44" ht="54" customHeight="1" x14ac:dyDescent="0.25">
      <c r="A275" s="43" t="s">
        <v>1228</v>
      </c>
      <c r="B275" s="43" t="s">
        <v>790</v>
      </c>
      <c r="C275" s="43"/>
      <c r="D275" s="44" t="s">
        <v>1229</v>
      </c>
      <c r="E275" s="43"/>
      <c r="F275" s="43" t="s">
        <v>729</v>
      </c>
      <c r="G275" s="45"/>
      <c r="H275" s="45">
        <v>46161</v>
      </c>
      <c r="I275" s="43" t="s">
        <v>730</v>
      </c>
      <c r="J275" s="43" t="s">
        <v>731</v>
      </c>
      <c r="K275" s="43" t="str">
        <f>IF(LEN(D275)=10,"OK","Check")</f>
        <v>OK</v>
      </c>
      <c r="L275" s="43" t="s">
        <v>732</v>
      </c>
      <c r="M275" s="43" t="str">
        <f>IF(L275="Hold","Hold",IF(IFERROR(E275,0)&gt;=200,"High",IF(IFERROR(E275,0)&gt;=100,"Medium","Normal")))</f>
        <v>Hold</v>
      </c>
      <c r="N275" s="43" t="s">
        <v>90</v>
      </c>
      <c r="O275" s="43" t="s">
        <v>91</v>
      </c>
      <c r="P275" s="43" t="s">
        <v>92</v>
      </c>
      <c r="Q275" s="17" t="s">
        <v>93</v>
      </c>
      <c r="R275" s="45"/>
      <c r="S275" s="43"/>
      <c r="T275" s="43" t="s">
        <v>31</v>
      </c>
      <c r="U275" s="43" t="s">
        <v>94</v>
      </c>
      <c r="V275" s="43" t="s">
        <v>94</v>
      </c>
      <c r="W275" s="43" t="s">
        <v>95</v>
      </c>
      <c r="X275" s="45" t="str">
        <f>IF(AND(R275&lt;&gt;"",OR(U275="No reply",U275="Unknown")),R275+2,"")</f>
        <v/>
      </c>
      <c r="Y275" s="45"/>
      <c r="Z275" s="43" t="s">
        <v>96</v>
      </c>
      <c r="AA275" s="43" t="str">
        <f>IF(L275="Hold","Do not send",IF(T275="Not sent","Send WhatsApp",IF(U275="Demo booked","Prepare demo",IF(W275="Booked","Prepare demo",IF(AND(X275&lt;&gt;"",Y275=""),"Send follow-up","Review")))))</f>
        <v>Do not send</v>
      </c>
      <c r="AB275" s="43"/>
      <c r="AC275" s="43" t="s">
        <v>733</v>
      </c>
      <c r="AD275" s="43">
        <f>IF(AA275="Prepare demo",1,IF(AA275="Send follow-up",2,IF(AA275="Send WhatsApp",3,IF(AA275="Review",4,IF(AA275="Do not send",9,5)))))</f>
        <v>9</v>
      </c>
      <c r="AE275" s="43">
        <f>IF(M275="High",1,IF(M275="Medium",2,IF(M275="Normal",3,IF(M275="Hold",9,4))))</f>
        <v>9</v>
      </c>
      <c r="AF275" s="43">
        <f>IF(T275="Read",1,IF(T275="Delivered",2,IF(T275="Sent",3,IF(T275="Not sent",4,IF(T275="Failed",9,5)))))</f>
        <v>4</v>
      </c>
      <c r="AG275" s="43">
        <f>IF(U275="Demo booked",1,IF(U275="Interested",2,IF(U275="Replied",3,IF(U275="No reply",5,IF(U275="Not interested",8,IF(U275="Bad number",9,6))))))</f>
        <v>6</v>
      </c>
      <c r="AH275" s="46">
        <f>AD275*1000+AN275*100+AE275*10+AG275</f>
        <v>9596</v>
      </c>
      <c r="AI275" s="45">
        <f>MAX(IF(R275="",0,R275),IF(Y275="",0,Y275))</f>
        <v>0</v>
      </c>
      <c r="AJ275" s="43" t="str">
        <f ca="1">IF(AND(X275&lt;&gt;"",Y275="",X275&lt;TODAY()),"Overdue",IF(AND(X275&lt;&gt;"",Y275="",X275=TODAY()),"Due today",IF(Y275&lt;&gt;"","Follow-up sent","")))</f>
        <v/>
      </c>
      <c r="AK275" s="50" t="s">
        <v>734</v>
      </c>
      <c r="AL275" s="50" t="s">
        <v>735</v>
      </c>
      <c r="AM275" s="50" t="s">
        <v>736</v>
      </c>
      <c r="AN275" s="50">
        <v>5</v>
      </c>
      <c r="AO275" s="54" t="s">
        <v>1230</v>
      </c>
      <c r="AP275" s="57" t="s">
        <v>127</v>
      </c>
      <c r="AQ275" s="58"/>
      <c r="AR275" s="57"/>
    </row>
    <row r="276" spans="1:44" ht="54" customHeight="1" x14ac:dyDescent="0.25">
      <c r="A276" s="43" t="s">
        <v>1231</v>
      </c>
      <c r="B276" s="43" t="s">
        <v>790</v>
      </c>
      <c r="C276" s="43"/>
      <c r="D276" s="44" t="s">
        <v>1232</v>
      </c>
      <c r="E276" s="43"/>
      <c r="F276" s="43" t="s">
        <v>729</v>
      </c>
      <c r="G276" s="45"/>
      <c r="H276" s="45">
        <v>46161</v>
      </c>
      <c r="I276" s="43" t="s">
        <v>730</v>
      </c>
      <c r="J276" s="43" t="s">
        <v>731</v>
      </c>
      <c r="K276" s="43" t="str">
        <f>IF(LEN(D276)=10,"OK","Check")</f>
        <v>OK</v>
      </c>
      <c r="L276" s="43" t="s">
        <v>732</v>
      </c>
      <c r="M276" s="43" t="str">
        <f>IF(L276="Hold","Hold",IF(IFERROR(E276,0)&gt;=200,"High",IF(IFERROR(E276,0)&gt;=100,"Medium","Normal")))</f>
        <v>Hold</v>
      </c>
      <c r="N276" s="43" t="s">
        <v>90</v>
      </c>
      <c r="O276" s="43" t="s">
        <v>91</v>
      </c>
      <c r="P276" s="43" t="s">
        <v>92</v>
      </c>
      <c r="Q276" s="17" t="s">
        <v>93</v>
      </c>
      <c r="R276" s="45"/>
      <c r="S276" s="43"/>
      <c r="T276" s="43" t="s">
        <v>31</v>
      </c>
      <c r="U276" s="43" t="s">
        <v>94</v>
      </c>
      <c r="V276" s="43" t="s">
        <v>94</v>
      </c>
      <c r="W276" s="43" t="s">
        <v>95</v>
      </c>
      <c r="X276" s="45" t="str">
        <f>IF(AND(R276&lt;&gt;"",OR(U276="No reply",U276="Unknown")),R276+2,"")</f>
        <v/>
      </c>
      <c r="Y276" s="45"/>
      <c r="Z276" s="43" t="s">
        <v>96</v>
      </c>
      <c r="AA276" s="43" t="str">
        <f>IF(L276="Hold","Do not send",IF(T276="Not sent","Send WhatsApp",IF(U276="Demo booked","Prepare demo",IF(W276="Booked","Prepare demo",IF(AND(X276&lt;&gt;"",Y276=""),"Send follow-up","Review")))))</f>
        <v>Do not send</v>
      </c>
      <c r="AB276" s="43"/>
      <c r="AC276" s="43" t="s">
        <v>733</v>
      </c>
      <c r="AD276" s="43">
        <f>IF(AA276="Prepare demo",1,IF(AA276="Send follow-up",2,IF(AA276="Send WhatsApp",3,IF(AA276="Review",4,IF(AA276="Do not send",9,5)))))</f>
        <v>9</v>
      </c>
      <c r="AE276" s="43">
        <f>IF(M276="High",1,IF(M276="Medium",2,IF(M276="Normal",3,IF(M276="Hold",9,4))))</f>
        <v>9</v>
      </c>
      <c r="AF276" s="43">
        <f>IF(T276="Read",1,IF(T276="Delivered",2,IF(T276="Sent",3,IF(T276="Not sent",4,IF(T276="Failed",9,5)))))</f>
        <v>4</v>
      </c>
      <c r="AG276" s="43">
        <f>IF(U276="Demo booked",1,IF(U276="Interested",2,IF(U276="Replied",3,IF(U276="No reply",5,IF(U276="Not interested",8,IF(U276="Bad number",9,6))))))</f>
        <v>6</v>
      </c>
      <c r="AH276" s="46">
        <f>AD276*1000+AN276*100+AE276*10+AG276</f>
        <v>9596</v>
      </c>
      <c r="AI276" s="45">
        <f>MAX(IF(R276="",0,R276),IF(Y276="",0,Y276))</f>
        <v>0</v>
      </c>
      <c r="AJ276" s="43" t="str">
        <f ca="1">IF(AND(X276&lt;&gt;"",Y276="",X276&lt;TODAY()),"Overdue",IF(AND(X276&lt;&gt;"",Y276="",X276=TODAY()),"Due today",IF(Y276&lt;&gt;"","Follow-up sent","")))</f>
        <v/>
      </c>
      <c r="AK276" s="50" t="s">
        <v>734</v>
      </c>
      <c r="AL276" s="50" t="s">
        <v>735</v>
      </c>
      <c r="AM276" s="50" t="s">
        <v>736</v>
      </c>
      <c r="AN276" s="50">
        <v>5</v>
      </c>
      <c r="AO276" s="54" t="s">
        <v>1233</v>
      </c>
      <c r="AP276" s="57" t="s">
        <v>127</v>
      </c>
      <c r="AQ276" s="58"/>
      <c r="AR276" s="57"/>
    </row>
    <row r="277" spans="1:44" ht="54" customHeight="1" x14ac:dyDescent="0.25">
      <c r="A277" s="43" t="s">
        <v>1234</v>
      </c>
      <c r="B277" s="43" t="s">
        <v>790</v>
      </c>
      <c r="C277" s="43"/>
      <c r="D277" s="44" t="s">
        <v>1235</v>
      </c>
      <c r="E277" s="43"/>
      <c r="F277" s="43" t="s">
        <v>729</v>
      </c>
      <c r="G277" s="45"/>
      <c r="H277" s="45">
        <v>46161</v>
      </c>
      <c r="I277" s="43" t="s">
        <v>730</v>
      </c>
      <c r="J277" s="43" t="s">
        <v>731</v>
      </c>
      <c r="K277" s="43" t="str">
        <f>IF(LEN(D277)=10,"OK","Check")</f>
        <v>OK</v>
      </c>
      <c r="L277" s="43" t="s">
        <v>732</v>
      </c>
      <c r="M277" s="43" t="str">
        <f>IF(L277="Hold","Hold",IF(IFERROR(E277,0)&gt;=200,"High",IF(IFERROR(E277,0)&gt;=100,"Medium","Normal")))</f>
        <v>Hold</v>
      </c>
      <c r="N277" s="43" t="s">
        <v>90</v>
      </c>
      <c r="O277" s="43" t="s">
        <v>91</v>
      </c>
      <c r="P277" s="43" t="s">
        <v>92</v>
      </c>
      <c r="Q277" s="17" t="s">
        <v>93</v>
      </c>
      <c r="R277" s="45"/>
      <c r="S277" s="43"/>
      <c r="T277" s="43" t="s">
        <v>31</v>
      </c>
      <c r="U277" s="43" t="s">
        <v>94</v>
      </c>
      <c r="V277" s="43" t="s">
        <v>94</v>
      </c>
      <c r="W277" s="43" t="s">
        <v>95</v>
      </c>
      <c r="X277" s="45" t="str">
        <f>IF(AND(R277&lt;&gt;"",OR(U277="No reply",U277="Unknown")),R277+2,"")</f>
        <v/>
      </c>
      <c r="Y277" s="45"/>
      <c r="Z277" s="43" t="s">
        <v>96</v>
      </c>
      <c r="AA277" s="43" t="str">
        <f>IF(L277="Hold","Do not send",IF(T277="Not sent","Send WhatsApp",IF(U277="Demo booked","Prepare demo",IF(W277="Booked","Prepare demo",IF(AND(X277&lt;&gt;"",Y277=""),"Send follow-up","Review")))))</f>
        <v>Do not send</v>
      </c>
      <c r="AB277" s="43"/>
      <c r="AC277" s="43" t="s">
        <v>733</v>
      </c>
      <c r="AD277" s="43">
        <f>IF(AA277="Prepare demo",1,IF(AA277="Send follow-up",2,IF(AA277="Send WhatsApp",3,IF(AA277="Review",4,IF(AA277="Do not send",9,5)))))</f>
        <v>9</v>
      </c>
      <c r="AE277" s="43">
        <f>IF(M277="High",1,IF(M277="Medium",2,IF(M277="Normal",3,IF(M277="Hold",9,4))))</f>
        <v>9</v>
      </c>
      <c r="AF277" s="43">
        <f>IF(T277="Read",1,IF(T277="Delivered",2,IF(T277="Sent",3,IF(T277="Not sent",4,IF(T277="Failed",9,5)))))</f>
        <v>4</v>
      </c>
      <c r="AG277" s="43">
        <f>IF(U277="Demo booked",1,IF(U277="Interested",2,IF(U277="Replied",3,IF(U277="No reply",5,IF(U277="Not interested",8,IF(U277="Bad number",9,6))))))</f>
        <v>6</v>
      </c>
      <c r="AH277" s="46">
        <f>AD277*1000+AN277*100+AE277*10+AG277</f>
        <v>9596</v>
      </c>
      <c r="AI277" s="45">
        <f>MAX(IF(R277="",0,R277),IF(Y277="",0,Y277))</f>
        <v>0</v>
      </c>
      <c r="AJ277" s="43" t="str">
        <f ca="1">IF(AND(X277&lt;&gt;"",Y277="",X277&lt;TODAY()),"Overdue",IF(AND(X277&lt;&gt;"",Y277="",X277=TODAY()),"Due today",IF(Y277&lt;&gt;"","Follow-up sent","")))</f>
        <v/>
      </c>
      <c r="AK277" s="50" t="s">
        <v>734</v>
      </c>
      <c r="AL277" s="50" t="s">
        <v>735</v>
      </c>
      <c r="AM277" s="50" t="s">
        <v>736</v>
      </c>
      <c r="AN277" s="50">
        <v>5</v>
      </c>
      <c r="AO277" s="54" t="s">
        <v>1236</v>
      </c>
      <c r="AP277" s="57" t="s">
        <v>127</v>
      </c>
      <c r="AQ277" s="58"/>
      <c r="AR277" s="57"/>
    </row>
    <row r="278" spans="1:44" ht="54" customHeight="1" x14ac:dyDescent="0.25">
      <c r="A278" s="43" t="s">
        <v>1237</v>
      </c>
      <c r="B278" s="43" t="s">
        <v>790</v>
      </c>
      <c r="C278" s="43"/>
      <c r="D278" s="44" t="s">
        <v>1238</v>
      </c>
      <c r="E278" s="43"/>
      <c r="F278" s="43" t="s">
        <v>729</v>
      </c>
      <c r="G278" s="45"/>
      <c r="H278" s="45">
        <v>46161</v>
      </c>
      <c r="I278" s="43" t="s">
        <v>730</v>
      </c>
      <c r="J278" s="43" t="s">
        <v>731</v>
      </c>
      <c r="K278" s="43" t="str">
        <f>IF(LEN(D278)=10,"OK","Check")</f>
        <v>OK</v>
      </c>
      <c r="L278" s="43" t="s">
        <v>732</v>
      </c>
      <c r="M278" s="43" t="str">
        <f>IF(L278="Hold","Hold",IF(IFERROR(E278,0)&gt;=200,"High",IF(IFERROR(E278,0)&gt;=100,"Medium","Normal")))</f>
        <v>Hold</v>
      </c>
      <c r="N278" s="43" t="s">
        <v>90</v>
      </c>
      <c r="O278" s="43" t="s">
        <v>91</v>
      </c>
      <c r="P278" s="43" t="s">
        <v>92</v>
      </c>
      <c r="Q278" s="17" t="s">
        <v>93</v>
      </c>
      <c r="R278" s="45"/>
      <c r="S278" s="43"/>
      <c r="T278" s="43" t="s">
        <v>31</v>
      </c>
      <c r="U278" s="43" t="s">
        <v>94</v>
      </c>
      <c r="V278" s="43" t="s">
        <v>94</v>
      </c>
      <c r="W278" s="43" t="s">
        <v>95</v>
      </c>
      <c r="X278" s="45" t="str">
        <f>IF(AND(R278&lt;&gt;"",OR(U278="No reply",U278="Unknown")),R278+2,"")</f>
        <v/>
      </c>
      <c r="Y278" s="45"/>
      <c r="Z278" s="43" t="s">
        <v>96</v>
      </c>
      <c r="AA278" s="43" t="str">
        <f>IF(L278="Hold","Do not send",IF(T278="Not sent","Send WhatsApp",IF(U278="Demo booked","Prepare demo",IF(W278="Booked","Prepare demo",IF(AND(X278&lt;&gt;"",Y278=""),"Send follow-up","Review")))))</f>
        <v>Do not send</v>
      </c>
      <c r="AB278" s="43"/>
      <c r="AC278" s="43" t="s">
        <v>733</v>
      </c>
      <c r="AD278" s="43">
        <f>IF(AA278="Prepare demo",1,IF(AA278="Send follow-up",2,IF(AA278="Send WhatsApp",3,IF(AA278="Review",4,IF(AA278="Do not send",9,5)))))</f>
        <v>9</v>
      </c>
      <c r="AE278" s="43">
        <f>IF(M278="High",1,IF(M278="Medium",2,IF(M278="Normal",3,IF(M278="Hold",9,4))))</f>
        <v>9</v>
      </c>
      <c r="AF278" s="43">
        <f>IF(T278="Read",1,IF(T278="Delivered",2,IF(T278="Sent",3,IF(T278="Not sent",4,IF(T278="Failed",9,5)))))</f>
        <v>4</v>
      </c>
      <c r="AG278" s="43">
        <f>IF(U278="Demo booked",1,IF(U278="Interested",2,IF(U278="Replied",3,IF(U278="No reply",5,IF(U278="Not interested",8,IF(U278="Bad number",9,6))))))</f>
        <v>6</v>
      </c>
      <c r="AH278" s="46">
        <f>AD278*1000+AN278*100+AE278*10+AG278</f>
        <v>9596</v>
      </c>
      <c r="AI278" s="45">
        <f>MAX(IF(R278="",0,R278),IF(Y278="",0,Y278))</f>
        <v>0</v>
      </c>
      <c r="AJ278" s="43" t="str">
        <f ca="1">IF(AND(X278&lt;&gt;"",Y278="",X278&lt;TODAY()),"Overdue",IF(AND(X278&lt;&gt;"",Y278="",X278=TODAY()),"Due today",IF(Y278&lt;&gt;"","Follow-up sent","")))</f>
        <v/>
      </c>
      <c r="AK278" s="50" t="s">
        <v>734</v>
      </c>
      <c r="AL278" s="50" t="s">
        <v>735</v>
      </c>
      <c r="AM278" s="50" t="s">
        <v>736</v>
      </c>
      <c r="AN278" s="50">
        <v>5</v>
      </c>
      <c r="AO278" s="54" t="s">
        <v>1239</v>
      </c>
      <c r="AP278" s="57" t="s">
        <v>127</v>
      </c>
      <c r="AQ278" s="58"/>
      <c r="AR278" s="57"/>
    </row>
    <row r="279" spans="1:44" ht="54" customHeight="1" x14ac:dyDescent="0.25">
      <c r="A279" s="43" t="s">
        <v>1240</v>
      </c>
      <c r="B279" s="43" t="s">
        <v>790</v>
      </c>
      <c r="C279" s="43"/>
      <c r="D279" s="44" t="s">
        <v>1241</v>
      </c>
      <c r="E279" s="43"/>
      <c r="F279" s="43" t="s">
        <v>729</v>
      </c>
      <c r="G279" s="45"/>
      <c r="H279" s="45">
        <v>46161</v>
      </c>
      <c r="I279" s="43" t="s">
        <v>730</v>
      </c>
      <c r="J279" s="43" t="s">
        <v>731</v>
      </c>
      <c r="K279" s="43" t="str">
        <f>IF(LEN(D279)=10,"OK","Check")</f>
        <v>OK</v>
      </c>
      <c r="L279" s="43" t="s">
        <v>732</v>
      </c>
      <c r="M279" s="43" t="str">
        <f>IF(L279="Hold","Hold",IF(IFERROR(E279,0)&gt;=200,"High",IF(IFERROR(E279,0)&gt;=100,"Medium","Normal")))</f>
        <v>Hold</v>
      </c>
      <c r="N279" s="43" t="s">
        <v>90</v>
      </c>
      <c r="O279" s="43" t="s">
        <v>91</v>
      </c>
      <c r="P279" s="43" t="s">
        <v>92</v>
      </c>
      <c r="Q279" s="17" t="s">
        <v>93</v>
      </c>
      <c r="R279" s="45"/>
      <c r="S279" s="43"/>
      <c r="T279" s="43" t="s">
        <v>31</v>
      </c>
      <c r="U279" s="43" t="s">
        <v>94</v>
      </c>
      <c r="V279" s="43" t="s">
        <v>94</v>
      </c>
      <c r="W279" s="43" t="s">
        <v>95</v>
      </c>
      <c r="X279" s="45" t="str">
        <f>IF(AND(R279&lt;&gt;"",OR(U279="No reply",U279="Unknown")),R279+2,"")</f>
        <v/>
      </c>
      <c r="Y279" s="45"/>
      <c r="Z279" s="43" t="s">
        <v>96</v>
      </c>
      <c r="AA279" s="43" t="str">
        <f>IF(L279="Hold","Do not send",IF(T279="Not sent","Send WhatsApp",IF(U279="Demo booked","Prepare demo",IF(W279="Booked","Prepare demo",IF(AND(X279&lt;&gt;"",Y279=""),"Send follow-up","Review")))))</f>
        <v>Do not send</v>
      </c>
      <c r="AB279" s="43"/>
      <c r="AC279" s="43" t="s">
        <v>733</v>
      </c>
      <c r="AD279" s="43">
        <f>IF(AA279="Prepare demo",1,IF(AA279="Send follow-up",2,IF(AA279="Send WhatsApp",3,IF(AA279="Review",4,IF(AA279="Do not send",9,5)))))</f>
        <v>9</v>
      </c>
      <c r="AE279" s="43">
        <f>IF(M279="High",1,IF(M279="Medium",2,IF(M279="Normal",3,IF(M279="Hold",9,4))))</f>
        <v>9</v>
      </c>
      <c r="AF279" s="43">
        <f>IF(T279="Read",1,IF(T279="Delivered",2,IF(T279="Sent",3,IF(T279="Not sent",4,IF(T279="Failed",9,5)))))</f>
        <v>4</v>
      </c>
      <c r="AG279" s="43">
        <f>IF(U279="Demo booked",1,IF(U279="Interested",2,IF(U279="Replied",3,IF(U279="No reply",5,IF(U279="Not interested",8,IF(U279="Bad number",9,6))))))</f>
        <v>6</v>
      </c>
      <c r="AH279" s="46">
        <f>AD279*1000+AN279*100+AE279*10+AG279</f>
        <v>9596</v>
      </c>
      <c r="AI279" s="45">
        <f>MAX(IF(R279="",0,R279),IF(Y279="",0,Y279))</f>
        <v>0</v>
      </c>
      <c r="AJ279" s="43" t="str">
        <f ca="1">IF(AND(X279&lt;&gt;"",Y279="",X279&lt;TODAY()),"Overdue",IF(AND(X279&lt;&gt;"",Y279="",X279=TODAY()),"Due today",IF(Y279&lt;&gt;"","Follow-up sent","")))</f>
        <v/>
      </c>
      <c r="AK279" s="50" t="s">
        <v>734</v>
      </c>
      <c r="AL279" s="50" t="s">
        <v>735</v>
      </c>
      <c r="AM279" s="50" t="s">
        <v>736</v>
      </c>
      <c r="AN279" s="50">
        <v>5</v>
      </c>
      <c r="AO279" s="54" t="s">
        <v>1242</v>
      </c>
      <c r="AP279" s="57" t="s">
        <v>127</v>
      </c>
      <c r="AQ279" s="58"/>
      <c r="AR279" s="57"/>
    </row>
    <row r="280" spans="1:44" ht="54" customHeight="1" x14ac:dyDescent="0.25">
      <c r="A280" s="43" t="s">
        <v>1243</v>
      </c>
      <c r="B280" s="43" t="s">
        <v>790</v>
      </c>
      <c r="C280" s="43"/>
      <c r="D280" s="44" t="s">
        <v>1244</v>
      </c>
      <c r="E280" s="43"/>
      <c r="F280" s="43" t="s">
        <v>729</v>
      </c>
      <c r="G280" s="45"/>
      <c r="H280" s="45">
        <v>46161</v>
      </c>
      <c r="I280" s="43" t="s">
        <v>730</v>
      </c>
      <c r="J280" s="43" t="s">
        <v>731</v>
      </c>
      <c r="K280" s="43" t="str">
        <f>IF(LEN(D280)=10,"OK","Check")</f>
        <v>OK</v>
      </c>
      <c r="L280" s="43" t="s">
        <v>732</v>
      </c>
      <c r="M280" s="43" t="str">
        <f>IF(L280="Hold","Hold",IF(IFERROR(E280,0)&gt;=200,"High",IF(IFERROR(E280,0)&gt;=100,"Medium","Normal")))</f>
        <v>Hold</v>
      </c>
      <c r="N280" s="43" t="s">
        <v>90</v>
      </c>
      <c r="O280" s="43" t="s">
        <v>91</v>
      </c>
      <c r="P280" s="43" t="s">
        <v>92</v>
      </c>
      <c r="Q280" s="17" t="s">
        <v>93</v>
      </c>
      <c r="R280" s="45"/>
      <c r="S280" s="43"/>
      <c r="T280" s="43" t="s">
        <v>31</v>
      </c>
      <c r="U280" s="43" t="s">
        <v>94</v>
      </c>
      <c r="V280" s="43" t="s">
        <v>94</v>
      </c>
      <c r="W280" s="43" t="s">
        <v>95</v>
      </c>
      <c r="X280" s="45" t="str">
        <f>IF(AND(R280&lt;&gt;"",OR(U280="No reply",U280="Unknown")),R280+2,"")</f>
        <v/>
      </c>
      <c r="Y280" s="45"/>
      <c r="Z280" s="43" t="s">
        <v>96</v>
      </c>
      <c r="AA280" s="43" t="str">
        <f>IF(L280="Hold","Do not send",IF(T280="Not sent","Send WhatsApp",IF(U280="Demo booked","Prepare demo",IF(W280="Booked","Prepare demo",IF(AND(X280&lt;&gt;"",Y280=""),"Send follow-up","Review")))))</f>
        <v>Do not send</v>
      </c>
      <c r="AB280" s="43"/>
      <c r="AC280" s="43" t="s">
        <v>733</v>
      </c>
      <c r="AD280" s="43">
        <f>IF(AA280="Prepare demo",1,IF(AA280="Send follow-up",2,IF(AA280="Send WhatsApp",3,IF(AA280="Review",4,IF(AA280="Do not send",9,5)))))</f>
        <v>9</v>
      </c>
      <c r="AE280" s="43">
        <f>IF(M280="High",1,IF(M280="Medium",2,IF(M280="Normal",3,IF(M280="Hold",9,4))))</f>
        <v>9</v>
      </c>
      <c r="AF280" s="43">
        <f>IF(T280="Read",1,IF(T280="Delivered",2,IF(T280="Sent",3,IF(T280="Not sent",4,IF(T280="Failed",9,5)))))</f>
        <v>4</v>
      </c>
      <c r="AG280" s="43">
        <f>IF(U280="Demo booked",1,IF(U280="Interested",2,IF(U280="Replied",3,IF(U280="No reply",5,IF(U280="Not interested",8,IF(U280="Bad number",9,6))))))</f>
        <v>6</v>
      </c>
      <c r="AH280" s="46">
        <f>AD280*1000+AN280*100+AE280*10+AG280</f>
        <v>9596</v>
      </c>
      <c r="AI280" s="45">
        <f>MAX(IF(R280="",0,R280),IF(Y280="",0,Y280))</f>
        <v>0</v>
      </c>
      <c r="AJ280" s="43" t="str">
        <f ca="1">IF(AND(X280&lt;&gt;"",Y280="",X280&lt;TODAY()),"Overdue",IF(AND(X280&lt;&gt;"",Y280="",X280=TODAY()),"Due today",IF(Y280&lt;&gt;"","Follow-up sent","")))</f>
        <v/>
      </c>
      <c r="AK280" s="50" t="s">
        <v>734</v>
      </c>
      <c r="AL280" s="50" t="s">
        <v>735</v>
      </c>
      <c r="AM280" s="50" t="s">
        <v>736</v>
      </c>
      <c r="AN280" s="50">
        <v>5</v>
      </c>
      <c r="AO280" s="54" t="s">
        <v>1245</v>
      </c>
      <c r="AP280" s="57" t="s">
        <v>127</v>
      </c>
      <c r="AQ280" s="58"/>
      <c r="AR280" s="57"/>
    </row>
    <row r="281" spans="1:44" ht="54" customHeight="1" x14ac:dyDescent="0.25">
      <c r="A281" s="43" t="s">
        <v>1246</v>
      </c>
      <c r="B281" s="43" t="s">
        <v>790</v>
      </c>
      <c r="C281" s="43"/>
      <c r="D281" s="44" t="s">
        <v>1247</v>
      </c>
      <c r="E281" s="43"/>
      <c r="F281" s="43" t="s">
        <v>729</v>
      </c>
      <c r="G281" s="45"/>
      <c r="H281" s="45">
        <v>46161</v>
      </c>
      <c r="I281" s="43" t="s">
        <v>730</v>
      </c>
      <c r="J281" s="43" t="s">
        <v>731</v>
      </c>
      <c r="K281" s="43" t="str">
        <f>IF(LEN(D281)=10,"OK","Check")</f>
        <v>OK</v>
      </c>
      <c r="L281" s="43" t="s">
        <v>732</v>
      </c>
      <c r="M281" s="43" t="str">
        <f>IF(L281="Hold","Hold",IF(IFERROR(E281,0)&gt;=200,"High",IF(IFERROR(E281,0)&gt;=100,"Medium","Normal")))</f>
        <v>Hold</v>
      </c>
      <c r="N281" s="43" t="s">
        <v>90</v>
      </c>
      <c r="O281" s="43" t="s">
        <v>91</v>
      </c>
      <c r="P281" s="43" t="s">
        <v>92</v>
      </c>
      <c r="Q281" s="17" t="s">
        <v>93</v>
      </c>
      <c r="R281" s="45"/>
      <c r="S281" s="43"/>
      <c r="T281" s="43" t="s">
        <v>31</v>
      </c>
      <c r="U281" s="43" t="s">
        <v>94</v>
      </c>
      <c r="V281" s="43" t="s">
        <v>94</v>
      </c>
      <c r="W281" s="43" t="s">
        <v>95</v>
      </c>
      <c r="X281" s="45" t="str">
        <f>IF(AND(R281&lt;&gt;"",OR(U281="No reply",U281="Unknown")),R281+2,"")</f>
        <v/>
      </c>
      <c r="Y281" s="45"/>
      <c r="Z281" s="43" t="s">
        <v>96</v>
      </c>
      <c r="AA281" s="43" t="str">
        <f>IF(L281="Hold","Do not send",IF(T281="Not sent","Send WhatsApp",IF(U281="Demo booked","Prepare demo",IF(W281="Booked","Prepare demo",IF(AND(X281&lt;&gt;"",Y281=""),"Send follow-up","Review")))))</f>
        <v>Do not send</v>
      </c>
      <c r="AB281" s="43"/>
      <c r="AC281" s="43" t="s">
        <v>733</v>
      </c>
      <c r="AD281" s="43">
        <f>IF(AA281="Prepare demo",1,IF(AA281="Send follow-up",2,IF(AA281="Send WhatsApp",3,IF(AA281="Review",4,IF(AA281="Do not send",9,5)))))</f>
        <v>9</v>
      </c>
      <c r="AE281" s="43">
        <f>IF(M281="High",1,IF(M281="Medium",2,IF(M281="Normal",3,IF(M281="Hold",9,4))))</f>
        <v>9</v>
      </c>
      <c r="AF281" s="43">
        <f>IF(T281="Read",1,IF(T281="Delivered",2,IF(T281="Sent",3,IF(T281="Not sent",4,IF(T281="Failed",9,5)))))</f>
        <v>4</v>
      </c>
      <c r="AG281" s="43">
        <f>IF(U281="Demo booked",1,IF(U281="Interested",2,IF(U281="Replied",3,IF(U281="No reply",5,IF(U281="Not interested",8,IF(U281="Bad number",9,6))))))</f>
        <v>6</v>
      </c>
      <c r="AH281" s="46">
        <f>AD281*1000+AN281*100+AE281*10+AG281</f>
        <v>9596</v>
      </c>
      <c r="AI281" s="45">
        <f>MAX(IF(R281="",0,R281),IF(Y281="",0,Y281))</f>
        <v>0</v>
      </c>
      <c r="AJ281" s="43" t="str">
        <f ca="1">IF(AND(X281&lt;&gt;"",Y281="",X281&lt;TODAY()),"Overdue",IF(AND(X281&lt;&gt;"",Y281="",X281=TODAY()),"Due today",IF(Y281&lt;&gt;"","Follow-up sent","")))</f>
        <v/>
      </c>
      <c r="AK281" s="50" t="s">
        <v>734</v>
      </c>
      <c r="AL281" s="50" t="s">
        <v>735</v>
      </c>
      <c r="AM281" s="50" t="s">
        <v>736</v>
      </c>
      <c r="AN281" s="50">
        <v>5</v>
      </c>
      <c r="AO281" s="54" t="s">
        <v>1248</v>
      </c>
      <c r="AP281" s="57" t="s">
        <v>127</v>
      </c>
      <c r="AQ281" s="58"/>
      <c r="AR281" s="57"/>
    </row>
    <row r="282" spans="1:44" ht="54" customHeight="1" x14ac:dyDescent="0.25">
      <c r="A282" s="43" t="s">
        <v>1249</v>
      </c>
      <c r="B282" s="43" t="s">
        <v>790</v>
      </c>
      <c r="C282" s="43"/>
      <c r="D282" s="44" t="s">
        <v>1250</v>
      </c>
      <c r="E282" s="43"/>
      <c r="F282" s="43" t="s">
        <v>729</v>
      </c>
      <c r="G282" s="45"/>
      <c r="H282" s="45">
        <v>46161</v>
      </c>
      <c r="I282" s="43" t="s">
        <v>730</v>
      </c>
      <c r="J282" s="43" t="s">
        <v>731</v>
      </c>
      <c r="K282" s="43" t="str">
        <f>IF(LEN(D282)=10,"OK","Check")</f>
        <v>OK</v>
      </c>
      <c r="L282" s="43" t="s">
        <v>732</v>
      </c>
      <c r="M282" s="43" t="str">
        <f>IF(L282="Hold","Hold",IF(IFERROR(E282,0)&gt;=200,"High",IF(IFERROR(E282,0)&gt;=100,"Medium","Normal")))</f>
        <v>Hold</v>
      </c>
      <c r="N282" s="43" t="s">
        <v>90</v>
      </c>
      <c r="O282" s="43" t="s">
        <v>91</v>
      </c>
      <c r="P282" s="43" t="s">
        <v>92</v>
      </c>
      <c r="Q282" s="17" t="s">
        <v>93</v>
      </c>
      <c r="R282" s="45"/>
      <c r="S282" s="43"/>
      <c r="T282" s="43" t="s">
        <v>31</v>
      </c>
      <c r="U282" s="43" t="s">
        <v>94</v>
      </c>
      <c r="V282" s="43" t="s">
        <v>94</v>
      </c>
      <c r="W282" s="43" t="s">
        <v>95</v>
      </c>
      <c r="X282" s="45" t="str">
        <f>IF(AND(R282&lt;&gt;"",OR(U282="No reply",U282="Unknown")),R282+2,"")</f>
        <v/>
      </c>
      <c r="Y282" s="45"/>
      <c r="Z282" s="43" t="s">
        <v>96</v>
      </c>
      <c r="AA282" s="43" t="str">
        <f>IF(L282="Hold","Do not send",IF(T282="Not sent","Send WhatsApp",IF(U282="Demo booked","Prepare demo",IF(W282="Booked","Prepare demo",IF(AND(X282&lt;&gt;"",Y282=""),"Send follow-up","Review")))))</f>
        <v>Do not send</v>
      </c>
      <c r="AB282" s="43"/>
      <c r="AC282" s="43" t="s">
        <v>733</v>
      </c>
      <c r="AD282" s="43">
        <f>IF(AA282="Prepare demo",1,IF(AA282="Send follow-up",2,IF(AA282="Send WhatsApp",3,IF(AA282="Review",4,IF(AA282="Do not send",9,5)))))</f>
        <v>9</v>
      </c>
      <c r="AE282" s="43">
        <f>IF(M282="High",1,IF(M282="Medium",2,IF(M282="Normal",3,IF(M282="Hold",9,4))))</f>
        <v>9</v>
      </c>
      <c r="AF282" s="43">
        <f>IF(T282="Read",1,IF(T282="Delivered",2,IF(T282="Sent",3,IF(T282="Not sent",4,IF(T282="Failed",9,5)))))</f>
        <v>4</v>
      </c>
      <c r="AG282" s="43">
        <f>IF(U282="Demo booked",1,IF(U282="Interested",2,IF(U282="Replied",3,IF(U282="No reply",5,IF(U282="Not interested",8,IF(U282="Bad number",9,6))))))</f>
        <v>6</v>
      </c>
      <c r="AH282" s="46">
        <f>AD282*1000+AN282*100+AE282*10+AG282</f>
        <v>9596</v>
      </c>
      <c r="AI282" s="45">
        <f>MAX(IF(R282="",0,R282),IF(Y282="",0,Y282))</f>
        <v>0</v>
      </c>
      <c r="AJ282" s="43" t="str">
        <f ca="1">IF(AND(X282&lt;&gt;"",Y282="",X282&lt;TODAY()),"Overdue",IF(AND(X282&lt;&gt;"",Y282="",X282=TODAY()),"Due today",IF(Y282&lt;&gt;"","Follow-up sent","")))</f>
        <v/>
      </c>
      <c r="AK282" s="50" t="s">
        <v>734</v>
      </c>
      <c r="AL282" s="50" t="s">
        <v>735</v>
      </c>
      <c r="AM282" s="50" t="s">
        <v>736</v>
      </c>
      <c r="AN282" s="50">
        <v>5</v>
      </c>
      <c r="AO282" s="54" t="s">
        <v>1251</v>
      </c>
      <c r="AP282" s="57" t="s">
        <v>127</v>
      </c>
      <c r="AQ282" s="58"/>
      <c r="AR282" s="57"/>
    </row>
    <row r="283" spans="1:44" ht="54" customHeight="1" x14ac:dyDescent="0.25">
      <c r="A283" s="43" t="s">
        <v>1252</v>
      </c>
      <c r="B283" s="43" t="s">
        <v>790</v>
      </c>
      <c r="C283" s="43"/>
      <c r="D283" s="44" t="s">
        <v>1253</v>
      </c>
      <c r="E283" s="43"/>
      <c r="F283" s="43" t="s">
        <v>729</v>
      </c>
      <c r="G283" s="45"/>
      <c r="H283" s="45">
        <v>46161</v>
      </c>
      <c r="I283" s="43" t="s">
        <v>730</v>
      </c>
      <c r="J283" s="43" t="s">
        <v>731</v>
      </c>
      <c r="K283" s="43" t="str">
        <f>IF(LEN(D283)=10,"OK","Check")</f>
        <v>OK</v>
      </c>
      <c r="L283" s="43" t="s">
        <v>732</v>
      </c>
      <c r="M283" s="43" t="str">
        <f>IF(L283="Hold","Hold",IF(IFERROR(E283,0)&gt;=200,"High",IF(IFERROR(E283,0)&gt;=100,"Medium","Normal")))</f>
        <v>Hold</v>
      </c>
      <c r="N283" s="43" t="s">
        <v>90</v>
      </c>
      <c r="O283" s="43" t="s">
        <v>91</v>
      </c>
      <c r="P283" s="43" t="s">
        <v>92</v>
      </c>
      <c r="Q283" s="17" t="s">
        <v>93</v>
      </c>
      <c r="R283" s="45"/>
      <c r="S283" s="43"/>
      <c r="T283" s="43" t="s">
        <v>31</v>
      </c>
      <c r="U283" s="43" t="s">
        <v>94</v>
      </c>
      <c r="V283" s="43" t="s">
        <v>94</v>
      </c>
      <c r="W283" s="43" t="s">
        <v>95</v>
      </c>
      <c r="X283" s="45" t="str">
        <f>IF(AND(R283&lt;&gt;"",OR(U283="No reply",U283="Unknown")),R283+2,"")</f>
        <v/>
      </c>
      <c r="Y283" s="45"/>
      <c r="Z283" s="43" t="s">
        <v>96</v>
      </c>
      <c r="AA283" s="43" t="str">
        <f>IF(L283="Hold","Do not send",IF(T283="Not sent","Send WhatsApp",IF(U283="Demo booked","Prepare demo",IF(W283="Booked","Prepare demo",IF(AND(X283&lt;&gt;"",Y283=""),"Send follow-up","Review")))))</f>
        <v>Do not send</v>
      </c>
      <c r="AB283" s="43"/>
      <c r="AC283" s="43" t="s">
        <v>733</v>
      </c>
      <c r="AD283" s="43">
        <f>IF(AA283="Prepare demo",1,IF(AA283="Send follow-up",2,IF(AA283="Send WhatsApp",3,IF(AA283="Review",4,IF(AA283="Do not send",9,5)))))</f>
        <v>9</v>
      </c>
      <c r="AE283" s="43">
        <f>IF(M283="High",1,IF(M283="Medium",2,IF(M283="Normal",3,IF(M283="Hold",9,4))))</f>
        <v>9</v>
      </c>
      <c r="AF283" s="43">
        <f>IF(T283="Read",1,IF(T283="Delivered",2,IF(T283="Sent",3,IF(T283="Not sent",4,IF(T283="Failed",9,5)))))</f>
        <v>4</v>
      </c>
      <c r="AG283" s="43">
        <f>IF(U283="Demo booked",1,IF(U283="Interested",2,IF(U283="Replied",3,IF(U283="No reply",5,IF(U283="Not interested",8,IF(U283="Bad number",9,6))))))</f>
        <v>6</v>
      </c>
      <c r="AH283" s="46">
        <f>AD283*1000+AN283*100+AE283*10+AG283</f>
        <v>9596</v>
      </c>
      <c r="AI283" s="45">
        <f>MAX(IF(R283="",0,R283),IF(Y283="",0,Y283))</f>
        <v>0</v>
      </c>
      <c r="AJ283" s="43" t="str">
        <f ca="1">IF(AND(X283&lt;&gt;"",Y283="",X283&lt;TODAY()),"Overdue",IF(AND(X283&lt;&gt;"",Y283="",X283=TODAY()),"Due today",IF(Y283&lt;&gt;"","Follow-up sent","")))</f>
        <v/>
      </c>
      <c r="AK283" s="50" t="s">
        <v>734</v>
      </c>
      <c r="AL283" s="50" t="s">
        <v>735</v>
      </c>
      <c r="AM283" s="50" t="s">
        <v>736</v>
      </c>
      <c r="AN283" s="50">
        <v>5</v>
      </c>
      <c r="AO283" s="54" t="s">
        <v>1254</v>
      </c>
      <c r="AP283" s="57" t="s">
        <v>127</v>
      </c>
      <c r="AQ283" s="58"/>
      <c r="AR283" s="57"/>
    </row>
    <row r="284" spans="1:44" ht="54" customHeight="1" x14ac:dyDescent="0.25">
      <c r="A284" s="43" t="s">
        <v>1255</v>
      </c>
      <c r="B284" s="43" t="s">
        <v>790</v>
      </c>
      <c r="C284" s="43"/>
      <c r="D284" s="44" t="s">
        <v>1256</v>
      </c>
      <c r="E284" s="43"/>
      <c r="F284" s="43" t="s">
        <v>729</v>
      </c>
      <c r="G284" s="45"/>
      <c r="H284" s="45">
        <v>46161</v>
      </c>
      <c r="I284" s="43" t="s">
        <v>730</v>
      </c>
      <c r="J284" s="43" t="s">
        <v>731</v>
      </c>
      <c r="K284" s="43" t="str">
        <f>IF(LEN(D284)=10,"OK","Check")</f>
        <v>OK</v>
      </c>
      <c r="L284" s="43" t="s">
        <v>732</v>
      </c>
      <c r="M284" s="43" t="str">
        <f>IF(L284="Hold","Hold",IF(IFERROR(E284,0)&gt;=200,"High",IF(IFERROR(E284,0)&gt;=100,"Medium","Normal")))</f>
        <v>Hold</v>
      </c>
      <c r="N284" s="43" t="s">
        <v>90</v>
      </c>
      <c r="O284" s="43" t="s">
        <v>91</v>
      </c>
      <c r="P284" s="43" t="s">
        <v>92</v>
      </c>
      <c r="Q284" s="17" t="s">
        <v>93</v>
      </c>
      <c r="R284" s="45"/>
      <c r="S284" s="43"/>
      <c r="T284" s="43" t="s">
        <v>31</v>
      </c>
      <c r="U284" s="43" t="s">
        <v>94</v>
      </c>
      <c r="V284" s="43" t="s">
        <v>94</v>
      </c>
      <c r="W284" s="43" t="s">
        <v>95</v>
      </c>
      <c r="X284" s="45" t="str">
        <f>IF(AND(R284&lt;&gt;"",OR(U284="No reply",U284="Unknown")),R284+2,"")</f>
        <v/>
      </c>
      <c r="Y284" s="45"/>
      <c r="Z284" s="43" t="s">
        <v>96</v>
      </c>
      <c r="AA284" s="43" t="str">
        <f>IF(L284="Hold","Do not send",IF(T284="Not sent","Send WhatsApp",IF(U284="Demo booked","Prepare demo",IF(W284="Booked","Prepare demo",IF(AND(X284&lt;&gt;"",Y284=""),"Send follow-up","Review")))))</f>
        <v>Do not send</v>
      </c>
      <c r="AB284" s="43"/>
      <c r="AC284" s="43" t="s">
        <v>733</v>
      </c>
      <c r="AD284" s="43">
        <f>IF(AA284="Prepare demo",1,IF(AA284="Send follow-up",2,IF(AA284="Send WhatsApp",3,IF(AA284="Review",4,IF(AA284="Do not send",9,5)))))</f>
        <v>9</v>
      </c>
      <c r="AE284" s="43">
        <f>IF(M284="High",1,IF(M284="Medium",2,IF(M284="Normal",3,IF(M284="Hold",9,4))))</f>
        <v>9</v>
      </c>
      <c r="AF284" s="43">
        <f>IF(T284="Read",1,IF(T284="Delivered",2,IF(T284="Sent",3,IF(T284="Not sent",4,IF(T284="Failed",9,5)))))</f>
        <v>4</v>
      </c>
      <c r="AG284" s="43">
        <f>IF(U284="Demo booked",1,IF(U284="Interested",2,IF(U284="Replied",3,IF(U284="No reply",5,IF(U284="Not interested",8,IF(U284="Bad number",9,6))))))</f>
        <v>6</v>
      </c>
      <c r="AH284" s="46">
        <f>AD284*1000+AN284*100+AE284*10+AG284</f>
        <v>9596</v>
      </c>
      <c r="AI284" s="45">
        <f>MAX(IF(R284="",0,R284),IF(Y284="",0,Y284))</f>
        <v>0</v>
      </c>
      <c r="AJ284" s="43" t="str">
        <f ca="1">IF(AND(X284&lt;&gt;"",Y284="",X284&lt;TODAY()),"Overdue",IF(AND(X284&lt;&gt;"",Y284="",X284=TODAY()),"Due today",IF(Y284&lt;&gt;"","Follow-up sent","")))</f>
        <v/>
      </c>
      <c r="AK284" s="50" t="s">
        <v>734</v>
      </c>
      <c r="AL284" s="50" t="s">
        <v>735</v>
      </c>
      <c r="AM284" s="50" t="s">
        <v>736</v>
      </c>
      <c r="AN284" s="50">
        <v>5</v>
      </c>
      <c r="AO284" s="54" t="s">
        <v>1257</v>
      </c>
      <c r="AP284" s="57" t="s">
        <v>127</v>
      </c>
      <c r="AQ284" s="58"/>
      <c r="AR284" s="57"/>
    </row>
    <row r="285" spans="1:44" ht="54" customHeight="1" x14ac:dyDescent="0.25">
      <c r="A285" s="43" t="s">
        <v>1258</v>
      </c>
      <c r="B285" s="43" t="s">
        <v>790</v>
      </c>
      <c r="C285" s="43"/>
      <c r="D285" s="44" t="s">
        <v>1259</v>
      </c>
      <c r="E285" s="43"/>
      <c r="F285" s="43" t="s">
        <v>729</v>
      </c>
      <c r="G285" s="45"/>
      <c r="H285" s="45">
        <v>46161</v>
      </c>
      <c r="I285" s="43" t="s">
        <v>730</v>
      </c>
      <c r="J285" s="43" t="s">
        <v>731</v>
      </c>
      <c r="K285" s="43" t="str">
        <f>IF(LEN(D285)=10,"OK","Check")</f>
        <v>OK</v>
      </c>
      <c r="L285" s="43" t="s">
        <v>732</v>
      </c>
      <c r="M285" s="43" t="str">
        <f>IF(L285="Hold","Hold",IF(IFERROR(E285,0)&gt;=200,"High",IF(IFERROR(E285,0)&gt;=100,"Medium","Normal")))</f>
        <v>Hold</v>
      </c>
      <c r="N285" s="43" t="s">
        <v>90</v>
      </c>
      <c r="O285" s="43" t="s">
        <v>91</v>
      </c>
      <c r="P285" s="43" t="s">
        <v>92</v>
      </c>
      <c r="Q285" s="17" t="s">
        <v>93</v>
      </c>
      <c r="R285" s="45"/>
      <c r="S285" s="43"/>
      <c r="T285" s="43" t="s">
        <v>31</v>
      </c>
      <c r="U285" s="43" t="s">
        <v>94</v>
      </c>
      <c r="V285" s="43" t="s">
        <v>94</v>
      </c>
      <c r="W285" s="43" t="s">
        <v>95</v>
      </c>
      <c r="X285" s="45" t="str">
        <f>IF(AND(R285&lt;&gt;"",OR(U285="No reply",U285="Unknown")),R285+2,"")</f>
        <v/>
      </c>
      <c r="Y285" s="45"/>
      <c r="Z285" s="43" t="s">
        <v>96</v>
      </c>
      <c r="AA285" s="43" t="str">
        <f>IF(L285="Hold","Do not send",IF(T285="Not sent","Send WhatsApp",IF(U285="Demo booked","Prepare demo",IF(W285="Booked","Prepare demo",IF(AND(X285&lt;&gt;"",Y285=""),"Send follow-up","Review")))))</f>
        <v>Do not send</v>
      </c>
      <c r="AB285" s="43"/>
      <c r="AC285" s="43" t="s">
        <v>733</v>
      </c>
      <c r="AD285" s="43">
        <f>IF(AA285="Prepare demo",1,IF(AA285="Send follow-up",2,IF(AA285="Send WhatsApp",3,IF(AA285="Review",4,IF(AA285="Do not send",9,5)))))</f>
        <v>9</v>
      </c>
      <c r="AE285" s="43">
        <f>IF(M285="High",1,IF(M285="Medium",2,IF(M285="Normal",3,IF(M285="Hold",9,4))))</f>
        <v>9</v>
      </c>
      <c r="AF285" s="43">
        <f>IF(T285="Read",1,IF(T285="Delivered",2,IF(T285="Sent",3,IF(T285="Not sent",4,IF(T285="Failed",9,5)))))</f>
        <v>4</v>
      </c>
      <c r="AG285" s="43">
        <f>IF(U285="Demo booked",1,IF(U285="Interested",2,IF(U285="Replied",3,IF(U285="No reply",5,IF(U285="Not interested",8,IF(U285="Bad number",9,6))))))</f>
        <v>6</v>
      </c>
      <c r="AH285" s="46">
        <f>AD285*1000+AN285*100+AE285*10+AG285</f>
        <v>9596</v>
      </c>
      <c r="AI285" s="45">
        <f>MAX(IF(R285="",0,R285),IF(Y285="",0,Y285))</f>
        <v>0</v>
      </c>
      <c r="AJ285" s="43" t="str">
        <f ca="1">IF(AND(X285&lt;&gt;"",Y285="",X285&lt;TODAY()),"Overdue",IF(AND(X285&lt;&gt;"",Y285="",X285=TODAY()),"Due today",IF(Y285&lt;&gt;"","Follow-up sent","")))</f>
        <v/>
      </c>
      <c r="AK285" s="50" t="s">
        <v>734</v>
      </c>
      <c r="AL285" s="50" t="s">
        <v>735</v>
      </c>
      <c r="AM285" s="50" t="s">
        <v>736</v>
      </c>
      <c r="AN285" s="50">
        <v>5</v>
      </c>
      <c r="AO285" s="54" t="s">
        <v>1260</v>
      </c>
      <c r="AP285" s="57" t="s">
        <v>127</v>
      </c>
      <c r="AQ285" s="58"/>
      <c r="AR285" s="57"/>
    </row>
    <row r="286" spans="1:44" ht="54" customHeight="1" x14ac:dyDescent="0.25">
      <c r="A286" s="43" t="s">
        <v>1261</v>
      </c>
      <c r="B286" s="43" t="s">
        <v>790</v>
      </c>
      <c r="C286" s="43"/>
      <c r="D286" s="44" t="s">
        <v>1262</v>
      </c>
      <c r="E286" s="43"/>
      <c r="F286" s="43" t="s">
        <v>729</v>
      </c>
      <c r="G286" s="45"/>
      <c r="H286" s="45">
        <v>46161</v>
      </c>
      <c r="I286" s="43" t="s">
        <v>730</v>
      </c>
      <c r="J286" s="43" t="s">
        <v>731</v>
      </c>
      <c r="K286" s="43" t="str">
        <f>IF(LEN(D286)=10,"OK","Check")</f>
        <v>OK</v>
      </c>
      <c r="L286" s="43" t="s">
        <v>732</v>
      </c>
      <c r="M286" s="43" t="str">
        <f>IF(L286="Hold","Hold",IF(IFERROR(E286,0)&gt;=200,"High",IF(IFERROR(E286,0)&gt;=100,"Medium","Normal")))</f>
        <v>Hold</v>
      </c>
      <c r="N286" s="43" t="s">
        <v>90</v>
      </c>
      <c r="O286" s="43" t="s">
        <v>91</v>
      </c>
      <c r="P286" s="43" t="s">
        <v>92</v>
      </c>
      <c r="Q286" s="17" t="s">
        <v>93</v>
      </c>
      <c r="R286" s="45"/>
      <c r="S286" s="43"/>
      <c r="T286" s="43" t="s">
        <v>31</v>
      </c>
      <c r="U286" s="43" t="s">
        <v>94</v>
      </c>
      <c r="V286" s="43" t="s">
        <v>94</v>
      </c>
      <c r="W286" s="43" t="s">
        <v>95</v>
      </c>
      <c r="X286" s="45" t="str">
        <f>IF(AND(R286&lt;&gt;"",OR(U286="No reply",U286="Unknown")),R286+2,"")</f>
        <v/>
      </c>
      <c r="Y286" s="45"/>
      <c r="Z286" s="43" t="s">
        <v>96</v>
      </c>
      <c r="AA286" s="43" t="str">
        <f>IF(L286="Hold","Do not send",IF(T286="Not sent","Send WhatsApp",IF(U286="Demo booked","Prepare demo",IF(W286="Booked","Prepare demo",IF(AND(X286&lt;&gt;"",Y286=""),"Send follow-up","Review")))))</f>
        <v>Do not send</v>
      </c>
      <c r="AB286" s="43"/>
      <c r="AC286" s="43" t="s">
        <v>733</v>
      </c>
      <c r="AD286" s="43">
        <f>IF(AA286="Prepare demo",1,IF(AA286="Send follow-up",2,IF(AA286="Send WhatsApp",3,IF(AA286="Review",4,IF(AA286="Do not send",9,5)))))</f>
        <v>9</v>
      </c>
      <c r="AE286" s="43">
        <f>IF(M286="High",1,IF(M286="Medium",2,IF(M286="Normal",3,IF(M286="Hold",9,4))))</f>
        <v>9</v>
      </c>
      <c r="AF286" s="43">
        <f>IF(T286="Read",1,IF(T286="Delivered",2,IF(T286="Sent",3,IF(T286="Not sent",4,IF(T286="Failed",9,5)))))</f>
        <v>4</v>
      </c>
      <c r="AG286" s="43">
        <f>IF(U286="Demo booked",1,IF(U286="Interested",2,IF(U286="Replied",3,IF(U286="No reply",5,IF(U286="Not interested",8,IF(U286="Bad number",9,6))))))</f>
        <v>6</v>
      </c>
      <c r="AH286" s="46">
        <f>AD286*1000+AN286*100+AE286*10+AG286</f>
        <v>9596</v>
      </c>
      <c r="AI286" s="45">
        <f>MAX(IF(R286="",0,R286),IF(Y286="",0,Y286))</f>
        <v>0</v>
      </c>
      <c r="AJ286" s="43" t="str">
        <f ca="1">IF(AND(X286&lt;&gt;"",Y286="",X286&lt;TODAY()),"Overdue",IF(AND(X286&lt;&gt;"",Y286="",X286=TODAY()),"Due today",IF(Y286&lt;&gt;"","Follow-up sent","")))</f>
        <v/>
      </c>
      <c r="AK286" s="50" t="s">
        <v>734</v>
      </c>
      <c r="AL286" s="50" t="s">
        <v>735</v>
      </c>
      <c r="AM286" s="50" t="s">
        <v>736</v>
      </c>
      <c r="AN286" s="50">
        <v>5</v>
      </c>
      <c r="AO286" s="54" t="s">
        <v>1263</v>
      </c>
      <c r="AP286" s="57" t="s">
        <v>127</v>
      </c>
      <c r="AQ286" s="58"/>
      <c r="AR286" s="57"/>
    </row>
    <row r="287" spans="1:44" ht="54" customHeight="1" x14ac:dyDescent="0.25">
      <c r="A287" s="43" t="s">
        <v>1264</v>
      </c>
      <c r="B287" s="43" t="s">
        <v>790</v>
      </c>
      <c r="C287" s="43"/>
      <c r="D287" s="44" t="s">
        <v>1265</v>
      </c>
      <c r="E287" s="43"/>
      <c r="F287" s="43" t="s">
        <v>729</v>
      </c>
      <c r="G287" s="45"/>
      <c r="H287" s="45">
        <v>46161</v>
      </c>
      <c r="I287" s="43" t="s">
        <v>730</v>
      </c>
      <c r="J287" s="43" t="s">
        <v>731</v>
      </c>
      <c r="K287" s="43" t="str">
        <f>IF(LEN(D287)=10,"OK","Check")</f>
        <v>OK</v>
      </c>
      <c r="L287" s="43" t="s">
        <v>732</v>
      </c>
      <c r="M287" s="43" t="str">
        <f>IF(L287="Hold","Hold",IF(IFERROR(E287,0)&gt;=200,"High",IF(IFERROR(E287,0)&gt;=100,"Medium","Normal")))</f>
        <v>Hold</v>
      </c>
      <c r="N287" s="43" t="s">
        <v>90</v>
      </c>
      <c r="O287" s="43" t="s">
        <v>91</v>
      </c>
      <c r="P287" s="43" t="s">
        <v>92</v>
      </c>
      <c r="Q287" s="17" t="s">
        <v>93</v>
      </c>
      <c r="R287" s="45"/>
      <c r="S287" s="43"/>
      <c r="T287" s="43" t="s">
        <v>31</v>
      </c>
      <c r="U287" s="43" t="s">
        <v>94</v>
      </c>
      <c r="V287" s="43" t="s">
        <v>94</v>
      </c>
      <c r="W287" s="43" t="s">
        <v>95</v>
      </c>
      <c r="X287" s="45" t="str">
        <f>IF(AND(R287&lt;&gt;"",OR(U287="No reply",U287="Unknown")),R287+2,"")</f>
        <v/>
      </c>
      <c r="Y287" s="45"/>
      <c r="Z287" s="43" t="s">
        <v>96</v>
      </c>
      <c r="AA287" s="43" t="str">
        <f>IF(L287="Hold","Do not send",IF(T287="Not sent","Send WhatsApp",IF(U287="Demo booked","Prepare demo",IF(W287="Booked","Prepare demo",IF(AND(X287&lt;&gt;"",Y287=""),"Send follow-up","Review")))))</f>
        <v>Do not send</v>
      </c>
      <c r="AB287" s="43"/>
      <c r="AC287" s="43" t="s">
        <v>733</v>
      </c>
      <c r="AD287" s="43">
        <f>IF(AA287="Prepare demo",1,IF(AA287="Send follow-up",2,IF(AA287="Send WhatsApp",3,IF(AA287="Review",4,IF(AA287="Do not send",9,5)))))</f>
        <v>9</v>
      </c>
      <c r="AE287" s="43">
        <f>IF(M287="High",1,IF(M287="Medium",2,IF(M287="Normal",3,IF(M287="Hold",9,4))))</f>
        <v>9</v>
      </c>
      <c r="AF287" s="43">
        <f>IF(T287="Read",1,IF(T287="Delivered",2,IF(T287="Sent",3,IF(T287="Not sent",4,IF(T287="Failed",9,5)))))</f>
        <v>4</v>
      </c>
      <c r="AG287" s="43">
        <f>IF(U287="Demo booked",1,IF(U287="Interested",2,IF(U287="Replied",3,IF(U287="No reply",5,IF(U287="Not interested",8,IF(U287="Bad number",9,6))))))</f>
        <v>6</v>
      </c>
      <c r="AH287" s="46">
        <f>AD287*1000+AN287*100+AE287*10+AG287</f>
        <v>9596</v>
      </c>
      <c r="AI287" s="45">
        <f>MAX(IF(R287="",0,R287),IF(Y287="",0,Y287))</f>
        <v>0</v>
      </c>
      <c r="AJ287" s="43" t="str">
        <f ca="1">IF(AND(X287&lt;&gt;"",Y287="",X287&lt;TODAY()),"Overdue",IF(AND(X287&lt;&gt;"",Y287="",X287=TODAY()),"Due today",IF(Y287&lt;&gt;"","Follow-up sent","")))</f>
        <v/>
      </c>
      <c r="AK287" s="50" t="s">
        <v>734</v>
      </c>
      <c r="AL287" s="50" t="s">
        <v>735</v>
      </c>
      <c r="AM287" s="50" t="s">
        <v>736</v>
      </c>
      <c r="AN287" s="50">
        <v>5</v>
      </c>
      <c r="AO287" s="54" t="s">
        <v>1266</v>
      </c>
      <c r="AP287" s="57" t="s">
        <v>127</v>
      </c>
      <c r="AQ287" s="58"/>
      <c r="AR287" s="57"/>
    </row>
    <row r="288" spans="1:44" ht="54" customHeight="1" x14ac:dyDescent="0.25">
      <c r="A288" s="43" t="s">
        <v>1267</v>
      </c>
      <c r="B288" s="43" t="s">
        <v>790</v>
      </c>
      <c r="C288" s="43"/>
      <c r="D288" s="44" t="s">
        <v>1268</v>
      </c>
      <c r="E288" s="43"/>
      <c r="F288" s="43" t="s">
        <v>729</v>
      </c>
      <c r="G288" s="45"/>
      <c r="H288" s="45">
        <v>46161</v>
      </c>
      <c r="I288" s="43" t="s">
        <v>730</v>
      </c>
      <c r="J288" s="43" t="s">
        <v>731</v>
      </c>
      <c r="K288" s="43" t="str">
        <f>IF(LEN(D288)=10,"OK","Check")</f>
        <v>OK</v>
      </c>
      <c r="L288" s="43" t="s">
        <v>732</v>
      </c>
      <c r="M288" s="43" t="str">
        <f>IF(L288="Hold","Hold",IF(IFERROR(E288,0)&gt;=200,"High",IF(IFERROR(E288,0)&gt;=100,"Medium","Normal")))</f>
        <v>Hold</v>
      </c>
      <c r="N288" s="43" t="s">
        <v>90</v>
      </c>
      <c r="O288" s="43" t="s">
        <v>91</v>
      </c>
      <c r="P288" s="43" t="s">
        <v>92</v>
      </c>
      <c r="Q288" s="17" t="s">
        <v>93</v>
      </c>
      <c r="R288" s="45"/>
      <c r="S288" s="43"/>
      <c r="T288" s="43" t="s">
        <v>31</v>
      </c>
      <c r="U288" s="43" t="s">
        <v>94</v>
      </c>
      <c r="V288" s="43" t="s">
        <v>94</v>
      </c>
      <c r="W288" s="43" t="s">
        <v>95</v>
      </c>
      <c r="X288" s="45" t="str">
        <f>IF(AND(R288&lt;&gt;"",OR(U288="No reply",U288="Unknown")),R288+2,"")</f>
        <v/>
      </c>
      <c r="Y288" s="45"/>
      <c r="Z288" s="43" t="s">
        <v>96</v>
      </c>
      <c r="AA288" s="43" t="str">
        <f>IF(L288="Hold","Do not send",IF(T288="Not sent","Send WhatsApp",IF(U288="Demo booked","Prepare demo",IF(W288="Booked","Prepare demo",IF(AND(X288&lt;&gt;"",Y288=""),"Send follow-up","Review")))))</f>
        <v>Do not send</v>
      </c>
      <c r="AB288" s="43"/>
      <c r="AC288" s="43" t="s">
        <v>733</v>
      </c>
      <c r="AD288" s="43">
        <f>IF(AA288="Prepare demo",1,IF(AA288="Send follow-up",2,IF(AA288="Send WhatsApp",3,IF(AA288="Review",4,IF(AA288="Do not send",9,5)))))</f>
        <v>9</v>
      </c>
      <c r="AE288" s="43">
        <f>IF(M288="High",1,IF(M288="Medium",2,IF(M288="Normal",3,IF(M288="Hold",9,4))))</f>
        <v>9</v>
      </c>
      <c r="AF288" s="43">
        <f>IF(T288="Read",1,IF(T288="Delivered",2,IF(T288="Sent",3,IF(T288="Not sent",4,IF(T288="Failed",9,5)))))</f>
        <v>4</v>
      </c>
      <c r="AG288" s="43">
        <f>IF(U288="Demo booked",1,IF(U288="Interested",2,IF(U288="Replied",3,IF(U288="No reply",5,IF(U288="Not interested",8,IF(U288="Bad number",9,6))))))</f>
        <v>6</v>
      </c>
      <c r="AH288" s="46">
        <f>AD288*1000+AN288*100+AE288*10+AG288</f>
        <v>9596</v>
      </c>
      <c r="AI288" s="45">
        <f>MAX(IF(R288="",0,R288),IF(Y288="",0,Y288))</f>
        <v>0</v>
      </c>
      <c r="AJ288" s="43" t="str">
        <f ca="1">IF(AND(X288&lt;&gt;"",Y288="",X288&lt;TODAY()),"Overdue",IF(AND(X288&lt;&gt;"",Y288="",X288=TODAY()),"Due today",IF(Y288&lt;&gt;"","Follow-up sent","")))</f>
        <v/>
      </c>
      <c r="AK288" s="50" t="s">
        <v>734</v>
      </c>
      <c r="AL288" s="50" t="s">
        <v>735</v>
      </c>
      <c r="AM288" s="50" t="s">
        <v>736</v>
      </c>
      <c r="AN288" s="50">
        <v>5</v>
      </c>
      <c r="AO288" s="54" t="s">
        <v>1269</v>
      </c>
      <c r="AP288" s="57" t="s">
        <v>127</v>
      </c>
      <c r="AQ288" s="58"/>
      <c r="AR288" s="57"/>
    </row>
    <row r="289" spans="1:44" ht="54" customHeight="1" x14ac:dyDescent="0.25">
      <c r="A289" s="43" t="s">
        <v>1270</v>
      </c>
      <c r="B289" s="43" t="s">
        <v>790</v>
      </c>
      <c r="C289" s="43"/>
      <c r="D289" s="44" t="s">
        <v>1271</v>
      </c>
      <c r="E289" s="43"/>
      <c r="F289" s="43" t="s">
        <v>729</v>
      </c>
      <c r="G289" s="45"/>
      <c r="H289" s="45">
        <v>46161</v>
      </c>
      <c r="I289" s="43" t="s">
        <v>730</v>
      </c>
      <c r="J289" s="43" t="s">
        <v>731</v>
      </c>
      <c r="K289" s="43" t="str">
        <f>IF(LEN(D289)=10,"OK","Check")</f>
        <v>OK</v>
      </c>
      <c r="L289" s="43" t="s">
        <v>732</v>
      </c>
      <c r="M289" s="43" t="str">
        <f>IF(L289="Hold","Hold",IF(IFERROR(E289,0)&gt;=200,"High",IF(IFERROR(E289,0)&gt;=100,"Medium","Normal")))</f>
        <v>Hold</v>
      </c>
      <c r="N289" s="43" t="s">
        <v>90</v>
      </c>
      <c r="O289" s="43" t="s">
        <v>91</v>
      </c>
      <c r="P289" s="43" t="s">
        <v>92</v>
      </c>
      <c r="Q289" s="17" t="s">
        <v>93</v>
      </c>
      <c r="R289" s="45"/>
      <c r="S289" s="43"/>
      <c r="T289" s="43" t="s">
        <v>31</v>
      </c>
      <c r="U289" s="43" t="s">
        <v>94</v>
      </c>
      <c r="V289" s="43" t="s">
        <v>94</v>
      </c>
      <c r="W289" s="43" t="s">
        <v>95</v>
      </c>
      <c r="X289" s="45" t="str">
        <f>IF(AND(R289&lt;&gt;"",OR(U289="No reply",U289="Unknown")),R289+2,"")</f>
        <v/>
      </c>
      <c r="Y289" s="45"/>
      <c r="Z289" s="43" t="s">
        <v>96</v>
      </c>
      <c r="AA289" s="43" t="str">
        <f>IF(L289="Hold","Do not send",IF(T289="Not sent","Send WhatsApp",IF(U289="Demo booked","Prepare demo",IF(W289="Booked","Prepare demo",IF(AND(X289&lt;&gt;"",Y289=""),"Send follow-up","Review")))))</f>
        <v>Do not send</v>
      </c>
      <c r="AB289" s="43"/>
      <c r="AC289" s="43" t="s">
        <v>733</v>
      </c>
      <c r="AD289" s="43">
        <f>IF(AA289="Prepare demo",1,IF(AA289="Send follow-up",2,IF(AA289="Send WhatsApp",3,IF(AA289="Review",4,IF(AA289="Do not send",9,5)))))</f>
        <v>9</v>
      </c>
      <c r="AE289" s="43">
        <f>IF(M289="High",1,IF(M289="Medium",2,IF(M289="Normal",3,IF(M289="Hold",9,4))))</f>
        <v>9</v>
      </c>
      <c r="AF289" s="43">
        <f>IF(T289="Read",1,IF(T289="Delivered",2,IF(T289="Sent",3,IF(T289="Not sent",4,IF(T289="Failed",9,5)))))</f>
        <v>4</v>
      </c>
      <c r="AG289" s="43">
        <f>IF(U289="Demo booked",1,IF(U289="Interested",2,IF(U289="Replied",3,IF(U289="No reply",5,IF(U289="Not interested",8,IF(U289="Bad number",9,6))))))</f>
        <v>6</v>
      </c>
      <c r="AH289" s="46">
        <f>AD289*1000+AN289*100+AE289*10+AG289</f>
        <v>9596</v>
      </c>
      <c r="AI289" s="45">
        <f>MAX(IF(R289="",0,R289),IF(Y289="",0,Y289))</f>
        <v>0</v>
      </c>
      <c r="AJ289" s="43" t="str">
        <f ca="1">IF(AND(X289&lt;&gt;"",Y289="",X289&lt;TODAY()),"Overdue",IF(AND(X289&lt;&gt;"",Y289="",X289=TODAY()),"Due today",IF(Y289&lt;&gt;"","Follow-up sent","")))</f>
        <v/>
      </c>
      <c r="AK289" s="50" t="s">
        <v>734</v>
      </c>
      <c r="AL289" s="50" t="s">
        <v>735</v>
      </c>
      <c r="AM289" s="50" t="s">
        <v>736</v>
      </c>
      <c r="AN289" s="50">
        <v>5</v>
      </c>
      <c r="AO289" s="54" t="s">
        <v>1272</v>
      </c>
      <c r="AP289" s="57" t="s">
        <v>127</v>
      </c>
      <c r="AQ289" s="58"/>
      <c r="AR289" s="57"/>
    </row>
    <row r="290" spans="1:44" ht="54" customHeight="1" x14ac:dyDescent="0.25">
      <c r="A290" s="43" t="s">
        <v>1273</v>
      </c>
      <c r="B290" s="43" t="s">
        <v>790</v>
      </c>
      <c r="C290" s="43"/>
      <c r="D290" s="44" t="s">
        <v>1274</v>
      </c>
      <c r="E290" s="43"/>
      <c r="F290" s="43" t="s">
        <v>729</v>
      </c>
      <c r="G290" s="45"/>
      <c r="H290" s="45">
        <v>46161</v>
      </c>
      <c r="I290" s="43" t="s">
        <v>730</v>
      </c>
      <c r="J290" s="43" t="s">
        <v>731</v>
      </c>
      <c r="K290" s="43" t="str">
        <f>IF(LEN(D290)=10,"OK","Check")</f>
        <v>OK</v>
      </c>
      <c r="L290" s="43" t="s">
        <v>732</v>
      </c>
      <c r="M290" s="43" t="str">
        <f>IF(L290="Hold","Hold",IF(IFERROR(E290,0)&gt;=200,"High",IF(IFERROR(E290,0)&gt;=100,"Medium","Normal")))</f>
        <v>Hold</v>
      </c>
      <c r="N290" s="43" t="s">
        <v>90</v>
      </c>
      <c r="O290" s="43" t="s">
        <v>91</v>
      </c>
      <c r="P290" s="43" t="s">
        <v>92</v>
      </c>
      <c r="Q290" s="17" t="s">
        <v>93</v>
      </c>
      <c r="R290" s="45"/>
      <c r="S290" s="43"/>
      <c r="T290" s="43" t="s">
        <v>31</v>
      </c>
      <c r="U290" s="43" t="s">
        <v>94</v>
      </c>
      <c r="V290" s="43" t="s">
        <v>94</v>
      </c>
      <c r="W290" s="43" t="s">
        <v>95</v>
      </c>
      <c r="X290" s="45" t="str">
        <f>IF(AND(R290&lt;&gt;"",OR(U290="No reply",U290="Unknown")),R290+2,"")</f>
        <v/>
      </c>
      <c r="Y290" s="45"/>
      <c r="Z290" s="43" t="s">
        <v>96</v>
      </c>
      <c r="AA290" s="43" t="str">
        <f>IF(L290="Hold","Do not send",IF(T290="Not sent","Send WhatsApp",IF(U290="Demo booked","Prepare demo",IF(W290="Booked","Prepare demo",IF(AND(X290&lt;&gt;"",Y290=""),"Send follow-up","Review")))))</f>
        <v>Do not send</v>
      </c>
      <c r="AB290" s="43"/>
      <c r="AC290" s="43" t="s">
        <v>733</v>
      </c>
      <c r="AD290" s="43">
        <f>IF(AA290="Prepare demo",1,IF(AA290="Send follow-up",2,IF(AA290="Send WhatsApp",3,IF(AA290="Review",4,IF(AA290="Do not send",9,5)))))</f>
        <v>9</v>
      </c>
      <c r="AE290" s="43">
        <f>IF(M290="High",1,IF(M290="Medium",2,IF(M290="Normal",3,IF(M290="Hold",9,4))))</f>
        <v>9</v>
      </c>
      <c r="AF290" s="43">
        <f>IF(T290="Read",1,IF(T290="Delivered",2,IF(T290="Sent",3,IF(T290="Not sent",4,IF(T290="Failed",9,5)))))</f>
        <v>4</v>
      </c>
      <c r="AG290" s="43">
        <f>IF(U290="Demo booked",1,IF(U290="Interested",2,IF(U290="Replied",3,IF(U290="No reply",5,IF(U290="Not interested",8,IF(U290="Bad number",9,6))))))</f>
        <v>6</v>
      </c>
      <c r="AH290" s="46">
        <f>AD290*1000+AN290*100+AE290*10+AG290</f>
        <v>9596</v>
      </c>
      <c r="AI290" s="45">
        <f>MAX(IF(R290="",0,R290),IF(Y290="",0,Y290))</f>
        <v>0</v>
      </c>
      <c r="AJ290" s="43" t="str">
        <f ca="1">IF(AND(X290&lt;&gt;"",Y290="",X290&lt;TODAY()),"Overdue",IF(AND(X290&lt;&gt;"",Y290="",X290=TODAY()),"Due today",IF(Y290&lt;&gt;"","Follow-up sent","")))</f>
        <v/>
      </c>
      <c r="AK290" s="50" t="s">
        <v>734</v>
      </c>
      <c r="AL290" s="50" t="s">
        <v>735</v>
      </c>
      <c r="AM290" s="50" t="s">
        <v>736</v>
      </c>
      <c r="AN290" s="50">
        <v>5</v>
      </c>
      <c r="AO290" s="54" t="s">
        <v>1275</v>
      </c>
      <c r="AP290" s="57" t="s">
        <v>127</v>
      </c>
      <c r="AQ290" s="58"/>
      <c r="AR290" s="57"/>
    </row>
    <row r="291" spans="1:44" ht="54" customHeight="1" x14ac:dyDescent="0.25">
      <c r="A291" s="43" t="s">
        <v>1276</v>
      </c>
      <c r="B291" s="43" t="s">
        <v>1277</v>
      </c>
      <c r="C291" s="43" t="s">
        <v>1277</v>
      </c>
      <c r="D291" s="44" t="s">
        <v>1278</v>
      </c>
      <c r="E291" s="43"/>
      <c r="F291" s="43" t="s">
        <v>729</v>
      </c>
      <c r="G291" s="45"/>
      <c r="H291" s="45">
        <v>46161</v>
      </c>
      <c r="I291" s="43" t="s">
        <v>730</v>
      </c>
      <c r="J291" s="43" t="s">
        <v>731</v>
      </c>
      <c r="K291" s="43" t="str">
        <f>IF(LEN(D291)=10,"OK","Check")</f>
        <v>OK</v>
      </c>
      <c r="L291" s="43" t="s">
        <v>732</v>
      </c>
      <c r="M291" s="43" t="str">
        <f>IF(L291="Hold","Hold",IF(IFERROR(E291,0)&gt;=200,"High",IF(IFERROR(E291,0)&gt;=100,"Medium","Normal")))</f>
        <v>Hold</v>
      </c>
      <c r="N291" s="43" t="s">
        <v>90</v>
      </c>
      <c r="O291" s="43" t="s">
        <v>91</v>
      </c>
      <c r="P291" s="43" t="s">
        <v>92</v>
      </c>
      <c r="Q291" s="17" t="s">
        <v>93</v>
      </c>
      <c r="R291" s="45"/>
      <c r="S291" s="43"/>
      <c r="T291" s="43" t="s">
        <v>31</v>
      </c>
      <c r="U291" s="43" t="s">
        <v>94</v>
      </c>
      <c r="V291" s="43" t="s">
        <v>94</v>
      </c>
      <c r="W291" s="43" t="s">
        <v>95</v>
      </c>
      <c r="X291" s="45" t="str">
        <f>IF(AND(R291&lt;&gt;"",OR(U291="No reply",U291="Unknown")),R291+2,"")</f>
        <v/>
      </c>
      <c r="Y291" s="45"/>
      <c r="Z291" s="43" t="s">
        <v>96</v>
      </c>
      <c r="AA291" s="43" t="str">
        <f>IF(L291="Hold","Do not send",IF(T291="Not sent","Send WhatsApp",IF(U291="Demo booked","Prepare demo",IF(W291="Booked","Prepare demo",IF(AND(X291&lt;&gt;"",Y291=""),"Send follow-up","Review")))))</f>
        <v>Do not send</v>
      </c>
      <c r="AB291" s="43"/>
      <c r="AC291" s="43" t="s">
        <v>733</v>
      </c>
      <c r="AD291" s="43">
        <f>IF(AA291="Prepare demo",1,IF(AA291="Send follow-up",2,IF(AA291="Send WhatsApp",3,IF(AA291="Review",4,IF(AA291="Do not send",9,5)))))</f>
        <v>9</v>
      </c>
      <c r="AE291" s="43">
        <f>IF(M291="High",1,IF(M291="Medium",2,IF(M291="Normal",3,IF(M291="Hold",9,4))))</f>
        <v>9</v>
      </c>
      <c r="AF291" s="43">
        <f>IF(T291="Read",1,IF(T291="Delivered",2,IF(T291="Sent",3,IF(T291="Not sent",4,IF(T291="Failed",9,5)))))</f>
        <v>4</v>
      </c>
      <c r="AG291" s="43">
        <f>IF(U291="Demo booked",1,IF(U291="Interested",2,IF(U291="Replied",3,IF(U291="No reply",5,IF(U291="Not interested",8,IF(U291="Bad number",9,6))))))</f>
        <v>6</v>
      </c>
      <c r="AH291" s="46">
        <f>AD291*1000+AN291*100+AE291*10+AG291</f>
        <v>9596</v>
      </c>
      <c r="AI291" s="45">
        <f>MAX(IF(R291="",0,R291),IF(Y291="",0,Y291))</f>
        <v>0</v>
      </c>
      <c r="AJ291" s="43" t="str">
        <f ca="1">IF(AND(X291&lt;&gt;"",Y291="",X291&lt;TODAY()),"Overdue",IF(AND(X291&lt;&gt;"",Y291="",X291=TODAY()),"Due today",IF(Y291&lt;&gt;"","Follow-up sent","")))</f>
        <v/>
      </c>
      <c r="AK291" s="50" t="s">
        <v>734</v>
      </c>
      <c r="AL291" s="50" t="s">
        <v>735</v>
      </c>
      <c r="AM291" s="50" t="s">
        <v>736</v>
      </c>
      <c r="AN291" s="50">
        <v>5</v>
      </c>
      <c r="AO291" s="54" t="s">
        <v>1279</v>
      </c>
      <c r="AP291" s="57" t="s">
        <v>127</v>
      </c>
      <c r="AQ291" s="58"/>
      <c r="AR291" s="57"/>
    </row>
    <row r="292" spans="1:44" ht="54" customHeight="1" x14ac:dyDescent="0.25">
      <c r="A292" s="43" t="s">
        <v>1280</v>
      </c>
      <c r="B292" s="43" t="s">
        <v>790</v>
      </c>
      <c r="C292" s="43"/>
      <c r="D292" s="44" t="s">
        <v>1281</v>
      </c>
      <c r="E292" s="43"/>
      <c r="F292" s="43" t="s">
        <v>729</v>
      </c>
      <c r="G292" s="45"/>
      <c r="H292" s="45">
        <v>46161</v>
      </c>
      <c r="I292" s="43" t="s">
        <v>730</v>
      </c>
      <c r="J292" s="43" t="s">
        <v>731</v>
      </c>
      <c r="K292" s="43" t="str">
        <f>IF(LEN(D292)=10,"OK","Check")</f>
        <v>OK</v>
      </c>
      <c r="L292" s="43" t="s">
        <v>732</v>
      </c>
      <c r="M292" s="43" t="str">
        <f>IF(L292="Hold","Hold",IF(IFERROR(E292,0)&gt;=200,"High",IF(IFERROR(E292,0)&gt;=100,"Medium","Normal")))</f>
        <v>Hold</v>
      </c>
      <c r="N292" s="43" t="s">
        <v>90</v>
      </c>
      <c r="O292" s="43" t="s">
        <v>91</v>
      </c>
      <c r="P292" s="43" t="s">
        <v>92</v>
      </c>
      <c r="Q292" s="17" t="s">
        <v>93</v>
      </c>
      <c r="R292" s="45"/>
      <c r="S292" s="43"/>
      <c r="T292" s="43" t="s">
        <v>31</v>
      </c>
      <c r="U292" s="43" t="s">
        <v>94</v>
      </c>
      <c r="V292" s="43" t="s">
        <v>94</v>
      </c>
      <c r="W292" s="43" t="s">
        <v>95</v>
      </c>
      <c r="X292" s="45" t="str">
        <f>IF(AND(R292&lt;&gt;"",OR(U292="No reply",U292="Unknown")),R292+2,"")</f>
        <v/>
      </c>
      <c r="Y292" s="45"/>
      <c r="Z292" s="43" t="s">
        <v>96</v>
      </c>
      <c r="AA292" s="43" t="str">
        <f>IF(L292="Hold","Do not send",IF(T292="Not sent","Send WhatsApp",IF(U292="Demo booked","Prepare demo",IF(W292="Booked","Prepare demo",IF(AND(X292&lt;&gt;"",Y292=""),"Send follow-up","Review")))))</f>
        <v>Do not send</v>
      </c>
      <c r="AB292" s="43"/>
      <c r="AC292" s="43" t="s">
        <v>733</v>
      </c>
      <c r="AD292" s="43">
        <f>IF(AA292="Prepare demo",1,IF(AA292="Send follow-up",2,IF(AA292="Send WhatsApp",3,IF(AA292="Review",4,IF(AA292="Do not send",9,5)))))</f>
        <v>9</v>
      </c>
      <c r="AE292" s="43">
        <f>IF(M292="High",1,IF(M292="Medium",2,IF(M292="Normal",3,IF(M292="Hold",9,4))))</f>
        <v>9</v>
      </c>
      <c r="AF292" s="43">
        <f>IF(T292="Read",1,IF(T292="Delivered",2,IF(T292="Sent",3,IF(T292="Not sent",4,IF(T292="Failed",9,5)))))</f>
        <v>4</v>
      </c>
      <c r="AG292" s="43">
        <f>IF(U292="Demo booked",1,IF(U292="Interested",2,IF(U292="Replied",3,IF(U292="No reply",5,IF(U292="Not interested",8,IF(U292="Bad number",9,6))))))</f>
        <v>6</v>
      </c>
      <c r="AH292" s="46">
        <f>AD292*1000+AN292*100+AE292*10+AG292</f>
        <v>9596</v>
      </c>
      <c r="AI292" s="45">
        <f>MAX(IF(R292="",0,R292),IF(Y292="",0,Y292))</f>
        <v>0</v>
      </c>
      <c r="AJ292" s="43" t="str">
        <f ca="1">IF(AND(X292&lt;&gt;"",Y292="",X292&lt;TODAY()),"Overdue",IF(AND(X292&lt;&gt;"",Y292="",X292=TODAY()),"Due today",IF(Y292&lt;&gt;"","Follow-up sent","")))</f>
        <v/>
      </c>
      <c r="AK292" s="50" t="s">
        <v>734</v>
      </c>
      <c r="AL292" s="50" t="s">
        <v>735</v>
      </c>
      <c r="AM292" s="50" t="s">
        <v>736</v>
      </c>
      <c r="AN292" s="50">
        <v>5</v>
      </c>
      <c r="AO292" s="54" t="s">
        <v>1282</v>
      </c>
      <c r="AP292" s="57" t="s">
        <v>127</v>
      </c>
      <c r="AQ292" s="58"/>
      <c r="AR292" s="57"/>
    </row>
    <row r="293" spans="1:44" ht="54" customHeight="1" x14ac:dyDescent="0.25">
      <c r="A293" s="43" t="s">
        <v>1283</v>
      </c>
      <c r="B293" s="43" t="s">
        <v>790</v>
      </c>
      <c r="C293" s="43"/>
      <c r="D293" s="44" t="s">
        <v>1284</v>
      </c>
      <c r="E293" s="43"/>
      <c r="F293" s="43" t="s">
        <v>729</v>
      </c>
      <c r="G293" s="45"/>
      <c r="H293" s="45">
        <v>46161</v>
      </c>
      <c r="I293" s="43" t="s">
        <v>730</v>
      </c>
      <c r="J293" s="43" t="s">
        <v>731</v>
      </c>
      <c r="K293" s="43" t="str">
        <f>IF(LEN(D293)=10,"OK","Check")</f>
        <v>OK</v>
      </c>
      <c r="L293" s="43" t="s">
        <v>732</v>
      </c>
      <c r="M293" s="43" t="str">
        <f>IF(L293="Hold","Hold",IF(IFERROR(E293,0)&gt;=200,"High",IF(IFERROR(E293,0)&gt;=100,"Medium","Normal")))</f>
        <v>Hold</v>
      </c>
      <c r="N293" s="43" t="s">
        <v>90</v>
      </c>
      <c r="O293" s="43" t="s">
        <v>91</v>
      </c>
      <c r="P293" s="43" t="s">
        <v>92</v>
      </c>
      <c r="Q293" s="17" t="s">
        <v>93</v>
      </c>
      <c r="R293" s="45"/>
      <c r="S293" s="43"/>
      <c r="T293" s="43" t="s">
        <v>31</v>
      </c>
      <c r="U293" s="43" t="s">
        <v>94</v>
      </c>
      <c r="V293" s="43" t="s">
        <v>94</v>
      </c>
      <c r="W293" s="43" t="s">
        <v>95</v>
      </c>
      <c r="X293" s="45" t="str">
        <f>IF(AND(R293&lt;&gt;"",OR(U293="No reply",U293="Unknown")),R293+2,"")</f>
        <v/>
      </c>
      <c r="Y293" s="45"/>
      <c r="Z293" s="43" t="s">
        <v>96</v>
      </c>
      <c r="AA293" s="43" t="str">
        <f>IF(L293="Hold","Do not send",IF(T293="Not sent","Send WhatsApp",IF(U293="Demo booked","Prepare demo",IF(W293="Booked","Prepare demo",IF(AND(X293&lt;&gt;"",Y293=""),"Send follow-up","Review")))))</f>
        <v>Do not send</v>
      </c>
      <c r="AB293" s="43"/>
      <c r="AC293" s="43" t="s">
        <v>733</v>
      </c>
      <c r="AD293" s="43">
        <f>IF(AA293="Prepare demo",1,IF(AA293="Send follow-up",2,IF(AA293="Send WhatsApp",3,IF(AA293="Review",4,IF(AA293="Do not send",9,5)))))</f>
        <v>9</v>
      </c>
      <c r="AE293" s="43">
        <f>IF(M293="High",1,IF(M293="Medium",2,IF(M293="Normal",3,IF(M293="Hold",9,4))))</f>
        <v>9</v>
      </c>
      <c r="AF293" s="43">
        <f>IF(T293="Read",1,IF(T293="Delivered",2,IF(T293="Sent",3,IF(T293="Not sent",4,IF(T293="Failed",9,5)))))</f>
        <v>4</v>
      </c>
      <c r="AG293" s="43">
        <f>IF(U293="Demo booked",1,IF(U293="Interested",2,IF(U293="Replied",3,IF(U293="No reply",5,IF(U293="Not interested",8,IF(U293="Bad number",9,6))))))</f>
        <v>6</v>
      </c>
      <c r="AH293" s="46">
        <f>AD293*1000+AN293*100+AE293*10+AG293</f>
        <v>9596</v>
      </c>
      <c r="AI293" s="45">
        <f>MAX(IF(R293="",0,R293),IF(Y293="",0,Y293))</f>
        <v>0</v>
      </c>
      <c r="AJ293" s="43" t="str">
        <f ca="1">IF(AND(X293&lt;&gt;"",Y293="",X293&lt;TODAY()),"Overdue",IF(AND(X293&lt;&gt;"",Y293="",X293=TODAY()),"Due today",IF(Y293&lt;&gt;"","Follow-up sent","")))</f>
        <v/>
      </c>
      <c r="AK293" s="50" t="s">
        <v>734</v>
      </c>
      <c r="AL293" s="50" t="s">
        <v>735</v>
      </c>
      <c r="AM293" s="50" t="s">
        <v>736</v>
      </c>
      <c r="AN293" s="50">
        <v>5</v>
      </c>
      <c r="AO293" s="54" t="s">
        <v>1285</v>
      </c>
      <c r="AP293" s="57" t="s">
        <v>127</v>
      </c>
      <c r="AQ293" s="58"/>
      <c r="AR293" s="57"/>
    </row>
    <row r="294" spans="1:44" ht="54" customHeight="1" x14ac:dyDescent="0.25">
      <c r="A294" s="43" t="s">
        <v>1286</v>
      </c>
      <c r="B294" s="43" t="s">
        <v>790</v>
      </c>
      <c r="C294" s="43"/>
      <c r="D294" s="44" t="s">
        <v>1287</v>
      </c>
      <c r="E294" s="43"/>
      <c r="F294" s="43" t="s">
        <v>729</v>
      </c>
      <c r="G294" s="45"/>
      <c r="H294" s="45">
        <v>46161</v>
      </c>
      <c r="I294" s="43" t="s">
        <v>730</v>
      </c>
      <c r="J294" s="43" t="s">
        <v>731</v>
      </c>
      <c r="K294" s="43" t="str">
        <f>IF(LEN(D294)=10,"OK","Check")</f>
        <v>OK</v>
      </c>
      <c r="L294" s="43" t="s">
        <v>732</v>
      </c>
      <c r="M294" s="43" t="str">
        <f>IF(L294="Hold","Hold",IF(IFERROR(E294,0)&gt;=200,"High",IF(IFERROR(E294,0)&gt;=100,"Medium","Normal")))</f>
        <v>Hold</v>
      </c>
      <c r="N294" s="43" t="s">
        <v>90</v>
      </c>
      <c r="O294" s="43" t="s">
        <v>91</v>
      </c>
      <c r="P294" s="43" t="s">
        <v>92</v>
      </c>
      <c r="Q294" s="17" t="s">
        <v>93</v>
      </c>
      <c r="R294" s="45"/>
      <c r="S294" s="43"/>
      <c r="T294" s="43" t="s">
        <v>31</v>
      </c>
      <c r="U294" s="43" t="s">
        <v>94</v>
      </c>
      <c r="V294" s="43" t="s">
        <v>94</v>
      </c>
      <c r="W294" s="43" t="s">
        <v>95</v>
      </c>
      <c r="X294" s="45" t="str">
        <f>IF(AND(R294&lt;&gt;"",OR(U294="No reply",U294="Unknown")),R294+2,"")</f>
        <v/>
      </c>
      <c r="Y294" s="45"/>
      <c r="Z294" s="43" t="s">
        <v>96</v>
      </c>
      <c r="AA294" s="43" t="str">
        <f>IF(L294="Hold","Do not send",IF(T294="Not sent","Send WhatsApp",IF(U294="Demo booked","Prepare demo",IF(W294="Booked","Prepare demo",IF(AND(X294&lt;&gt;"",Y294=""),"Send follow-up","Review")))))</f>
        <v>Do not send</v>
      </c>
      <c r="AB294" s="43"/>
      <c r="AC294" s="43" t="s">
        <v>733</v>
      </c>
      <c r="AD294" s="43">
        <f>IF(AA294="Prepare demo",1,IF(AA294="Send follow-up",2,IF(AA294="Send WhatsApp",3,IF(AA294="Review",4,IF(AA294="Do not send",9,5)))))</f>
        <v>9</v>
      </c>
      <c r="AE294" s="43">
        <f>IF(M294="High",1,IF(M294="Medium",2,IF(M294="Normal",3,IF(M294="Hold",9,4))))</f>
        <v>9</v>
      </c>
      <c r="AF294" s="43">
        <f>IF(T294="Read",1,IF(T294="Delivered",2,IF(T294="Sent",3,IF(T294="Not sent",4,IF(T294="Failed",9,5)))))</f>
        <v>4</v>
      </c>
      <c r="AG294" s="43">
        <f>IF(U294="Demo booked",1,IF(U294="Interested",2,IF(U294="Replied",3,IF(U294="No reply",5,IF(U294="Not interested",8,IF(U294="Bad number",9,6))))))</f>
        <v>6</v>
      </c>
      <c r="AH294" s="46">
        <f>AD294*1000+AN294*100+AE294*10+AG294</f>
        <v>9596</v>
      </c>
      <c r="AI294" s="45">
        <f>MAX(IF(R294="",0,R294),IF(Y294="",0,Y294))</f>
        <v>0</v>
      </c>
      <c r="AJ294" s="43" t="str">
        <f ca="1">IF(AND(X294&lt;&gt;"",Y294="",X294&lt;TODAY()),"Overdue",IF(AND(X294&lt;&gt;"",Y294="",X294=TODAY()),"Due today",IF(Y294&lt;&gt;"","Follow-up sent","")))</f>
        <v/>
      </c>
      <c r="AK294" s="50" t="s">
        <v>734</v>
      </c>
      <c r="AL294" s="50" t="s">
        <v>735</v>
      </c>
      <c r="AM294" s="50" t="s">
        <v>736</v>
      </c>
      <c r="AN294" s="50">
        <v>5</v>
      </c>
      <c r="AO294" s="54" t="s">
        <v>1288</v>
      </c>
      <c r="AP294" s="57" t="s">
        <v>127</v>
      </c>
      <c r="AQ294" s="58"/>
      <c r="AR294" s="57"/>
    </row>
    <row r="295" spans="1:44" ht="54" customHeight="1" x14ac:dyDescent="0.25">
      <c r="A295" s="43" t="s">
        <v>1289</v>
      </c>
      <c r="B295" s="43" t="s">
        <v>790</v>
      </c>
      <c r="C295" s="43"/>
      <c r="D295" s="44" t="s">
        <v>1290</v>
      </c>
      <c r="E295" s="43"/>
      <c r="F295" s="43" t="s">
        <v>729</v>
      </c>
      <c r="G295" s="45"/>
      <c r="H295" s="45">
        <v>46161</v>
      </c>
      <c r="I295" s="43" t="s">
        <v>730</v>
      </c>
      <c r="J295" s="43" t="s">
        <v>731</v>
      </c>
      <c r="K295" s="43" t="str">
        <f>IF(LEN(D295)=10,"OK","Check")</f>
        <v>OK</v>
      </c>
      <c r="L295" s="43" t="s">
        <v>732</v>
      </c>
      <c r="M295" s="43" t="str">
        <f>IF(L295="Hold","Hold",IF(IFERROR(E295,0)&gt;=200,"High",IF(IFERROR(E295,0)&gt;=100,"Medium","Normal")))</f>
        <v>Hold</v>
      </c>
      <c r="N295" s="43" t="s">
        <v>90</v>
      </c>
      <c r="O295" s="43" t="s">
        <v>91</v>
      </c>
      <c r="P295" s="43" t="s">
        <v>92</v>
      </c>
      <c r="Q295" s="17" t="s">
        <v>93</v>
      </c>
      <c r="R295" s="45"/>
      <c r="S295" s="43"/>
      <c r="T295" s="43" t="s">
        <v>31</v>
      </c>
      <c r="U295" s="43" t="s">
        <v>94</v>
      </c>
      <c r="V295" s="43" t="s">
        <v>94</v>
      </c>
      <c r="W295" s="43" t="s">
        <v>95</v>
      </c>
      <c r="X295" s="45" t="str">
        <f>IF(AND(R295&lt;&gt;"",OR(U295="No reply",U295="Unknown")),R295+2,"")</f>
        <v/>
      </c>
      <c r="Y295" s="45"/>
      <c r="Z295" s="43" t="s">
        <v>96</v>
      </c>
      <c r="AA295" s="43" t="str">
        <f>IF(L295="Hold","Do not send",IF(T295="Not sent","Send WhatsApp",IF(U295="Demo booked","Prepare demo",IF(W295="Booked","Prepare demo",IF(AND(X295&lt;&gt;"",Y295=""),"Send follow-up","Review")))))</f>
        <v>Do not send</v>
      </c>
      <c r="AB295" s="43"/>
      <c r="AC295" s="43" t="s">
        <v>733</v>
      </c>
      <c r="AD295" s="43">
        <f>IF(AA295="Prepare demo",1,IF(AA295="Send follow-up",2,IF(AA295="Send WhatsApp",3,IF(AA295="Review",4,IF(AA295="Do not send",9,5)))))</f>
        <v>9</v>
      </c>
      <c r="AE295" s="43">
        <f>IF(M295="High",1,IF(M295="Medium",2,IF(M295="Normal",3,IF(M295="Hold",9,4))))</f>
        <v>9</v>
      </c>
      <c r="AF295" s="43">
        <f>IF(T295="Read",1,IF(T295="Delivered",2,IF(T295="Sent",3,IF(T295="Not sent",4,IF(T295="Failed",9,5)))))</f>
        <v>4</v>
      </c>
      <c r="AG295" s="43">
        <f>IF(U295="Demo booked",1,IF(U295="Interested",2,IF(U295="Replied",3,IF(U295="No reply",5,IF(U295="Not interested",8,IF(U295="Bad number",9,6))))))</f>
        <v>6</v>
      </c>
      <c r="AH295" s="46">
        <f>AD295*1000+AN295*100+AE295*10+AG295</f>
        <v>9596</v>
      </c>
      <c r="AI295" s="45">
        <f>MAX(IF(R295="",0,R295),IF(Y295="",0,Y295))</f>
        <v>0</v>
      </c>
      <c r="AJ295" s="43" t="str">
        <f ca="1">IF(AND(X295&lt;&gt;"",Y295="",X295&lt;TODAY()),"Overdue",IF(AND(X295&lt;&gt;"",Y295="",X295=TODAY()),"Due today",IF(Y295&lt;&gt;"","Follow-up sent","")))</f>
        <v/>
      </c>
      <c r="AK295" s="50" t="s">
        <v>734</v>
      </c>
      <c r="AL295" s="50" t="s">
        <v>735</v>
      </c>
      <c r="AM295" s="50" t="s">
        <v>736</v>
      </c>
      <c r="AN295" s="50">
        <v>5</v>
      </c>
      <c r="AO295" s="54" t="s">
        <v>1291</v>
      </c>
      <c r="AP295" s="57" t="s">
        <v>127</v>
      </c>
      <c r="AQ295" s="58"/>
      <c r="AR295" s="57"/>
    </row>
    <row r="296" spans="1:44" ht="54" customHeight="1" x14ac:dyDescent="0.25">
      <c r="A296" s="43" t="s">
        <v>1292</v>
      </c>
      <c r="B296" s="43" t="s">
        <v>790</v>
      </c>
      <c r="C296" s="43"/>
      <c r="D296" s="44" t="s">
        <v>1293</v>
      </c>
      <c r="E296" s="43"/>
      <c r="F296" s="43" t="s">
        <v>729</v>
      </c>
      <c r="G296" s="45"/>
      <c r="H296" s="45">
        <v>46161</v>
      </c>
      <c r="I296" s="43" t="s">
        <v>730</v>
      </c>
      <c r="J296" s="43" t="s">
        <v>731</v>
      </c>
      <c r="K296" s="43" t="str">
        <f>IF(LEN(D296)=10,"OK","Check")</f>
        <v>OK</v>
      </c>
      <c r="L296" s="43" t="s">
        <v>732</v>
      </c>
      <c r="M296" s="43" t="str">
        <f>IF(L296="Hold","Hold",IF(IFERROR(E296,0)&gt;=200,"High",IF(IFERROR(E296,0)&gt;=100,"Medium","Normal")))</f>
        <v>Hold</v>
      </c>
      <c r="N296" s="43" t="s">
        <v>90</v>
      </c>
      <c r="O296" s="43" t="s">
        <v>91</v>
      </c>
      <c r="P296" s="43" t="s">
        <v>92</v>
      </c>
      <c r="Q296" s="17" t="s">
        <v>93</v>
      </c>
      <c r="R296" s="45"/>
      <c r="S296" s="43"/>
      <c r="T296" s="43" t="s">
        <v>31</v>
      </c>
      <c r="U296" s="43" t="s">
        <v>94</v>
      </c>
      <c r="V296" s="43" t="s">
        <v>94</v>
      </c>
      <c r="W296" s="43" t="s">
        <v>95</v>
      </c>
      <c r="X296" s="45" t="str">
        <f>IF(AND(R296&lt;&gt;"",OR(U296="No reply",U296="Unknown")),R296+2,"")</f>
        <v/>
      </c>
      <c r="Y296" s="45"/>
      <c r="Z296" s="43" t="s">
        <v>96</v>
      </c>
      <c r="AA296" s="43" t="str">
        <f>IF(L296="Hold","Do not send",IF(T296="Not sent","Send WhatsApp",IF(U296="Demo booked","Prepare demo",IF(W296="Booked","Prepare demo",IF(AND(X296&lt;&gt;"",Y296=""),"Send follow-up","Review")))))</f>
        <v>Do not send</v>
      </c>
      <c r="AB296" s="43"/>
      <c r="AC296" s="43" t="s">
        <v>733</v>
      </c>
      <c r="AD296" s="43">
        <f>IF(AA296="Prepare demo",1,IF(AA296="Send follow-up",2,IF(AA296="Send WhatsApp",3,IF(AA296="Review",4,IF(AA296="Do not send",9,5)))))</f>
        <v>9</v>
      </c>
      <c r="AE296" s="43">
        <f>IF(M296="High",1,IF(M296="Medium",2,IF(M296="Normal",3,IF(M296="Hold",9,4))))</f>
        <v>9</v>
      </c>
      <c r="AF296" s="43">
        <f>IF(T296="Read",1,IF(T296="Delivered",2,IF(T296="Sent",3,IF(T296="Not sent",4,IF(T296="Failed",9,5)))))</f>
        <v>4</v>
      </c>
      <c r="AG296" s="43">
        <f>IF(U296="Demo booked",1,IF(U296="Interested",2,IF(U296="Replied",3,IF(U296="No reply",5,IF(U296="Not interested",8,IF(U296="Bad number",9,6))))))</f>
        <v>6</v>
      </c>
      <c r="AH296" s="46">
        <f>AD296*1000+AN296*100+AE296*10+AG296</f>
        <v>9596</v>
      </c>
      <c r="AI296" s="45">
        <f>MAX(IF(R296="",0,R296),IF(Y296="",0,Y296))</f>
        <v>0</v>
      </c>
      <c r="AJ296" s="43" t="str">
        <f ca="1">IF(AND(X296&lt;&gt;"",Y296="",X296&lt;TODAY()),"Overdue",IF(AND(X296&lt;&gt;"",Y296="",X296=TODAY()),"Due today",IF(Y296&lt;&gt;"","Follow-up sent","")))</f>
        <v/>
      </c>
      <c r="AK296" s="50" t="s">
        <v>734</v>
      </c>
      <c r="AL296" s="50" t="s">
        <v>735</v>
      </c>
      <c r="AM296" s="50" t="s">
        <v>736</v>
      </c>
      <c r="AN296" s="50">
        <v>5</v>
      </c>
      <c r="AO296" s="54" t="s">
        <v>1294</v>
      </c>
      <c r="AP296" s="57" t="s">
        <v>127</v>
      </c>
      <c r="AQ296" s="58"/>
      <c r="AR296" s="57"/>
    </row>
    <row r="297" spans="1:44" ht="54" customHeight="1" x14ac:dyDescent="0.25">
      <c r="A297" s="43" t="s">
        <v>1295</v>
      </c>
      <c r="B297" s="43" t="s">
        <v>790</v>
      </c>
      <c r="C297" s="43"/>
      <c r="D297" s="44" t="s">
        <v>1296</v>
      </c>
      <c r="E297" s="43"/>
      <c r="F297" s="43" t="s">
        <v>729</v>
      </c>
      <c r="G297" s="45"/>
      <c r="H297" s="45">
        <v>46161</v>
      </c>
      <c r="I297" s="43" t="s">
        <v>730</v>
      </c>
      <c r="J297" s="43" t="s">
        <v>731</v>
      </c>
      <c r="K297" s="43" t="str">
        <f>IF(LEN(D297)=10,"OK","Check")</f>
        <v>OK</v>
      </c>
      <c r="L297" s="43" t="s">
        <v>732</v>
      </c>
      <c r="M297" s="43" t="str">
        <f>IF(L297="Hold","Hold",IF(IFERROR(E297,0)&gt;=200,"High",IF(IFERROR(E297,0)&gt;=100,"Medium","Normal")))</f>
        <v>Hold</v>
      </c>
      <c r="N297" s="43" t="s">
        <v>90</v>
      </c>
      <c r="O297" s="43" t="s">
        <v>91</v>
      </c>
      <c r="P297" s="43" t="s">
        <v>92</v>
      </c>
      <c r="Q297" s="17" t="s">
        <v>93</v>
      </c>
      <c r="R297" s="45"/>
      <c r="S297" s="43"/>
      <c r="T297" s="43" t="s">
        <v>31</v>
      </c>
      <c r="U297" s="43" t="s">
        <v>94</v>
      </c>
      <c r="V297" s="43" t="s">
        <v>94</v>
      </c>
      <c r="W297" s="43" t="s">
        <v>95</v>
      </c>
      <c r="X297" s="45" t="str">
        <f>IF(AND(R297&lt;&gt;"",OR(U297="No reply",U297="Unknown")),R297+2,"")</f>
        <v/>
      </c>
      <c r="Y297" s="45"/>
      <c r="Z297" s="43" t="s">
        <v>96</v>
      </c>
      <c r="AA297" s="43" t="str">
        <f>IF(L297="Hold","Do not send",IF(T297="Not sent","Send WhatsApp",IF(U297="Demo booked","Prepare demo",IF(W297="Booked","Prepare demo",IF(AND(X297&lt;&gt;"",Y297=""),"Send follow-up","Review")))))</f>
        <v>Do not send</v>
      </c>
      <c r="AB297" s="43"/>
      <c r="AC297" s="43" t="s">
        <v>733</v>
      </c>
      <c r="AD297" s="43">
        <f>IF(AA297="Prepare demo",1,IF(AA297="Send follow-up",2,IF(AA297="Send WhatsApp",3,IF(AA297="Review",4,IF(AA297="Do not send",9,5)))))</f>
        <v>9</v>
      </c>
      <c r="AE297" s="43">
        <f>IF(M297="High",1,IF(M297="Medium",2,IF(M297="Normal",3,IF(M297="Hold",9,4))))</f>
        <v>9</v>
      </c>
      <c r="AF297" s="43">
        <f>IF(T297="Read",1,IF(T297="Delivered",2,IF(T297="Sent",3,IF(T297="Not sent",4,IF(T297="Failed",9,5)))))</f>
        <v>4</v>
      </c>
      <c r="AG297" s="43">
        <f>IF(U297="Demo booked",1,IF(U297="Interested",2,IF(U297="Replied",3,IF(U297="No reply",5,IF(U297="Not interested",8,IF(U297="Bad number",9,6))))))</f>
        <v>6</v>
      </c>
      <c r="AH297" s="46">
        <f>AD297*1000+AN297*100+AE297*10+AG297</f>
        <v>9596</v>
      </c>
      <c r="AI297" s="45">
        <f>MAX(IF(R297="",0,R297),IF(Y297="",0,Y297))</f>
        <v>0</v>
      </c>
      <c r="AJ297" s="43" t="str">
        <f ca="1">IF(AND(X297&lt;&gt;"",Y297="",X297&lt;TODAY()),"Overdue",IF(AND(X297&lt;&gt;"",Y297="",X297=TODAY()),"Due today",IF(Y297&lt;&gt;"","Follow-up sent","")))</f>
        <v/>
      </c>
      <c r="AK297" s="50" t="s">
        <v>734</v>
      </c>
      <c r="AL297" s="50" t="s">
        <v>735</v>
      </c>
      <c r="AM297" s="50" t="s">
        <v>736</v>
      </c>
      <c r="AN297" s="50">
        <v>5</v>
      </c>
      <c r="AO297" s="54" t="s">
        <v>1297</v>
      </c>
      <c r="AP297" s="57" t="s">
        <v>127</v>
      </c>
      <c r="AQ297" s="58"/>
      <c r="AR297" s="57"/>
    </row>
    <row r="298" spans="1:44" ht="54" customHeight="1" x14ac:dyDescent="0.25">
      <c r="A298" s="43" t="s">
        <v>1298</v>
      </c>
      <c r="B298" s="43" t="s">
        <v>790</v>
      </c>
      <c r="C298" s="43"/>
      <c r="D298" s="44" t="s">
        <v>1299</v>
      </c>
      <c r="E298" s="43"/>
      <c r="F298" s="43" t="s">
        <v>729</v>
      </c>
      <c r="G298" s="45"/>
      <c r="H298" s="45">
        <v>46161</v>
      </c>
      <c r="I298" s="43" t="s">
        <v>730</v>
      </c>
      <c r="J298" s="43" t="s">
        <v>731</v>
      </c>
      <c r="K298" s="43" t="str">
        <f>IF(LEN(D298)=10,"OK","Check")</f>
        <v>OK</v>
      </c>
      <c r="L298" s="43" t="s">
        <v>732</v>
      </c>
      <c r="M298" s="43" t="str">
        <f>IF(L298="Hold","Hold",IF(IFERROR(E298,0)&gt;=200,"High",IF(IFERROR(E298,0)&gt;=100,"Medium","Normal")))</f>
        <v>Hold</v>
      </c>
      <c r="N298" s="43" t="s">
        <v>90</v>
      </c>
      <c r="O298" s="43" t="s">
        <v>91</v>
      </c>
      <c r="P298" s="43" t="s">
        <v>92</v>
      </c>
      <c r="Q298" s="17" t="s">
        <v>93</v>
      </c>
      <c r="R298" s="45"/>
      <c r="S298" s="43"/>
      <c r="T298" s="43" t="s">
        <v>31</v>
      </c>
      <c r="U298" s="43" t="s">
        <v>94</v>
      </c>
      <c r="V298" s="43" t="s">
        <v>94</v>
      </c>
      <c r="W298" s="43" t="s">
        <v>95</v>
      </c>
      <c r="X298" s="45" t="str">
        <f>IF(AND(R298&lt;&gt;"",OR(U298="No reply",U298="Unknown")),R298+2,"")</f>
        <v/>
      </c>
      <c r="Y298" s="45"/>
      <c r="Z298" s="43" t="s">
        <v>96</v>
      </c>
      <c r="AA298" s="43" t="str">
        <f>IF(L298="Hold","Do not send",IF(T298="Not sent","Send WhatsApp",IF(U298="Demo booked","Prepare demo",IF(W298="Booked","Prepare demo",IF(AND(X298&lt;&gt;"",Y298=""),"Send follow-up","Review")))))</f>
        <v>Do not send</v>
      </c>
      <c r="AB298" s="43"/>
      <c r="AC298" s="43" t="s">
        <v>733</v>
      </c>
      <c r="AD298" s="43">
        <f>IF(AA298="Prepare demo",1,IF(AA298="Send follow-up",2,IF(AA298="Send WhatsApp",3,IF(AA298="Review",4,IF(AA298="Do not send",9,5)))))</f>
        <v>9</v>
      </c>
      <c r="AE298" s="43">
        <f>IF(M298="High",1,IF(M298="Medium",2,IF(M298="Normal",3,IF(M298="Hold",9,4))))</f>
        <v>9</v>
      </c>
      <c r="AF298" s="43">
        <f>IF(T298="Read",1,IF(T298="Delivered",2,IF(T298="Sent",3,IF(T298="Not sent",4,IF(T298="Failed",9,5)))))</f>
        <v>4</v>
      </c>
      <c r="AG298" s="43">
        <f>IF(U298="Demo booked",1,IF(U298="Interested",2,IF(U298="Replied",3,IF(U298="No reply",5,IF(U298="Not interested",8,IF(U298="Bad number",9,6))))))</f>
        <v>6</v>
      </c>
      <c r="AH298" s="46">
        <f>AD298*1000+AN298*100+AE298*10+AG298</f>
        <v>9596</v>
      </c>
      <c r="AI298" s="45">
        <f>MAX(IF(R298="",0,R298),IF(Y298="",0,Y298))</f>
        <v>0</v>
      </c>
      <c r="AJ298" s="43" t="str">
        <f ca="1">IF(AND(X298&lt;&gt;"",Y298="",X298&lt;TODAY()),"Overdue",IF(AND(X298&lt;&gt;"",Y298="",X298=TODAY()),"Due today",IF(Y298&lt;&gt;"","Follow-up sent","")))</f>
        <v/>
      </c>
      <c r="AK298" s="50" t="s">
        <v>734</v>
      </c>
      <c r="AL298" s="50" t="s">
        <v>735</v>
      </c>
      <c r="AM298" s="50" t="s">
        <v>736</v>
      </c>
      <c r="AN298" s="50">
        <v>5</v>
      </c>
      <c r="AO298" s="54" t="s">
        <v>1300</v>
      </c>
      <c r="AP298" s="57" t="s">
        <v>127</v>
      </c>
      <c r="AQ298" s="58"/>
      <c r="AR298" s="57"/>
    </row>
    <row r="299" spans="1:44" ht="54" customHeight="1" x14ac:dyDescent="0.25">
      <c r="A299" s="43" t="s">
        <v>1301</v>
      </c>
      <c r="B299" s="43" t="s">
        <v>790</v>
      </c>
      <c r="C299" s="43"/>
      <c r="D299" s="44" t="s">
        <v>1302</v>
      </c>
      <c r="E299" s="43"/>
      <c r="F299" s="43" t="s">
        <v>729</v>
      </c>
      <c r="G299" s="45"/>
      <c r="H299" s="45">
        <v>46161</v>
      </c>
      <c r="I299" s="43" t="s">
        <v>730</v>
      </c>
      <c r="J299" s="43" t="s">
        <v>731</v>
      </c>
      <c r="K299" s="43" t="str">
        <f>IF(LEN(D299)=10,"OK","Check")</f>
        <v>OK</v>
      </c>
      <c r="L299" s="43" t="s">
        <v>732</v>
      </c>
      <c r="M299" s="43" t="str">
        <f>IF(L299="Hold","Hold",IF(IFERROR(E299,0)&gt;=200,"High",IF(IFERROR(E299,0)&gt;=100,"Medium","Normal")))</f>
        <v>Hold</v>
      </c>
      <c r="N299" s="43" t="s">
        <v>90</v>
      </c>
      <c r="O299" s="43" t="s">
        <v>91</v>
      </c>
      <c r="P299" s="43" t="s">
        <v>92</v>
      </c>
      <c r="Q299" s="17" t="s">
        <v>93</v>
      </c>
      <c r="R299" s="45"/>
      <c r="S299" s="43"/>
      <c r="T299" s="43" t="s">
        <v>31</v>
      </c>
      <c r="U299" s="43" t="s">
        <v>94</v>
      </c>
      <c r="V299" s="43" t="s">
        <v>94</v>
      </c>
      <c r="W299" s="43" t="s">
        <v>95</v>
      </c>
      <c r="X299" s="45" t="str">
        <f>IF(AND(R299&lt;&gt;"",OR(U299="No reply",U299="Unknown")),R299+2,"")</f>
        <v/>
      </c>
      <c r="Y299" s="45"/>
      <c r="Z299" s="43" t="s">
        <v>96</v>
      </c>
      <c r="AA299" s="43" t="str">
        <f>IF(L299="Hold","Do not send",IF(T299="Not sent","Send WhatsApp",IF(U299="Demo booked","Prepare demo",IF(W299="Booked","Prepare demo",IF(AND(X299&lt;&gt;"",Y299=""),"Send follow-up","Review")))))</f>
        <v>Do not send</v>
      </c>
      <c r="AB299" s="43"/>
      <c r="AC299" s="43" t="s">
        <v>733</v>
      </c>
      <c r="AD299" s="43">
        <f>IF(AA299="Prepare demo",1,IF(AA299="Send follow-up",2,IF(AA299="Send WhatsApp",3,IF(AA299="Review",4,IF(AA299="Do not send",9,5)))))</f>
        <v>9</v>
      </c>
      <c r="AE299" s="43">
        <f>IF(M299="High",1,IF(M299="Medium",2,IF(M299="Normal",3,IF(M299="Hold",9,4))))</f>
        <v>9</v>
      </c>
      <c r="AF299" s="43">
        <f>IF(T299="Read",1,IF(T299="Delivered",2,IF(T299="Sent",3,IF(T299="Not sent",4,IF(T299="Failed",9,5)))))</f>
        <v>4</v>
      </c>
      <c r="AG299" s="43">
        <f>IF(U299="Demo booked",1,IF(U299="Interested",2,IF(U299="Replied",3,IF(U299="No reply",5,IF(U299="Not interested",8,IF(U299="Bad number",9,6))))))</f>
        <v>6</v>
      </c>
      <c r="AH299" s="46">
        <f>AD299*1000+AN299*100+AE299*10+AG299</f>
        <v>9596</v>
      </c>
      <c r="AI299" s="45">
        <f>MAX(IF(R299="",0,R299),IF(Y299="",0,Y299))</f>
        <v>0</v>
      </c>
      <c r="AJ299" s="43" t="str">
        <f ca="1">IF(AND(X299&lt;&gt;"",Y299="",X299&lt;TODAY()),"Overdue",IF(AND(X299&lt;&gt;"",Y299="",X299=TODAY()),"Due today",IF(Y299&lt;&gt;"","Follow-up sent","")))</f>
        <v/>
      </c>
      <c r="AK299" s="50" t="s">
        <v>734</v>
      </c>
      <c r="AL299" s="50" t="s">
        <v>735</v>
      </c>
      <c r="AM299" s="50" t="s">
        <v>736</v>
      </c>
      <c r="AN299" s="50">
        <v>5</v>
      </c>
      <c r="AO299" s="54" t="s">
        <v>1303</v>
      </c>
      <c r="AP299" s="57" t="s">
        <v>127</v>
      </c>
      <c r="AQ299" s="58"/>
      <c r="AR299" s="57"/>
    </row>
    <row r="300" spans="1:44" ht="54" customHeight="1" x14ac:dyDescent="0.25">
      <c r="A300" s="43" t="s">
        <v>1304</v>
      </c>
      <c r="B300" s="43" t="s">
        <v>790</v>
      </c>
      <c r="C300" s="43"/>
      <c r="D300" s="44" t="s">
        <v>1305</v>
      </c>
      <c r="E300" s="43"/>
      <c r="F300" s="43" t="s">
        <v>729</v>
      </c>
      <c r="G300" s="45"/>
      <c r="H300" s="45">
        <v>46161</v>
      </c>
      <c r="I300" s="43" t="s">
        <v>730</v>
      </c>
      <c r="J300" s="43" t="s">
        <v>731</v>
      </c>
      <c r="K300" s="43" t="str">
        <f>IF(LEN(D300)=10,"OK","Check")</f>
        <v>OK</v>
      </c>
      <c r="L300" s="43" t="s">
        <v>732</v>
      </c>
      <c r="M300" s="43" t="str">
        <f>IF(L300="Hold","Hold",IF(IFERROR(E300,0)&gt;=200,"High",IF(IFERROR(E300,0)&gt;=100,"Medium","Normal")))</f>
        <v>Hold</v>
      </c>
      <c r="N300" s="43" t="s">
        <v>90</v>
      </c>
      <c r="O300" s="43" t="s">
        <v>91</v>
      </c>
      <c r="P300" s="43" t="s">
        <v>92</v>
      </c>
      <c r="Q300" s="17" t="s">
        <v>93</v>
      </c>
      <c r="R300" s="45"/>
      <c r="S300" s="43"/>
      <c r="T300" s="43" t="s">
        <v>31</v>
      </c>
      <c r="U300" s="43" t="s">
        <v>94</v>
      </c>
      <c r="V300" s="43" t="s">
        <v>94</v>
      </c>
      <c r="W300" s="43" t="s">
        <v>95</v>
      </c>
      <c r="X300" s="45" t="str">
        <f>IF(AND(R300&lt;&gt;"",OR(U300="No reply",U300="Unknown")),R300+2,"")</f>
        <v/>
      </c>
      <c r="Y300" s="45"/>
      <c r="Z300" s="43" t="s">
        <v>96</v>
      </c>
      <c r="AA300" s="43" t="str">
        <f>IF(L300="Hold","Do not send",IF(T300="Not sent","Send WhatsApp",IF(U300="Demo booked","Prepare demo",IF(W300="Booked","Prepare demo",IF(AND(X300&lt;&gt;"",Y300=""),"Send follow-up","Review")))))</f>
        <v>Do not send</v>
      </c>
      <c r="AB300" s="43"/>
      <c r="AC300" s="43" t="s">
        <v>733</v>
      </c>
      <c r="AD300" s="43">
        <f>IF(AA300="Prepare demo",1,IF(AA300="Send follow-up",2,IF(AA300="Send WhatsApp",3,IF(AA300="Review",4,IF(AA300="Do not send",9,5)))))</f>
        <v>9</v>
      </c>
      <c r="AE300" s="43">
        <f>IF(M300="High",1,IF(M300="Medium",2,IF(M300="Normal",3,IF(M300="Hold",9,4))))</f>
        <v>9</v>
      </c>
      <c r="AF300" s="43">
        <f>IF(T300="Read",1,IF(T300="Delivered",2,IF(T300="Sent",3,IF(T300="Not sent",4,IF(T300="Failed",9,5)))))</f>
        <v>4</v>
      </c>
      <c r="AG300" s="43">
        <f>IF(U300="Demo booked",1,IF(U300="Interested",2,IF(U300="Replied",3,IF(U300="No reply",5,IF(U300="Not interested",8,IF(U300="Bad number",9,6))))))</f>
        <v>6</v>
      </c>
      <c r="AH300" s="46">
        <f>AD300*1000+AN300*100+AE300*10+AG300</f>
        <v>9596</v>
      </c>
      <c r="AI300" s="45">
        <f>MAX(IF(R300="",0,R300),IF(Y300="",0,Y300))</f>
        <v>0</v>
      </c>
      <c r="AJ300" s="43" t="str">
        <f ca="1">IF(AND(X300&lt;&gt;"",Y300="",X300&lt;TODAY()),"Overdue",IF(AND(X300&lt;&gt;"",Y300="",X300=TODAY()),"Due today",IF(Y300&lt;&gt;"","Follow-up sent","")))</f>
        <v/>
      </c>
      <c r="AK300" s="50" t="s">
        <v>734</v>
      </c>
      <c r="AL300" s="50" t="s">
        <v>735</v>
      </c>
      <c r="AM300" s="50" t="s">
        <v>736</v>
      </c>
      <c r="AN300" s="50">
        <v>5</v>
      </c>
      <c r="AO300" s="54" t="s">
        <v>1306</v>
      </c>
      <c r="AP300" s="57" t="s">
        <v>127</v>
      </c>
      <c r="AQ300" s="58"/>
      <c r="AR300" s="57"/>
    </row>
    <row r="301" spans="1:44" ht="54" customHeight="1" x14ac:dyDescent="0.25">
      <c r="A301" s="43" t="s">
        <v>1307</v>
      </c>
      <c r="B301" s="43" t="s">
        <v>790</v>
      </c>
      <c r="C301" s="43"/>
      <c r="D301" s="44" t="s">
        <v>1308</v>
      </c>
      <c r="E301" s="43"/>
      <c r="F301" s="43" t="s">
        <v>729</v>
      </c>
      <c r="G301" s="45"/>
      <c r="H301" s="45">
        <v>46161</v>
      </c>
      <c r="I301" s="43" t="s">
        <v>730</v>
      </c>
      <c r="J301" s="43" t="s">
        <v>731</v>
      </c>
      <c r="K301" s="43" t="str">
        <f>IF(LEN(D301)=10,"OK","Check")</f>
        <v>OK</v>
      </c>
      <c r="L301" s="43" t="s">
        <v>732</v>
      </c>
      <c r="M301" s="43" t="str">
        <f>IF(L301="Hold","Hold",IF(IFERROR(E301,0)&gt;=200,"High",IF(IFERROR(E301,0)&gt;=100,"Medium","Normal")))</f>
        <v>Hold</v>
      </c>
      <c r="N301" s="43" t="s">
        <v>90</v>
      </c>
      <c r="O301" s="43" t="s">
        <v>91</v>
      </c>
      <c r="P301" s="43" t="s">
        <v>92</v>
      </c>
      <c r="Q301" s="17" t="s">
        <v>93</v>
      </c>
      <c r="R301" s="45"/>
      <c r="S301" s="43"/>
      <c r="T301" s="43" t="s">
        <v>31</v>
      </c>
      <c r="U301" s="43" t="s">
        <v>94</v>
      </c>
      <c r="V301" s="43" t="s">
        <v>94</v>
      </c>
      <c r="W301" s="43" t="s">
        <v>95</v>
      </c>
      <c r="X301" s="45" t="str">
        <f>IF(AND(R301&lt;&gt;"",OR(U301="No reply",U301="Unknown")),R301+2,"")</f>
        <v/>
      </c>
      <c r="Y301" s="45"/>
      <c r="Z301" s="43" t="s">
        <v>96</v>
      </c>
      <c r="AA301" s="43" t="str">
        <f>IF(L301="Hold","Do not send",IF(T301="Not sent","Send WhatsApp",IF(U301="Demo booked","Prepare demo",IF(W301="Booked","Prepare demo",IF(AND(X301&lt;&gt;"",Y301=""),"Send follow-up","Review")))))</f>
        <v>Do not send</v>
      </c>
      <c r="AB301" s="43"/>
      <c r="AC301" s="43" t="s">
        <v>733</v>
      </c>
      <c r="AD301" s="43">
        <f>IF(AA301="Prepare demo",1,IF(AA301="Send follow-up",2,IF(AA301="Send WhatsApp",3,IF(AA301="Review",4,IF(AA301="Do not send",9,5)))))</f>
        <v>9</v>
      </c>
      <c r="AE301" s="43">
        <f>IF(M301="High",1,IF(M301="Medium",2,IF(M301="Normal",3,IF(M301="Hold",9,4))))</f>
        <v>9</v>
      </c>
      <c r="AF301" s="43">
        <f>IF(T301="Read",1,IF(T301="Delivered",2,IF(T301="Sent",3,IF(T301="Not sent",4,IF(T301="Failed",9,5)))))</f>
        <v>4</v>
      </c>
      <c r="AG301" s="43">
        <f>IF(U301="Demo booked",1,IF(U301="Interested",2,IF(U301="Replied",3,IF(U301="No reply",5,IF(U301="Not interested",8,IF(U301="Bad number",9,6))))))</f>
        <v>6</v>
      </c>
      <c r="AH301" s="46">
        <f>AD301*1000+AN301*100+AE301*10+AG301</f>
        <v>9596</v>
      </c>
      <c r="AI301" s="45">
        <f>MAX(IF(R301="",0,R301),IF(Y301="",0,Y301))</f>
        <v>0</v>
      </c>
      <c r="AJ301" s="43" t="str">
        <f ca="1">IF(AND(X301&lt;&gt;"",Y301="",X301&lt;TODAY()),"Overdue",IF(AND(X301&lt;&gt;"",Y301="",X301=TODAY()),"Due today",IF(Y301&lt;&gt;"","Follow-up sent","")))</f>
        <v/>
      </c>
      <c r="AK301" s="50" t="s">
        <v>734</v>
      </c>
      <c r="AL301" s="50" t="s">
        <v>735</v>
      </c>
      <c r="AM301" s="50" t="s">
        <v>736</v>
      </c>
      <c r="AN301" s="50">
        <v>5</v>
      </c>
      <c r="AO301" s="54" t="s">
        <v>1309</v>
      </c>
      <c r="AP301" s="57" t="s">
        <v>127</v>
      </c>
      <c r="AQ301" s="58"/>
      <c r="AR301" s="57"/>
    </row>
    <row r="302" spans="1:44" ht="54" customHeight="1" x14ac:dyDescent="0.25">
      <c r="A302" s="43" t="s">
        <v>1310</v>
      </c>
      <c r="B302" s="43" t="s">
        <v>790</v>
      </c>
      <c r="C302" s="43"/>
      <c r="D302" s="44" t="s">
        <v>1311</v>
      </c>
      <c r="E302" s="43"/>
      <c r="F302" s="43" t="s">
        <v>729</v>
      </c>
      <c r="G302" s="45"/>
      <c r="H302" s="45">
        <v>46161</v>
      </c>
      <c r="I302" s="43" t="s">
        <v>730</v>
      </c>
      <c r="J302" s="43" t="s">
        <v>731</v>
      </c>
      <c r="K302" s="43" t="str">
        <f>IF(LEN(D302)=10,"OK","Check")</f>
        <v>OK</v>
      </c>
      <c r="L302" s="43" t="s">
        <v>732</v>
      </c>
      <c r="M302" s="43" t="str">
        <f>IF(L302="Hold","Hold",IF(IFERROR(E302,0)&gt;=200,"High",IF(IFERROR(E302,0)&gt;=100,"Medium","Normal")))</f>
        <v>Hold</v>
      </c>
      <c r="N302" s="43" t="s">
        <v>90</v>
      </c>
      <c r="O302" s="43" t="s">
        <v>91</v>
      </c>
      <c r="P302" s="43" t="s">
        <v>92</v>
      </c>
      <c r="Q302" s="17" t="s">
        <v>93</v>
      </c>
      <c r="R302" s="45"/>
      <c r="S302" s="43"/>
      <c r="T302" s="43" t="s">
        <v>31</v>
      </c>
      <c r="U302" s="43" t="s">
        <v>94</v>
      </c>
      <c r="V302" s="43" t="s">
        <v>94</v>
      </c>
      <c r="W302" s="43" t="s">
        <v>95</v>
      </c>
      <c r="X302" s="45" t="str">
        <f>IF(AND(R302&lt;&gt;"",OR(U302="No reply",U302="Unknown")),R302+2,"")</f>
        <v/>
      </c>
      <c r="Y302" s="45"/>
      <c r="Z302" s="43" t="s">
        <v>96</v>
      </c>
      <c r="AA302" s="43" t="str">
        <f>IF(L302="Hold","Do not send",IF(T302="Not sent","Send WhatsApp",IF(U302="Demo booked","Prepare demo",IF(W302="Booked","Prepare demo",IF(AND(X302&lt;&gt;"",Y302=""),"Send follow-up","Review")))))</f>
        <v>Do not send</v>
      </c>
      <c r="AB302" s="43"/>
      <c r="AC302" s="43" t="s">
        <v>733</v>
      </c>
      <c r="AD302" s="43">
        <f>IF(AA302="Prepare demo",1,IF(AA302="Send follow-up",2,IF(AA302="Send WhatsApp",3,IF(AA302="Review",4,IF(AA302="Do not send",9,5)))))</f>
        <v>9</v>
      </c>
      <c r="AE302" s="43">
        <f>IF(M302="High",1,IF(M302="Medium",2,IF(M302="Normal",3,IF(M302="Hold",9,4))))</f>
        <v>9</v>
      </c>
      <c r="AF302" s="43">
        <f>IF(T302="Read",1,IF(T302="Delivered",2,IF(T302="Sent",3,IF(T302="Not sent",4,IF(T302="Failed",9,5)))))</f>
        <v>4</v>
      </c>
      <c r="AG302" s="43">
        <f>IF(U302="Demo booked",1,IF(U302="Interested",2,IF(U302="Replied",3,IF(U302="No reply",5,IF(U302="Not interested",8,IF(U302="Bad number",9,6))))))</f>
        <v>6</v>
      </c>
      <c r="AH302" s="46">
        <f>AD302*1000+AN302*100+AE302*10+AG302</f>
        <v>9596</v>
      </c>
      <c r="AI302" s="45">
        <f>MAX(IF(R302="",0,R302),IF(Y302="",0,Y302))</f>
        <v>0</v>
      </c>
      <c r="AJ302" s="43" t="str">
        <f ca="1">IF(AND(X302&lt;&gt;"",Y302="",X302&lt;TODAY()),"Overdue",IF(AND(X302&lt;&gt;"",Y302="",X302=TODAY()),"Due today",IF(Y302&lt;&gt;"","Follow-up sent","")))</f>
        <v/>
      </c>
      <c r="AK302" s="50" t="s">
        <v>734</v>
      </c>
      <c r="AL302" s="50" t="s">
        <v>735</v>
      </c>
      <c r="AM302" s="50" t="s">
        <v>736</v>
      </c>
      <c r="AN302" s="50">
        <v>5</v>
      </c>
      <c r="AO302" s="54" t="s">
        <v>1312</v>
      </c>
      <c r="AP302" s="57" t="s">
        <v>127</v>
      </c>
      <c r="AQ302" s="58"/>
      <c r="AR302" s="57"/>
    </row>
    <row r="303" spans="1:44" ht="54" customHeight="1" x14ac:dyDescent="0.25">
      <c r="A303" s="43" t="s">
        <v>1313</v>
      </c>
      <c r="B303" s="43" t="s">
        <v>790</v>
      </c>
      <c r="C303" s="43"/>
      <c r="D303" s="44" t="s">
        <v>1314</v>
      </c>
      <c r="E303" s="43"/>
      <c r="F303" s="43" t="s">
        <v>729</v>
      </c>
      <c r="G303" s="45"/>
      <c r="H303" s="45">
        <v>46161</v>
      </c>
      <c r="I303" s="43" t="s">
        <v>730</v>
      </c>
      <c r="J303" s="43" t="s">
        <v>731</v>
      </c>
      <c r="K303" s="43" t="str">
        <f>IF(LEN(D303)=10,"OK","Check")</f>
        <v>OK</v>
      </c>
      <c r="L303" s="43" t="s">
        <v>732</v>
      </c>
      <c r="M303" s="43" t="str">
        <f>IF(L303="Hold","Hold",IF(IFERROR(E303,0)&gt;=200,"High",IF(IFERROR(E303,0)&gt;=100,"Medium","Normal")))</f>
        <v>Hold</v>
      </c>
      <c r="N303" s="43" t="s">
        <v>90</v>
      </c>
      <c r="O303" s="43" t="s">
        <v>91</v>
      </c>
      <c r="P303" s="43" t="s">
        <v>92</v>
      </c>
      <c r="Q303" s="17" t="s">
        <v>93</v>
      </c>
      <c r="R303" s="45"/>
      <c r="S303" s="43"/>
      <c r="T303" s="43" t="s">
        <v>31</v>
      </c>
      <c r="U303" s="43" t="s">
        <v>94</v>
      </c>
      <c r="V303" s="43" t="s">
        <v>94</v>
      </c>
      <c r="W303" s="43" t="s">
        <v>95</v>
      </c>
      <c r="X303" s="45" t="str">
        <f>IF(AND(R303&lt;&gt;"",OR(U303="No reply",U303="Unknown")),R303+2,"")</f>
        <v/>
      </c>
      <c r="Y303" s="45"/>
      <c r="Z303" s="43" t="s">
        <v>96</v>
      </c>
      <c r="AA303" s="43" t="str">
        <f>IF(L303="Hold","Do not send",IF(T303="Not sent","Send WhatsApp",IF(U303="Demo booked","Prepare demo",IF(W303="Booked","Prepare demo",IF(AND(X303&lt;&gt;"",Y303=""),"Send follow-up","Review")))))</f>
        <v>Do not send</v>
      </c>
      <c r="AB303" s="43"/>
      <c r="AC303" s="43" t="s">
        <v>733</v>
      </c>
      <c r="AD303" s="43">
        <f>IF(AA303="Prepare demo",1,IF(AA303="Send follow-up",2,IF(AA303="Send WhatsApp",3,IF(AA303="Review",4,IF(AA303="Do not send",9,5)))))</f>
        <v>9</v>
      </c>
      <c r="AE303" s="43">
        <f>IF(M303="High",1,IF(M303="Medium",2,IF(M303="Normal",3,IF(M303="Hold",9,4))))</f>
        <v>9</v>
      </c>
      <c r="AF303" s="43">
        <f>IF(T303="Read",1,IF(T303="Delivered",2,IF(T303="Sent",3,IF(T303="Not sent",4,IF(T303="Failed",9,5)))))</f>
        <v>4</v>
      </c>
      <c r="AG303" s="43">
        <f>IF(U303="Demo booked",1,IF(U303="Interested",2,IF(U303="Replied",3,IF(U303="No reply",5,IF(U303="Not interested",8,IF(U303="Bad number",9,6))))))</f>
        <v>6</v>
      </c>
      <c r="AH303" s="46">
        <f>AD303*1000+AN303*100+AE303*10+AG303</f>
        <v>9596</v>
      </c>
      <c r="AI303" s="45">
        <f>MAX(IF(R303="",0,R303),IF(Y303="",0,Y303))</f>
        <v>0</v>
      </c>
      <c r="AJ303" s="43" t="str">
        <f ca="1">IF(AND(X303&lt;&gt;"",Y303="",X303&lt;TODAY()),"Overdue",IF(AND(X303&lt;&gt;"",Y303="",X303=TODAY()),"Due today",IF(Y303&lt;&gt;"","Follow-up sent","")))</f>
        <v/>
      </c>
      <c r="AK303" s="50" t="s">
        <v>734</v>
      </c>
      <c r="AL303" s="50" t="s">
        <v>735</v>
      </c>
      <c r="AM303" s="50" t="s">
        <v>736</v>
      </c>
      <c r="AN303" s="50">
        <v>5</v>
      </c>
      <c r="AO303" s="54" t="s">
        <v>1315</v>
      </c>
      <c r="AP303" s="57" t="s">
        <v>127</v>
      </c>
      <c r="AQ303" s="58"/>
      <c r="AR303" s="57"/>
    </row>
    <row r="304" spans="1:44" ht="54" customHeight="1" x14ac:dyDescent="0.25">
      <c r="A304" s="43" t="s">
        <v>1316</v>
      </c>
      <c r="B304" s="43" t="s">
        <v>790</v>
      </c>
      <c r="C304" s="43"/>
      <c r="D304" s="44" t="s">
        <v>1317</v>
      </c>
      <c r="E304" s="43"/>
      <c r="F304" s="43" t="s">
        <v>729</v>
      </c>
      <c r="G304" s="45"/>
      <c r="H304" s="45">
        <v>46161</v>
      </c>
      <c r="I304" s="43" t="s">
        <v>730</v>
      </c>
      <c r="J304" s="43" t="s">
        <v>731</v>
      </c>
      <c r="K304" s="43" t="str">
        <f>IF(LEN(D304)=10,"OK","Check")</f>
        <v>OK</v>
      </c>
      <c r="L304" s="43" t="s">
        <v>732</v>
      </c>
      <c r="M304" s="43" t="str">
        <f>IF(L304="Hold","Hold",IF(IFERROR(E304,0)&gt;=200,"High",IF(IFERROR(E304,0)&gt;=100,"Medium","Normal")))</f>
        <v>Hold</v>
      </c>
      <c r="N304" s="43" t="s">
        <v>90</v>
      </c>
      <c r="O304" s="43" t="s">
        <v>91</v>
      </c>
      <c r="P304" s="43" t="s">
        <v>92</v>
      </c>
      <c r="Q304" s="17" t="s">
        <v>93</v>
      </c>
      <c r="R304" s="45"/>
      <c r="S304" s="43"/>
      <c r="T304" s="43" t="s">
        <v>31</v>
      </c>
      <c r="U304" s="43" t="s">
        <v>94</v>
      </c>
      <c r="V304" s="43" t="s">
        <v>94</v>
      </c>
      <c r="W304" s="43" t="s">
        <v>95</v>
      </c>
      <c r="X304" s="45" t="str">
        <f>IF(AND(R304&lt;&gt;"",OR(U304="No reply",U304="Unknown")),R304+2,"")</f>
        <v/>
      </c>
      <c r="Y304" s="45"/>
      <c r="Z304" s="43" t="s">
        <v>96</v>
      </c>
      <c r="AA304" s="43" t="str">
        <f>IF(L304="Hold","Do not send",IF(T304="Not sent","Send WhatsApp",IF(U304="Demo booked","Prepare demo",IF(W304="Booked","Prepare demo",IF(AND(X304&lt;&gt;"",Y304=""),"Send follow-up","Review")))))</f>
        <v>Do not send</v>
      </c>
      <c r="AB304" s="43"/>
      <c r="AC304" s="43" t="s">
        <v>733</v>
      </c>
      <c r="AD304" s="43">
        <f>IF(AA304="Prepare demo",1,IF(AA304="Send follow-up",2,IF(AA304="Send WhatsApp",3,IF(AA304="Review",4,IF(AA304="Do not send",9,5)))))</f>
        <v>9</v>
      </c>
      <c r="AE304" s="43">
        <f>IF(M304="High",1,IF(M304="Medium",2,IF(M304="Normal",3,IF(M304="Hold",9,4))))</f>
        <v>9</v>
      </c>
      <c r="AF304" s="43">
        <f>IF(T304="Read",1,IF(T304="Delivered",2,IF(T304="Sent",3,IF(T304="Not sent",4,IF(T304="Failed",9,5)))))</f>
        <v>4</v>
      </c>
      <c r="AG304" s="43">
        <f>IF(U304="Demo booked",1,IF(U304="Interested",2,IF(U304="Replied",3,IF(U304="No reply",5,IF(U304="Not interested",8,IF(U304="Bad number",9,6))))))</f>
        <v>6</v>
      </c>
      <c r="AH304" s="46">
        <f>AD304*1000+AN304*100+AE304*10+AG304</f>
        <v>9596</v>
      </c>
      <c r="AI304" s="45">
        <f>MAX(IF(R304="",0,R304),IF(Y304="",0,Y304))</f>
        <v>0</v>
      </c>
      <c r="AJ304" s="43" t="str">
        <f ca="1">IF(AND(X304&lt;&gt;"",Y304="",X304&lt;TODAY()),"Overdue",IF(AND(X304&lt;&gt;"",Y304="",X304=TODAY()),"Due today",IF(Y304&lt;&gt;"","Follow-up sent","")))</f>
        <v/>
      </c>
      <c r="AK304" s="50" t="s">
        <v>734</v>
      </c>
      <c r="AL304" s="50" t="s">
        <v>735</v>
      </c>
      <c r="AM304" s="50" t="s">
        <v>736</v>
      </c>
      <c r="AN304" s="50">
        <v>5</v>
      </c>
      <c r="AO304" s="54" t="s">
        <v>1318</v>
      </c>
      <c r="AP304" s="57" t="s">
        <v>127</v>
      </c>
      <c r="AQ304" s="58"/>
      <c r="AR304" s="57"/>
    </row>
    <row r="305" spans="1:44" ht="54" customHeight="1" x14ac:dyDescent="0.25">
      <c r="A305" s="43" t="s">
        <v>1319</v>
      </c>
      <c r="B305" s="43" t="s">
        <v>790</v>
      </c>
      <c r="C305" s="43"/>
      <c r="D305" s="44" t="s">
        <v>1320</v>
      </c>
      <c r="E305" s="43"/>
      <c r="F305" s="43" t="s">
        <v>729</v>
      </c>
      <c r="G305" s="45"/>
      <c r="H305" s="45">
        <v>46161</v>
      </c>
      <c r="I305" s="43" t="s">
        <v>730</v>
      </c>
      <c r="J305" s="43" t="s">
        <v>731</v>
      </c>
      <c r="K305" s="43" t="str">
        <f>IF(LEN(D305)=10,"OK","Check")</f>
        <v>OK</v>
      </c>
      <c r="L305" s="43" t="s">
        <v>732</v>
      </c>
      <c r="M305" s="43" t="str">
        <f>IF(L305="Hold","Hold",IF(IFERROR(E305,0)&gt;=200,"High",IF(IFERROR(E305,0)&gt;=100,"Medium","Normal")))</f>
        <v>Hold</v>
      </c>
      <c r="N305" s="43" t="s">
        <v>90</v>
      </c>
      <c r="O305" s="43" t="s">
        <v>91</v>
      </c>
      <c r="P305" s="43" t="s">
        <v>92</v>
      </c>
      <c r="Q305" s="17" t="s">
        <v>93</v>
      </c>
      <c r="R305" s="45"/>
      <c r="S305" s="43"/>
      <c r="T305" s="43" t="s">
        <v>31</v>
      </c>
      <c r="U305" s="43" t="s">
        <v>94</v>
      </c>
      <c r="V305" s="43" t="s">
        <v>94</v>
      </c>
      <c r="W305" s="43" t="s">
        <v>95</v>
      </c>
      <c r="X305" s="45" t="str">
        <f>IF(AND(R305&lt;&gt;"",OR(U305="No reply",U305="Unknown")),R305+2,"")</f>
        <v/>
      </c>
      <c r="Y305" s="45"/>
      <c r="Z305" s="43" t="s">
        <v>96</v>
      </c>
      <c r="AA305" s="43" t="str">
        <f>IF(L305="Hold","Do not send",IF(T305="Not sent","Send WhatsApp",IF(U305="Demo booked","Prepare demo",IF(W305="Booked","Prepare demo",IF(AND(X305&lt;&gt;"",Y305=""),"Send follow-up","Review")))))</f>
        <v>Do not send</v>
      </c>
      <c r="AB305" s="43"/>
      <c r="AC305" s="43" t="s">
        <v>733</v>
      </c>
      <c r="AD305" s="43">
        <f>IF(AA305="Prepare demo",1,IF(AA305="Send follow-up",2,IF(AA305="Send WhatsApp",3,IF(AA305="Review",4,IF(AA305="Do not send",9,5)))))</f>
        <v>9</v>
      </c>
      <c r="AE305" s="43">
        <f>IF(M305="High",1,IF(M305="Medium",2,IF(M305="Normal",3,IF(M305="Hold",9,4))))</f>
        <v>9</v>
      </c>
      <c r="AF305" s="43">
        <f>IF(T305="Read",1,IF(T305="Delivered",2,IF(T305="Sent",3,IF(T305="Not sent",4,IF(T305="Failed",9,5)))))</f>
        <v>4</v>
      </c>
      <c r="AG305" s="43">
        <f>IF(U305="Demo booked",1,IF(U305="Interested",2,IF(U305="Replied",3,IF(U305="No reply",5,IF(U305="Not interested",8,IF(U305="Bad number",9,6))))))</f>
        <v>6</v>
      </c>
      <c r="AH305" s="46">
        <f>AD305*1000+AN305*100+AE305*10+AG305</f>
        <v>9596</v>
      </c>
      <c r="AI305" s="45">
        <f>MAX(IF(R305="",0,R305),IF(Y305="",0,Y305))</f>
        <v>0</v>
      </c>
      <c r="AJ305" s="43" t="str">
        <f ca="1">IF(AND(X305&lt;&gt;"",Y305="",X305&lt;TODAY()),"Overdue",IF(AND(X305&lt;&gt;"",Y305="",X305=TODAY()),"Due today",IF(Y305&lt;&gt;"","Follow-up sent","")))</f>
        <v/>
      </c>
      <c r="AK305" s="50" t="s">
        <v>734</v>
      </c>
      <c r="AL305" s="50" t="s">
        <v>735</v>
      </c>
      <c r="AM305" s="50" t="s">
        <v>736</v>
      </c>
      <c r="AN305" s="50">
        <v>5</v>
      </c>
      <c r="AO305" s="54" t="s">
        <v>1321</v>
      </c>
      <c r="AP305" s="57" t="s">
        <v>127</v>
      </c>
      <c r="AQ305" s="58"/>
      <c r="AR305" s="57"/>
    </row>
    <row r="306" spans="1:44" ht="54" customHeight="1" x14ac:dyDescent="0.25">
      <c r="A306" s="43" t="s">
        <v>1322</v>
      </c>
      <c r="B306" s="43" t="s">
        <v>790</v>
      </c>
      <c r="C306" s="43"/>
      <c r="D306" s="44" t="s">
        <v>1323</v>
      </c>
      <c r="E306" s="43"/>
      <c r="F306" s="43" t="s">
        <v>729</v>
      </c>
      <c r="G306" s="45"/>
      <c r="H306" s="45">
        <v>46161</v>
      </c>
      <c r="I306" s="43" t="s">
        <v>730</v>
      </c>
      <c r="J306" s="43" t="s">
        <v>731</v>
      </c>
      <c r="K306" s="43" t="str">
        <f>IF(LEN(D306)=10,"OK","Check")</f>
        <v>OK</v>
      </c>
      <c r="L306" s="43" t="s">
        <v>732</v>
      </c>
      <c r="M306" s="43" t="str">
        <f>IF(L306="Hold","Hold",IF(IFERROR(E306,0)&gt;=200,"High",IF(IFERROR(E306,0)&gt;=100,"Medium","Normal")))</f>
        <v>Hold</v>
      </c>
      <c r="N306" s="43" t="s">
        <v>90</v>
      </c>
      <c r="O306" s="43" t="s">
        <v>91</v>
      </c>
      <c r="P306" s="43" t="s">
        <v>92</v>
      </c>
      <c r="Q306" s="17" t="s">
        <v>93</v>
      </c>
      <c r="R306" s="45"/>
      <c r="S306" s="43"/>
      <c r="T306" s="43" t="s">
        <v>31</v>
      </c>
      <c r="U306" s="43" t="s">
        <v>94</v>
      </c>
      <c r="V306" s="43" t="s">
        <v>94</v>
      </c>
      <c r="W306" s="43" t="s">
        <v>95</v>
      </c>
      <c r="X306" s="45" t="str">
        <f>IF(AND(R306&lt;&gt;"",OR(U306="No reply",U306="Unknown")),R306+2,"")</f>
        <v/>
      </c>
      <c r="Y306" s="45"/>
      <c r="Z306" s="43" t="s">
        <v>96</v>
      </c>
      <c r="AA306" s="43" t="str">
        <f>IF(L306="Hold","Do not send",IF(T306="Not sent","Send WhatsApp",IF(U306="Demo booked","Prepare demo",IF(W306="Booked","Prepare demo",IF(AND(X306&lt;&gt;"",Y306=""),"Send follow-up","Review")))))</f>
        <v>Do not send</v>
      </c>
      <c r="AB306" s="43"/>
      <c r="AC306" s="43" t="s">
        <v>733</v>
      </c>
      <c r="AD306" s="43">
        <f>IF(AA306="Prepare demo",1,IF(AA306="Send follow-up",2,IF(AA306="Send WhatsApp",3,IF(AA306="Review",4,IF(AA306="Do not send",9,5)))))</f>
        <v>9</v>
      </c>
      <c r="AE306" s="43">
        <f>IF(M306="High",1,IF(M306="Medium",2,IF(M306="Normal",3,IF(M306="Hold",9,4))))</f>
        <v>9</v>
      </c>
      <c r="AF306" s="43">
        <f>IF(T306="Read",1,IF(T306="Delivered",2,IF(T306="Sent",3,IF(T306="Not sent",4,IF(T306="Failed",9,5)))))</f>
        <v>4</v>
      </c>
      <c r="AG306" s="43">
        <f>IF(U306="Demo booked",1,IF(U306="Interested",2,IF(U306="Replied",3,IF(U306="No reply",5,IF(U306="Not interested",8,IF(U306="Bad number",9,6))))))</f>
        <v>6</v>
      </c>
      <c r="AH306" s="46">
        <f>AD306*1000+AN306*100+AE306*10+AG306</f>
        <v>9596</v>
      </c>
      <c r="AI306" s="45">
        <f>MAX(IF(R306="",0,R306),IF(Y306="",0,Y306))</f>
        <v>0</v>
      </c>
      <c r="AJ306" s="43" t="str">
        <f ca="1">IF(AND(X306&lt;&gt;"",Y306="",X306&lt;TODAY()),"Overdue",IF(AND(X306&lt;&gt;"",Y306="",X306=TODAY()),"Due today",IF(Y306&lt;&gt;"","Follow-up sent","")))</f>
        <v/>
      </c>
      <c r="AK306" s="50" t="s">
        <v>734</v>
      </c>
      <c r="AL306" s="50" t="s">
        <v>735</v>
      </c>
      <c r="AM306" s="50" t="s">
        <v>736</v>
      </c>
      <c r="AN306" s="50">
        <v>5</v>
      </c>
      <c r="AO306" s="54" t="s">
        <v>1324</v>
      </c>
      <c r="AP306" s="57" t="s">
        <v>127</v>
      </c>
      <c r="AQ306" s="58"/>
      <c r="AR306" s="57"/>
    </row>
    <row r="307" spans="1:44" ht="54" customHeight="1" x14ac:dyDescent="0.25">
      <c r="A307" s="43" t="s">
        <v>1325</v>
      </c>
      <c r="B307" s="43" t="s">
        <v>790</v>
      </c>
      <c r="C307" s="43"/>
      <c r="D307" s="44" t="s">
        <v>1326</v>
      </c>
      <c r="E307" s="43"/>
      <c r="F307" s="43" t="s">
        <v>729</v>
      </c>
      <c r="G307" s="45"/>
      <c r="H307" s="45">
        <v>46161</v>
      </c>
      <c r="I307" s="43" t="s">
        <v>730</v>
      </c>
      <c r="J307" s="43" t="s">
        <v>731</v>
      </c>
      <c r="K307" s="43" t="str">
        <f>IF(LEN(D307)=10,"OK","Check")</f>
        <v>OK</v>
      </c>
      <c r="L307" s="43" t="s">
        <v>732</v>
      </c>
      <c r="M307" s="43" t="str">
        <f>IF(L307="Hold","Hold",IF(IFERROR(E307,0)&gt;=200,"High",IF(IFERROR(E307,0)&gt;=100,"Medium","Normal")))</f>
        <v>Hold</v>
      </c>
      <c r="N307" s="43" t="s">
        <v>90</v>
      </c>
      <c r="O307" s="43" t="s">
        <v>91</v>
      </c>
      <c r="P307" s="43" t="s">
        <v>92</v>
      </c>
      <c r="Q307" s="17" t="s">
        <v>93</v>
      </c>
      <c r="R307" s="45"/>
      <c r="S307" s="43"/>
      <c r="T307" s="43" t="s">
        <v>31</v>
      </c>
      <c r="U307" s="43" t="s">
        <v>94</v>
      </c>
      <c r="V307" s="43" t="s">
        <v>94</v>
      </c>
      <c r="W307" s="43" t="s">
        <v>95</v>
      </c>
      <c r="X307" s="45" t="str">
        <f>IF(AND(R307&lt;&gt;"",OR(U307="No reply",U307="Unknown")),R307+2,"")</f>
        <v/>
      </c>
      <c r="Y307" s="45"/>
      <c r="Z307" s="43" t="s">
        <v>96</v>
      </c>
      <c r="AA307" s="43" t="str">
        <f>IF(L307="Hold","Do not send",IF(T307="Not sent","Send WhatsApp",IF(U307="Demo booked","Prepare demo",IF(W307="Booked","Prepare demo",IF(AND(X307&lt;&gt;"",Y307=""),"Send follow-up","Review")))))</f>
        <v>Do not send</v>
      </c>
      <c r="AB307" s="43"/>
      <c r="AC307" s="43" t="s">
        <v>733</v>
      </c>
      <c r="AD307" s="43">
        <f>IF(AA307="Prepare demo",1,IF(AA307="Send follow-up",2,IF(AA307="Send WhatsApp",3,IF(AA307="Review",4,IF(AA307="Do not send",9,5)))))</f>
        <v>9</v>
      </c>
      <c r="AE307" s="43">
        <f>IF(M307="High",1,IF(M307="Medium",2,IF(M307="Normal",3,IF(M307="Hold",9,4))))</f>
        <v>9</v>
      </c>
      <c r="AF307" s="43">
        <f>IF(T307="Read",1,IF(T307="Delivered",2,IF(T307="Sent",3,IF(T307="Not sent",4,IF(T307="Failed",9,5)))))</f>
        <v>4</v>
      </c>
      <c r="AG307" s="43">
        <f>IF(U307="Demo booked",1,IF(U307="Interested",2,IF(U307="Replied",3,IF(U307="No reply",5,IF(U307="Not interested",8,IF(U307="Bad number",9,6))))))</f>
        <v>6</v>
      </c>
      <c r="AH307" s="46">
        <f>AD307*1000+AN307*100+AE307*10+AG307</f>
        <v>9596</v>
      </c>
      <c r="AI307" s="45">
        <f>MAX(IF(R307="",0,R307),IF(Y307="",0,Y307))</f>
        <v>0</v>
      </c>
      <c r="AJ307" s="43" t="str">
        <f ca="1">IF(AND(X307&lt;&gt;"",Y307="",X307&lt;TODAY()),"Overdue",IF(AND(X307&lt;&gt;"",Y307="",X307=TODAY()),"Due today",IF(Y307&lt;&gt;"","Follow-up sent","")))</f>
        <v/>
      </c>
      <c r="AK307" s="50" t="s">
        <v>734</v>
      </c>
      <c r="AL307" s="50" t="s">
        <v>735</v>
      </c>
      <c r="AM307" s="50" t="s">
        <v>736</v>
      </c>
      <c r="AN307" s="50">
        <v>5</v>
      </c>
      <c r="AO307" s="54" t="s">
        <v>1327</v>
      </c>
      <c r="AP307" s="57" t="s">
        <v>127</v>
      </c>
      <c r="AQ307" s="58"/>
      <c r="AR307" s="57"/>
    </row>
    <row r="308" spans="1:44" ht="54" customHeight="1" x14ac:dyDescent="0.25">
      <c r="A308" s="43" t="s">
        <v>1328</v>
      </c>
      <c r="B308" s="43" t="s">
        <v>790</v>
      </c>
      <c r="C308" s="43"/>
      <c r="D308" s="44" t="s">
        <v>1329</v>
      </c>
      <c r="E308" s="43"/>
      <c r="F308" s="43" t="s">
        <v>729</v>
      </c>
      <c r="G308" s="45"/>
      <c r="H308" s="45">
        <v>46161</v>
      </c>
      <c r="I308" s="43" t="s">
        <v>730</v>
      </c>
      <c r="J308" s="43" t="s">
        <v>731</v>
      </c>
      <c r="K308" s="43" t="str">
        <f>IF(LEN(D308)=10,"OK","Check")</f>
        <v>OK</v>
      </c>
      <c r="L308" s="43" t="s">
        <v>732</v>
      </c>
      <c r="M308" s="43" t="str">
        <f>IF(L308="Hold","Hold",IF(IFERROR(E308,0)&gt;=200,"High",IF(IFERROR(E308,0)&gt;=100,"Medium","Normal")))</f>
        <v>Hold</v>
      </c>
      <c r="N308" s="43" t="s">
        <v>90</v>
      </c>
      <c r="O308" s="43" t="s">
        <v>91</v>
      </c>
      <c r="P308" s="43" t="s">
        <v>92</v>
      </c>
      <c r="Q308" s="17" t="s">
        <v>93</v>
      </c>
      <c r="R308" s="45"/>
      <c r="S308" s="43"/>
      <c r="T308" s="43" t="s">
        <v>31</v>
      </c>
      <c r="U308" s="43" t="s">
        <v>94</v>
      </c>
      <c r="V308" s="43" t="s">
        <v>94</v>
      </c>
      <c r="W308" s="43" t="s">
        <v>95</v>
      </c>
      <c r="X308" s="45" t="str">
        <f>IF(AND(R308&lt;&gt;"",OR(U308="No reply",U308="Unknown")),R308+2,"")</f>
        <v/>
      </c>
      <c r="Y308" s="45"/>
      <c r="Z308" s="43" t="s">
        <v>96</v>
      </c>
      <c r="AA308" s="43" t="str">
        <f>IF(L308="Hold","Do not send",IF(T308="Not sent","Send WhatsApp",IF(U308="Demo booked","Prepare demo",IF(W308="Booked","Prepare demo",IF(AND(X308&lt;&gt;"",Y308=""),"Send follow-up","Review")))))</f>
        <v>Do not send</v>
      </c>
      <c r="AB308" s="43"/>
      <c r="AC308" s="43" t="s">
        <v>733</v>
      </c>
      <c r="AD308" s="43">
        <f>IF(AA308="Prepare demo",1,IF(AA308="Send follow-up",2,IF(AA308="Send WhatsApp",3,IF(AA308="Review",4,IF(AA308="Do not send",9,5)))))</f>
        <v>9</v>
      </c>
      <c r="AE308" s="43">
        <f>IF(M308="High",1,IF(M308="Medium",2,IF(M308="Normal",3,IF(M308="Hold",9,4))))</f>
        <v>9</v>
      </c>
      <c r="AF308" s="43">
        <f>IF(T308="Read",1,IF(T308="Delivered",2,IF(T308="Sent",3,IF(T308="Not sent",4,IF(T308="Failed",9,5)))))</f>
        <v>4</v>
      </c>
      <c r="AG308" s="43">
        <f>IF(U308="Demo booked",1,IF(U308="Interested",2,IF(U308="Replied",3,IF(U308="No reply",5,IF(U308="Not interested",8,IF(U308="Bad number",9,6))))))</f>
        <v>6</v>
      </c>
      <c r="AH308" s="46">
        <f>AD308*1000+AN308*100+AE308*10+AG308</f>
        <v>9596</v>
      </c>
      <c r="AI308" s="45">
        <f>MAX(IF(R308="",0,R308),IF(Y308="",0,Y308))</f>
        <v>0</v>
      </c>
      <c r="AJ308" s="43" t="str">
        <f ca="1">IF(AND(X308&lt;&gt;"",Y308="",X308&lt;TODAY()),"Overdue",IF(AND(X308&lt;&gt;"",Y308="",X308=TODAY()),"Due today",IF(Y308&lt;&gt;"","Follow-up sent","")))</f>
        <v/>
      </c>
      <c r="AK308" s="50" t="s">
        <v>734</v>
      </c>
      <c r="AL308" s="50" t="s">
        <v>735</v>
      </c>
      <c r="AM308" s="50" t="s">
        <v>736</v>
      </c>
      <c r="AN308" s="50">
        <v>5</v>
      </c>
      <c r="AO308" s="54" t="s">
        <v>1330</v>
      </c>
      <c r="AP308" s="57" t="s">
        <v>127</v>
      </c>
      <c r="AQ308" s="58"/>
      <c r="AR308" s="57"/>
    </row>
    <row r="309" spans="1:44" ht="54" customHeight="1" x14ac:dyDescent="0.25">
      <c r="A309" s="43" t="s">
        <v>1331</v>
      </c>
      <c r="B309" s="43" t="s">
        <v>790</v>
      </c>
      <c r="C309" s="43"/>
      <c r="D309" s="44" t="s">
        <v>1332</v>
      </c>
      <c r="E309" s="43"/>
      <c r="F309" s="43" t="s">
        <v>729</v>
      </c>
      <c r="G309" s="45"/>
      <c r="H309" s="45">
        <v>46161</v>
      </c>
      <c r="I309" s="43" t="s">
        <v>730</v>
      </c>
      <c r="J309" s="43" t="s">
        <v>731</v>
      </c>
      <c r="K309" s="43" t="str">
        <f>IF(LEN(D309)=10,"OK","Check")</f>
        <v>OK</v>
      </c>
      <c r="L309" s="43" t="s">
        <v>732</v>
      </c>
      <c r="M309" s="43" t="str">
        <f>IF(L309="Hold","Hold",IF(IFERROR(E309,0)&gt;=200,"High",IF(IFERROR(E309,0)&gt;=100,"Medium","Normal")))</f>
        <v>Hold</v>
      </c>
      <c r="N309" s="43" t="s">
        <v>90</v>
      </c>
      <c r="O309" s="43" t="s">
        <v>91</v>
      </c>
      <c r="P309" s="43" t="s">
        <v>92</v>
      </c>
      <c r="Q309" s="17" t="s">
        <v>93</v>
      </c>
      <c r="R309" s="45"/>
      <c r="S309" s="43"/>
      <c r="T309" s="43" t="s">
        <v>31</v>
      </c>
      <c r="U309" s="43" t="s">
        <v>94</v>
      </c>
      <c r="V309" s="43" t="s">
        <v>94</v>
      </c>
      <c r="W309" s="43" t="s">
        <v>95</v>
      </c>
      <c r="X309" s="45" t="str">
        <f>IF(AND(R309&lt;&gt;"",OR(U309="No reply",U309="Unknown")),R309+2,"")</f>
        <v/>
      </c>
      <c r="Y309" s="45"/>
      <c r="Z309" s="43" t="s">
        <v>96</v>
      </c>
      <c r="AA309" s="43" t="str">
        <f>IF(L309="Hold","Do not send",IF(T309="Not sent","Send WhatsApp",IF(U309="Demo booked","Prepare demo",IF(W309="Booked","Prepare demo",IF(AND(X309&lt;&gt;"",Y309=""),"Send follow-up","Review")))))</f>
        <v>Do not send</v>
      </c>
      <c r="AB309" s="43"/>
      <c r="AC309" s="43" t="s">
        <v>733</v>
      </c>
      <c r="AD309" s="43">
        <f>IF(AA309="Prepare demo",1,IF(AA309="Send follow-up",2,IF(AA309="Send WhatsApp",3,IF(AA309="Review",4,IF(AA309="Do not send",9,5)))))</f>
        <v>9</v>
      </c>
      <c r="AE309" s="43">
        <f>IF(M309="High",1,IF(M309="Medium",2,IF(M309="Normal",3,IF(M309="Hold",9,4))))</f>
        <v>9</v>
      </c>
      <c r="AF309" s="43">
        <f>IF(T309="Read",1,IF(T309="Delivered",2,IF(T309="Sent",3,IF(T309="Not sent",4,IF(T309="Failed",9,5)))))</f>
        <v>4</v>
      </c>
      <c r="AG309" s="43">
        <f>IF(U309="Demo booked",1,IF(U309="Interested",2,IF(U309="Replied",3,IF(U309="No reply",5,IF(U309="Not interested",8,IF(U309="Bad number",9,6))))))</f>
        <v>6</v>
      </c>
      <c r="AH309" s="46">
        <f>AD309*1000+AN309*100+AE309*10+AG309</f>
        <v>9596</v>
      </c>
      <c r="AI309" s="45">
        <f>MAX(IF(R309="",0,R309),IF(Y309="",0,Y309))</f>
        <v>0</v>
      </c>
      <c r="AJ309" s="43" t="str">
        <f ca="1">IF(AND(X309&lt;&gt;"",Y309="",X309&lt;TODAY()),"Overdue",IF(AND(X309&lt;&gt;"",Y309="",X309=TODAY()),"Due today",IF(Y309&lt;&gt;"","Follow-up sent","")))</f>
        <v/>
      </c>
      <c r="AK309" s="50" t="s">
        <v>734</v>
      </c>
      <c r="AL309" s="50" t="s">
        <v>735</v>
      </c>
      <c r="AM309" s="50" t="s">
        <v>736</v>
      </c>
      <c r="AN309" s="50">
        <v>5</v>
      </c>
      <c r="AO309" s="54" t="s">
        <v>1333</v>
      </c>
      <c r="AP309" s="57" t="s">
        <v>127</v>
      </c>
      <c r="AQ309" s="58"/>
      <c r="AR309" s="57"/>
    </row>
    <row r="310" spans="1:44" ht="54" customHeight="1" x14ac:dyDescent="0.25">
      <c r="A310" s="43" t="s">
        <v>1334</v>
      </c>
      <c r="B310" s="43" t="s">
        <v>790</v>
      </c>
      <c r="C310" s="43"/>
      <c r="D310" s="44" t="s">
        <v>1335</v>
      </c>
      <c r="E310" s="43"/>
      <c r="F310" s="43" t="s">
        <v>729</v>
      </c>
      <c r="G310" s="45"/>
      <c r="H310" s="45">
        <v>46161</v>
      </c>
      <c r="I310" s="43" t="s">
        <v>730</v>
      </c>
      <c r="J310" s="43" t="s">
        <v>731</v>
      </c>
      <c r="K310" s="43" t="str">
        <f>IF(LEN(D310)=10,"OK","Check")</f>
        <v>OK</v>
      </c>
      <c r="L310" s="43" t="s">
        <v>732</v>
      </c>
      <c r="M310" s="43" t="str">
        <f>IF(L310="Hold","Hold",IF(IFERROR(E310,0)&gt;=200,"High",IF(IFERROR(E310,0)&gt;=100,"Medium","Normal")))</f>
        <v>Hold</v>
      </c>
      <c r="N310" s="43" t="s">
        <v>90</v>
      </c>
      <c r="O310" s="43" t="s">
        <v>91</v>
      </c>
      <c r="P310" s="43" t="s">
        <v>92</v>
      </c>
      <c r="Q310" s="17" t="s">
        <v>93</v>
      </c>
      <c r="R310" s="45"/>
      <c r="S310" s="43"/>
      <c r="T310" s="43" t="s">
        <v>31</v>
      </c>
      <c r="U310" s="43" t="s">
        <v>94</v>
      </c>
      <c r="V310" s="43" t="s">
        <v>94</v>
      </c>
      <c r="W310" s="43" t="s">
        <v>95</v>
      </c>
      <c r="X310" s="45" t="str">
        <f>IF(AND(R310&lt;&gt;"",OR(U310="No reply",U310="Unknown")),R310+2,"")</f>
        <v/>
      </c>
      <c r="Y310" s="45"/>
      <c r="Z310" s="43" t="s">
        <v>96</v>
      </c>
      <c r="AA310" s="43" t="str">
        <f>IF(L310="Hold","Do not send",IF(T310="Not sent","Send WhatsApp",IF(U310="Demo booked","Prepare demo",IF(W310="Booked","Prepare demo",IF(AND(X310&lt;&gt;"",Y310=""),"Send follow-up","Review")))))</f>
        <v>Do not send</v>
      </c>
      <c r="AB310" s="43"/>
      <c r="AC310" s="43" t="s">
        <v>733</v>
      </c>
      <c r="AD310" s="43">
        <f>IF(AA310="Prepare demo",1,IF(AA310="Send follow-up",2,IF(AA310="Send WhatsApp",3,IF(AA310="Review",4,IF(AA310="Do not send",9,5)))))</f>
        <v>9</v>
      </c>
      <c r="AE310" s="43">
        <f>IF(M310="High",1,IF(M310="Medium",2,IF(M310="Normal",3,IF(M310="Hold",9,4))))</f>
        <v>9</v>
      </c>
      <c r="AF310" s="43">
        <f>IF(T310="Read",1,IF(T310="Delivered",2,IF(T310="Sent",3,IF(T310="Not sent",4,IF(T310="Failed",9,5)))))</f>
        <v>4</v>
      </c>
      <c r="AG310" s="43">
        <f>IF(U310="Demo booked",1,IF(U310="Interested",2,IF(U310="Replied",3,IF(U310="No reply",5,IF(U310="Not interested",8,IF(U310="Bad number",9,6))))))</f>
        <v>6</v>
      </c>
      <c r="AH310" s="46">
        <f>AD310*1000+AN310*100+AE310*10+AG310</f>
        <v>9596</v>
      </c>
      <c r="AI310" s="45">
        <f>MAX(IF(R310="",0,R310),IF(Y310="",0,Y310))</f>
        <v>0</v>
      </c>
      <c r="AJ310" s="43" t="str">
        <f ca="1">IF(AND(X310&lt;&gt;"",Y310="",X310&lt;TODAY()),"Overdue",IF(AND(X310&lt;&gt;"",Y310="",X310=TODAY()),"Due today",IF(Y310&lt;&gt;"","Follow-up sent","")))</f>
        <v/>
      </c>
      <c r="AK310" s="50" t="s">
        <v>734</v>
      </c>
      <c r="AL310" s="50" t="s">
        <v>735</v>
      </c>
      <c r="AM310" s="50" t="s">
        <v>736</v>
      </c>
      <c r="AN310" s="50">
        <v>5</v>
      </c>
      <c r="AO310" s="54" t="s">
        <v>1336</v>
      </c>
      <c r="AP310" s="57" t="s">
        <v>127</v>
      </c>
      <c r="AQ310" s="58"/>
      <c r="AR310" s="57"/>
    </row>
    <row r="311" spans="1:44" ht="54" customHeight="1" x14ac:dyDescent="0.25">
      <c r="A311" s="43" t="s">
        <v>1337</v>
      </c>
      <c r="B311" s="43" t="s">
        <v>790</v>
      </c>
      <c r="C311" s="43"/>
      <c r="D311" s="44" t="s">
        <v>1338</v>
      </c>
      <c r="E311" s="43"/>
      <c r="F311" s="43" t="s">
        <v>729</v>
      </c>
      <c r="G311" s="45"/>
      <c r="H311" s="45">
        <v>46161</v>
      </c>
      <c r="I311" s="43" t="s">
        <v>730</v>
      </c>
      <c r="J311" s="43" t="s">
        <v>731</v>
      </c>
      <c r="K311" s="43" t="str">
        <f>IF(LEN(D311)=10,"OK","Check")</f>
        <v>OK</v>
      </c>
      <c r="L311" s="43" t="s">
        <v>732</v>
      </c>
      <c r="M311" s="43" t="str">
        <f>IF(L311="Hold","Hold",IF(IFERROR(E311,0)&gt;=200,"High",IF(IFERROR(E311,0)&gt;=100,"Medium","Normal")))</f>
        <v>Hold</v>
      </c>
      <c r="N311" s="43" t="s">
        <v>90</v>
      </c>
      <c r="O311" s="43" t="s">
        <v>91</v>
      </c>
      <c r="P311" s="43" t="s">
        <v>92</v>
      </c>
      <c r="Q311" s="17" t="s">
        <v>93</v>
      </c>
      <c r="R311" s="45"/>
      <c r="S311" s="43"/>
      <c r="T311" s="43" t="s">
        <v>31</v>
      </c>
      <c r="U311" s="43" t="s">
        <v>94</v>
      </c>
      <c r="V311" s="43" t="s">
        <v>94</v>
      </c>
      <c r="W311" s="43" t="s">
        <v>95</v>
      </c>
      <c r="X311" s="45" t="str">
        <f>IF(AND(R311&lt;&gt;"",OR(U311="No reply",U311="Unknown")),R311+2,"")</f>
        <v/>
      </c>
      <c r="Y311" s="45"/>
      <c r="Z311" s="43" t="s">
        <v>96</v>
      </c>
      <c r="AA311" s="43" t="str">
        <f>IF(L311="Hold","Do not send",IF(T311="Not sent","Send WhatsApp",IF(U311="Demo booked","Prepare demo",IF(W311="Booked","Prepare demo",IF(AND(X311&lt;&gt;"",Y311=""),"Send follow-up","Review")))))</f>
        <v>Do not send</v>
      </c>
      <c r="AB311" s="43"/>
      <c r="AC311" s="43" t="s">
        <v>733</v>
      </c>
      <c r="AD311" s="43">
        <f>IF(AA311="Prepare demo",1,IF(AA311="Send follow-up",2,IF(AA311="Send WhatsApp",3,IF(AA311="Review",4,IF(AA311="Do not send",9,5)))))</f>
        <v>9</v>
      </c>
      <c r="AE311" s="43">
        <f>IF(M311="High",1,IF(M311="Medium",2,IF(M311="Normal",3,IF(M311="Hold",9,4))))</f>
        <v>9</v>
      </c>
      <c r="AF311" s="43">
        <f>IF(T311="Read",1,IF(T311="Delivered",2,IF(T311="Sent",3,IF(T311="Not sent",4,IF(T311="Failed",9,5)))))</f>
        <v>4</v>
      </c>
      <c r="AG311" s="43">
        <f>IF(U311="Demo booked",1,IF(U311="Interested",2,IF(U311="Replied",3,IF(U311="No reply",5,IF(U311="Not interested",8,IF(U311="Bad number",9,6))))))</f>
        <v>6</v>
      </c>
      <c r="AH311" s="46">
        <f>AD311*1000+AN311*100+AE311*10+AG311</f>
        <v>9596</v>
      </c>
      <c r="AI311" s="45">
        <f>MAX(IF(R311="",0,R311),IF(Y311="",0,Y311))</f>
        <v>0</v>
      </c>
      <c r="AJ311" s="43" t="str">
        <f ca="1">IF(AND(X311&lt;&gt;"",Y311="",X311&lt;TODAY()),"Overdue",IF(AND(X311&lt;&gt;"",Y311="",X311=TODAY()),"Due today",IF(Y311&lt;&gt;"","Follow-up sent","")))</f>
        <v/>
      </c>
      <c r="AK311" s="50" t="s">
        <v>734</v>
      </c>
      <c r="AL311" s="50" t="s">
        <v>735</v>
      </c>
      <c r="AM311" s="50" t="s">
        <v>736</v>
      </c>
      <c r="AN311" s="50">
        <v>5</v>
      </c>
      <c r="AO311" s="54" t="s">
        <v>1339</v>
      </c>
      <c r="AP311" s="57" t="s">
        <v>127</v>
      </c>
      <c r="AQ311" s="58"/>
      <c r="AR311" s="57"/>
    </row>
    <row r="312" spans="1:44" ht="54" customHeight="1" x14ac:dyDescent="0.25">
      <c r="A312" s="43" t="s">
        <v>1340</v>
      </c>
      <c r="B312" s="43" t="s">
        <v>790</v>
      </c>
      <c r="C312" s="43"/>
      <c r="D312" s="44" t="s">
        <v>1341</v>
      </c>
      <c r="E312" s="43"/>
      <c r="F312" s="43" t="s">
        <v>729</v>
      </c>
      <c r="G312" s="45"/>
      <c r="H312" s="45">
        <v>46161</v>
      </c>
      <c r="I312" s="43" t="s">
        <v>730</v>
      </c>
      <c r="J312" s="43" t="s">
        <v>731</v>
      </c>
      <c r="K312" s="43" t="str">
        <f>IF(LEN(D312)=10,"OK","Check")</f>
        <v>OK</v>
      </c>
      <c r="L312" s="43" t="s">
        <v>732</v>
      </c>
      <c r="M312" s="43" t="str">
        <f>IF(L312="Hold","Hold",IF(IFERROR(E312,0)&gt;=200,"High",IF(IFERROR(E312,0)&gt;=100,"Medium","Normal")))</f>
        <v>Hold</v>
      </c>
      <c r="N312" s="43" t="s">
        <v>90</v>
      </c>
      <c r="O312" s="43" t="s">
        <v>91</v>
      </c>
      <c r="P312" s="43" t="s">
        <v>92</v>
      </c>
      <c r="Q312" s="17" t="s">
        <v>93</v>
      </c>
      <c r="R312" s="45"/>
      <c r="S312" s="43"/>
      <c r="T312" s="43" t="s">
        <v>31</v>
      </c>
      <c r="U312" s="43" t="s">
        <v>94</v>
      </c>
      <c r="V312" s="43" t="s">
        <v>94</v>
      </c>
      <c r="W312" s="43" t="s">
        <v>95</v>
      </c>
      <c r="X312" s="45" t="str">
        <f>IF(AND(R312&lt;&gt;"",OR(U312="No reply",U312="Unknown")),R312+2,"")</f>
        <v/>
      </c>
      <c r="Y312" s="45"/>
      <c r="Z312" s="43" t="s">
        <v>96</v>
      </c>
      <c r="AA312" s="43" t="str">
        <f>IF(L312="Hold","Do not send",IF(T312="Not sent","Send WhatsApp",IF(U312="Demo booked","Prepare demo",IF(W312="Booked","Prepare demo",IF(AND(X312&lt;&gt;"",Y312=""),"Send follow-up","Review")))))</f>
        <v>Do not send</v>
      </c>
      <c r="AB312" s="43"/>
      <c r="AC312" s="43" t="s">
        <v>733</v>
      </c>
      <c r="AD312" s="43">
        <f>IF(AA312="Prepare demo",1,IF(AA312="Send follow-up",2,IF(AA312="Send WhatsApp",3,IF(AA312="Review",4,IF(AA312="Do not send",9,5)))))</f>
        <v>9</v>
      </c>
      <c r="AE312" s="43">
        <f>IF(M312="High",1,IF(M312="Medium",2,IF(M312="Normal",3,IF(M312="Hold",9,4))))</f>
        <v>9</v>
      </c>
      <c r="AF312" s="43">
        <f>IF(T312="Read",1,IF(T312="Delivered",2,IF(T312="Sent",3,IF(T312="Not sent",4,IF(T312="Failed",9,5)))))</f>
        <v>4</v>
      </c>
      <c r="AG312" s="43">
        <f>IF(U312="Demo booked",1,IF(U312="Interested",2,IF(U312="Replied",3,IF(U312="No reply",5,IF(U312="Not interested",8,IF(U312="Bad number",9,6))))))</f>
        <v>6</v>
      </c>
      <c r="AH312" s="46">
        <f>AD312*1000+AN312*100+AE312*10+AG312</f>
        <v>9596</v>
      </c>
      <c r="AI312" s="45">
        <f>MAX(IF(R312="",0,R312),IF(Y312="",0,Y312))</f>
        <v>0</v>
      </c>
      <c r="AJ312" s="43" t="str">
        <f ca="1">IF(AND(X312&lt;&gt;"",Y312="",X312&lt;TODAY()),"Overdue",IF(AND(X312&lt;&gt;"",Y312="",X312=TODAY()),"Due today",IF(Y312&lt;&gt;"","Follow-up sent","")))</f>
        <v/>
      </c>
      <c r="AK312" s="50" t="s">
        <v>734</v>
      </c>
      <c r="AL312" s="50" t="s">
        <v>735</v>
      </c>
      <c r="AM312" s="50" t="s">
        <v>736</v>
      </c>
      <c r="AN312" s="50">
        <v>5</v>
      </c>
      <c r="AO312" s="54" t="s">
        <v>1342</v>
      </c>
      <c r="AP312" s="57" t="s">
        <v>127</v>
      </c>
      <c r="AQ312" s="58"/>
      <c r="AR312" s="57"/>
    </row>
    <row r="313" spans="1:44" ht="54" customHeight="1" x14ac:dyDescent="0.25">
      <c r="A313" s="43" t="s">
        <v>1343</v>
      </c>
      <c r="B313" s="43" t="s">
        <v>790</v>
      </c>
      <c r="C313" s="43"/>
      <c r="D313" s="44" t="s">
        <v>1344</v>
      </c>
      <c r="E313" s="43"/>
      <c r="F313" s="43" t="s">
        <v>729</v>
      </c>
      <c r="G313" s="45"/>
      <c r="H313" s="45">
        <v>46161</v>
      </c>
      <c r="I313" s="43" t="s">
        <v>730</v>
      </c>
      <c r="J313" s="43" t="s">
        <v>731</v>
      </c>
      <c r="K313" s="43" t="str">
        <f>IF(LEN(D313)=10,"OK","Check")</f>
        <v>OK</v>
      </c>
      <c r="L313" s="43" t="s">
        <v>732</v>
      </c>
      <c r="M313" s="43" t="str">
        <f>IF(L313="Hold","Hold",IF(IFERROR(E313,0)&gt;=200,"High",IF(IFERROR(E313,0)&gt;=100,"Medium","Normal")))</f>
        <v>Hold</v>
      </c>
      <c r="N313" s="43" t="s">
        <v>90</v>
      </c>
      <c r="O313" s="43" t="s">
        <v>91</v>
      </c>
      <c r="P313" s="43" t="s">
        <v>92</v>
      </c>
      <c r="Q313" s="17" t="s">
        <v>93</v>
      </c>
      <c r="R313" s="45"/>
      <c r="S313" s="43"/>
      <c r="T313" s="43" t="s">
        <v>31</v>
      </c>
      <c r="U313" s="43" t="s">
        <v>94</v>
      </c>
      <c r="V313" s="43" t="s">
        <v>94</v>
      </c>
      <c r="W313" s="43" t="s">
        <v>95</v>
      </c>
      <c r="X313" s="45" t="str">
        <f>IF(AND(R313&lt;&gt;"",OR(U313="No reply",U313="Unknown")),R313+2,"")</f>
        <v/>
      </c>
      <c r="Y313" s="45"/>
      <c r="Z313" s="43" t="s">
        <v>96</v>
      </c>
      <c r="AA313" s="43" t="str">
        <f>IF(L313="Hold","Do not send",IF(T313="Not sent","Send WhatsApp",IF(U313="Demo booked","Prepare demo",IF(W313="Booked","Prepare demo",IF(AND(X313&lt;&gt;"",Y313=""),"Send follow-up","Review")))))</f>
        <v>Do not send</v>
      </c>
      <c r="AB313" s="43"/>
      <c r="AC313" s="43" t="s">
        <v>733</v>
      </c>
      <c r="AD313" s="43">
        <f>IF(AA313="Prepare demo",1,IF(AA313="Send follow-up",2,IF(AA313="Send WhatsApp",3,IF(AA313="Review",4,IF(AA313="Do not send",9,5)))))</f>
        <v>9</v>
      </c>
      <c r="AE313" s="43">
        <f>IF(M313="High",1,IF(M313="Medium",2,IF(M313="Normal",3,IF(M313="Hold",9,4))))</f>
        <v>9</v>
      </c>
      <c r="AF313" s="43">
        <f>IF(T313="Read",1,IF(T313="Delivered",2,IF(T313="Sent",3,IF(T313="Not sent",4,IF(T313="Failed",9,5)))))</f>
        <v>4</v>
      </c>
      <c r="AG313" s="43">
        <f>IF(U313="Demo booked",1,IF(U313="Interested",2,IF(U313="Replied",3,IF(U313="No reply",5,IF(U313="Not interested",8,IF(U313="Bad number",9,6))))))</f>
        <v>6</v>
      </c>
      <c r="AH313" s="46">
        <f>AD313*1000+AN313*100+AE313*10+AG313</f>
        <v>9596</v>
      </c>
      <c r="AI313" s="45">
        <f>MAX(IF(R313="",0,R313),IF(Y313="",0,Y313))</f>
        <v>0</v>
      </c>
      <c r="AJ313" s="43" t="str">
        <f ca="1">IF(AND(X313&lt;&gt;"",Y313="",X313&lt;TODAY()),"Overdue",IF(AND(X313&lt;&gt;"",Y313="",X313=TODAY()),"Due today",IF(Y313&lt;&gt;"","Follow-up sent","")))</f>
        <v/>
      </c>
      <c r="AK313" s="50" t="s">
        <v>734</v>
      </c>
      <c r="AL313" s="50" t="s">
        <v>735</v>
      </c>
      <c r="AM313" s="50" t="s">
        <v>736</v>
      </c>
      <c r="AN313" s="50">
        <v>5</v>
      </c>
      <c r="AO313" s="54" t="s">
        <v>1345</v>
      </c>
      <c r="AP313" s="57" t="s">
        <v>127</v>
      </c>
      <c r="AQ313" s="58"/>
      <c r="AR313" s="57"/>
    </row>
    <row r="314" spans="1:44" ht="54" customHeight="1" x14ac:dyDescent="0.25">
      <c r="A314" s="43" t="s">
        <v>1346</v>
      </c>
      <c r="B314" s="43" t="s">
        <v>790</v>
      </c>
      <c r="C314" s="43"/>
      <c r="D314" s="44" t="s">
        <v>1347</v>
      </c>
      <c r="E314" s="43"/>
      <c r="F314" s="43" t="s">
        <v>729</v>
      </c>
      <c r="G314" s="45"/>
      <c r="H314" s="45">
        <v>46161</v>
      </c>
      <c r="I314" s="43" t="s">
        <v>730</v>
      </c>
      <c r="J314" s="43" t="s">
        <v>731</v>
      </c>
      <c r="K314" s="43" t="str">
        <f>IF(LEN(D314)=10,"OK","Check")</f>
        <v>OK</v>
      </c>
      <c r="L314" s="43" t="s">
        <v>732</v>
      </c>
      <c r="M314" s="43" t="str">
        <f>IF(L314="Hold","Hold",IF(IFERROR(E314,0)&gt;=200,"High",IF(IFERROR(E314,0)&gt;=100,"Medium","Normal")))</f>
        <v>Hold</v>
      </c>
      <c r="N314" s="43" t="s">
        <v>90</v>
      </c>
      <c r="O314" s="43" t="s">
        <v>91</v>
      </c>
      <c r="P314" s="43" t="s">
        <v>92</v>
      </c>
      <c r="Q314" s="17" t="s">
        <v>93</v>
      </c>
      <c r="R314" s="45"/>
      <c r="S314" s="43"/>
      <c r="T314" s="43" t="s">
        <v>31</v>
      </c>
      <c r="U314" s="43" t="s">
        <v>94</v>
      </c>
      <c r="V314" s="43" t="s">
        <v>94</v>
      </c>
      <c r="W314" s="43" t="s">
        <v>95</v>
      </c>
      <c r="X314" s="45" t="str">
        <f>IF(AND(R314&lt;&gt;"",OR(U314="No reply",U314="Unknown")),R314+2,"")</f>
        <v/>
      </c>
      <c r="Y314" s="45"/>
      <c r="Z314" s="43" t="s">
        <v>96</v>
      </c>
      <c r="AA314" s="43" t="str">
        <f>IF(L314="Hold","Do not send",IF(T314="Not sent","Send WhatsApp",IF(U314="Demo booked","Prepare demo",IF(W314="Booked","Prepare demo",IF(AND(X314&lt;&gt;"",Y314=""),"Send follow-up","Review")))))</f>
        <v>Do not send</v>
      </c>
      <c r="AB314" s="43"/>
      <c r="AC314" s="43" t="s">
        <v>733</v>
      </c>
      <c r="AD314" s="43">
        <f>IF(AA314="Prepare demo",1,IF(AA314="Send follow-up",2,IF(AA314="Send WhatsApp",3,IF(AA314="Review",4,IF(AA314="Do not send",9,5)))))</f>
        <v>9</v>
      </c>
      <c r="AE314" s="43">
        <f>IF(M314="High",1,IF(M314="Medium",2,IF(M314="Normal",3,IF(M314="Hold",9,4))))</f>
        <v>9</v>
      </c>
      <c r="AF314" s="43">
        <f>IF(T314="Read",1,IF(T314="Delivered",2,IF(T314="Sent",3,IF(T314="Not sent",4,IF(T314="Failed",9,5)))))</f>
        <v>4</v>
      </c>
      <c r="AG314" s="43">
        <f>IF(U314="Demo booked",1,IF(U314="Interested",2,IF(U314="Replied",3,IF(U314="No reply",5,IF(U314="Not interested",8,IF(U314="Bad number",9,6))))))</f>
        <v>6</v>
      </c>
      <c r="AH314" s="46">
        <f>AD314*1000+AN314*100+AE314*10+AG314</f>
        <v>9596</v>
      </c>
      <c r="AI314" s="45">
        <f>MAX(IF(R314="",0,R314),IF(Y314="",0,Y314))</f>
        <v>0</v>
      </c>
      <c r="AJ314" s="43" t="str">
        <f ca="1">IF(AND(X314&lt;&gt;"",Y314="",X314&lt;TODAY()),"Overdue",IF(AND(X314&lt;&gt;"",Y314="",X314=TODAY()),"Due today",IF(Y314&lt;&gt;"","Follow-up sent","")))</f>
        <v/>
      </c>
      <c r="AK314" s="50" t="s">
        <v>734</v>
      </c>
      <c r="AL314" s="50" t="s">
        <v>735</v>
      </c>
      <c r="AM314" s="50" t="s">
        <v>736</v>
      </c>
      <c r="AN314" s="50">
        <v>5</v>
      </c>
      <c r="AO314" s="54" t="s">
        <v>1348</v>
      </c>
      <c r="AP314" s="57" t="s">
        <v>127</v>
      </c>
      <c r="AQ314" s="58"/>
      <c r="AR314" s="57"/>
    </row>
    <row r="315" spans="1:44" ht="54" customHeight="1" x14ac:dyDescent="0.25">
      <c r="A315" s="43" t="s">
        <v>1349</v>
      </c>
      <c r="B315" s="43" t="s">
        <v>790</v>
      </c>
      <c r="C315" s="43"/>
      <c r="D315" s="44" t="s">
        <v>1350</v>
      </c>
      <c r="E315" s="43"/>
      <c r="F315" s="43" t="s">
        <v>729</v>
      </c>
      <c r="G315" s="45"/>
      <c r="H315" s="45">
        <v>46161</v>
      </c>
      <c r="I315" s="43" t="s">
        <v>730</v>
      </c>
      <c r="J315" s="43" t="s">
        <v>731</v>
      </c>
      <c r="K315" s="43" t="str">
        <f>IF(LEN(D315)=10,"OK","Check")</f>
        <v>OK</v>
      </c>
      <c r="L315" s="43" t="s">
        <v>732</v>
      </c>
      <c r="M315" s="43" t="str">
        <f>IF(L315="Hold","Hold",IF(IFERROR(E315,0)&gt;=200,"High",IF(IFERROR(E315,0)&gt;=100,"Medium","Normal")))</f>
        <v>Hold</v>
      </c>
      <c r="N315" s="43" t="s">
        <v>90</v>
      </c>
      <c r="O315" s="43" t="s">
        <v>91</v>
      </c>
      <c r="P315" s="43" t="s">
        <v>92</v>
      </c>
      <c r="Q315" s="17" t="s">
        <v>93</v>
      </c>
      <c r="R315" s="45"/>
      <c r="S315" s="43"/>
      <c r="T315" s="43" t="s">
        <v>31</v>
      </c>
      <c r="U315" s="43" t="s">
        <v>94</v>
      </c>
      <c r="V315" s="43" t="s">
        <v>94</v>
      </c>
      <c r="W315" s="43" t="s">
        <v>95</v>
      </c>
      <c r="X315" s="45" t="str">
        <f>IF(AND(R315&lt;&gt;"",OR(U315="No reply",U315="Unknown")),R315+2,"")</f>
        <v/>
      </c>
      <c r="Y315" s="45"/>
      <c r="Z315" s="43" t="s">
        <v>96</v>
      </c>
      <c r="AA315" s="43" t="str">
        <f>IF(L315="Hold","Do not send",IF(T315="Not sent","Send WhatsApp",IF(U315="Demo booked","Prepare demo",IF(W315="Booked","Prepare demo",IF(AND(X315&lt;&gt;"",Y315=""),"Send follow-up","Review")))))</f>
        <v>Do not send</v>
      </c>
      <c r="AB315" s="43"/>
      <c r="AC315" s="43" t="s">
        <v>733</v>
      </c>
      <c r="AD315" s="43">
        <f>IF(AA315="Prepare demo",1,IF(AA315="Send follow-up",2,IF(AA315="Send WhatsApp",3,IF(AA315="Review",4,IF(AA315="Do not send",9,5)))))</f>
        <v>9</v>
      </c>
      <c r="AE315" s="43">
        <f>IF(M315="High",1,IF(M315="Medium",2,IF(M315="Normal",3,IF(M315="Hold",9,4))))</f>
        <v>9</v>
      </c>
      <c r="AF315" s="43">
        <f>IF(T315="Read",1,IF(T315="Delivered",2,IF(T315="Sent",3,IF(T315="Not sent",4,IF(T315="Failed",9,5)))))</f>
        <v>4</v>
      </c>
      <c r="AG315" s="43">
        <f>IF(U315="Demo booked",1,IF(U315="Interested",2,IF(U315="Replied",3,IF(U315="No reply",5,IF(U315="Not interested",8,IF(U315="Bad number",9,6))))))</f>
        <v>6</v>
      </c>
      <c r="AH315" s="46">
        <f>AD315*1000+AN315*100+AE315*10+AG315</f>
        <v>9596</v>
      </c>
      <c r="AI315" s="45">
        <f>MAX(IF(R315="",0,R315),IF(Y315="",0,Y315))</f>
        <v>0</v>
      </c>
      <c r="AJ315" s="43" t="str">
        <f ca="1">IF(AND(X315&lt;&gt;"",Y315="",X315&lt;TODAY()),"Overdue",IF(AND(X315&lt;&gt;"",Y315="",X315=TODAY()),"Due today",IF(Y315&lt;&gt;"","Follow-up sent","")))</f>
        <v/>
      </c>
      <c r="AK315" s="50" t="s">
        <v>734</v>
      </c>
      <c r="AL315" s="50" t="s">
        <v>735</v>
      </c>
      <c r="AM315" s="50" t="s">
        <v>736</v>
      </c>
      <c r="AN315" s="50">
        <v>5</v>
      </c>
      <c r="AO315" s="54" t="s">
        <v>1351</v>
      </c>
      <c r="AP315" s="57" t="s">
        <v>127</v>
      </c>
      <c r="AQ315" s="58"/>
      <c r="AR315" s="57"/>
    </row>
    <row r="316" spans="1:44" ht="54" customHeight="1" x14ac:dyDescent="0.25">
      <c r="A316" s="43" t="s">
        <v>1352</v>
      </c>
      <c r="B316" s="43" t="s">
        <v>790</v>
      </c>
      <c r="C316" s="43"/>
      <c r="D316" s="44" t="s">
        <v>1353</v>
      </c>
      <c r="E316" s="43"/>
      <c r="F316" s="43" t="s">
        <v>729</v>
      </c>
      <c r="G316" s="45"/>
      <c r="H316" s="45">
        <v>46161</v>
      </c>
      <c r="I316" s="43" t="s">
        <v>730</v>
      </c>
      <c r="J316" s="43" t="s">
        <v>731</v>
      </c>
      <c r="K316" s="43" t="str">
        <f>IF(LEN(D316)=10,"OK","Check")</f>
        <v>OK</v>
      </c>
      <c r="L316" s="43" t="s">
        <v>732</v>
      </c>
      <c r="M316" s="43" t="str">
        <f>IF(L316="Hold","Hold",IF(IFERROR(E316,0)&gt;=200,"High",IF(IFERROR(E316,0)&gt;=100,"Medium","Normal")))</f>
        <v>Hold</v>
      </c>
      <c r="N316" s="43" t="s">
        <v>90</v>
      </c>
      <c r="O316" s="43" t="s">
        <v>91</v>
      </c>
      <c r="P316" s="43" t="s">
        <v>92</v>
      </c>
      <c r="Q316" s="17" t="s">
        <v>93</v>
      </c>
      <c r="R316" s="45"/>
      <c r="S316" s="43"/>
      <c r="T316" s="43" t="s">
        <v>31</v>
      </c>
      <c r="U316" s="43" t="s">
        <v>94</v>
      </c>
      <c r="V316" s="43" t="s">
        <v>94</v>
      </c>
      <c r="W316" s="43" t="s">
        <v>95</v>
      </c>
      <c r="X316" s="45" t="str">
        <f>IF(AND(R316&lt;&gt;"",OR(U316="No reply",U316="Unknown")),R316+2,"")</f>
        <v/>
      </c>
      <c r="Y316" s="45"/>
      <c r="Z316" s="43" t="s">
        <v>96</v>
      </c>
      <c r="AA316" s="43" t="str">
        <f>IF(L316="Hold","Do not send",IF(T316="Not sent","Send WhatsApp",IF(U316="Demo booked","Prepare demo",IF(W316="Booked","Prepare demo",IF(AND(X316&lt;&gt;"",Y316=""),"Send follow-up","Review")))))</f>
        <v>Do not send</v>
      </c>
      <c r="AB316" s="43"/>
      <c r="AC316" s="43" t="s">
        <v>733</v>
      </c>
      <c r="AD316" s="43">
        <f>IF(AA316="Prepare demo",1,IF(AA316="Send follow-up",2,IF(AA316="Send WhatsApp",3,IF(AA316="Review",4,IF(AA316="Do not send",9,5)))))</f>
        <v>9</v>
      </c>
      <c r="AE316" s="43">
        <f>IF(M316="High",1,IF(M316="Medium",2,IF(M316="Normal",3,IF(M316="Hold",9,4))))</f>
        <v>9</v>
      </c>
      <c r="AF316" s="43">
        <f>IF(T316="Read",1,IF(T316="Delivered",2,IF(T316="Sent",3,IF(T316="Not sent",4,IF(T316="Failed",9,5)))))</f>
        <v>4</v>
      </c>
      <c r="AG316" s="43">
        <f>IF(U316="Demo booked",1,IF(U316="Interested",2,IF(U316="Replied",3,IF(U316="No reply",5,IF(U316="Not interested",8,IF(U316="Bad number",9,6))))))</f>
        <v>6</v>
      </c>
      <c r="AH316" s="46">
        <f>AD316*1000+AN316*100+AE316*10+AG316</f>
        <v>9596</v>
      </c>
      <c r="AI316" s="45">
        <f>MAX(IF(R316="",0,R316),IF(Y316="",0,Y316))</f>
        <v>0</v>
      </c>
      <c r="AJ316" s="43" t="str">
        <f ca="1">IF(AND(X316&lt;&gt;"",Y316="",X316&lt;TODAY()),"Overdue",IF(AND(X316&lt;&gt;"",Y316="",X316=TODAY()),"Due today",IF(Y316&lt;&gt;"","Follow-up sent","")))</f>
        <v/>
      </c>
      <c r="AK316" s="50" t="s">
        <v>734</v>
      </c>
      <c r="AL316" s="50" t="s">
        <v>735</v>
      </c>
      <c r="AM316" s="50" t="s">
        <v>736</v>
      </c>
      <c r="AN316" s="50">
        <v>5</v>
      </c>
      <c r="AO316" s="54" t="s">
        <v>1354</v>
      </c>
      <c r="AP316" s="57" t="s">
        <v>127</v>
      </c>
      <c r="AQ316" s="58"/>
      <c r="AR316" s="57"/>
    </row>
    <row r="317" spans="1:44" ht="54" customHeight="1" x14ac:dyDescent="0.25">
      <c r="A317" s="43" t="s">
        <v>1355</v>
      </c>
      <c r="B317" s="43" t="s">
        <v>790</v>
      </c>
      <c r="C317" s="43"/>
      <c r="D317" s="44" t="s">
        <v>1356</v>
      </c>
      <c r="E317" s="43"/>
      <c r="F317" s="43" t="s">
        <v>729</v>
      </c>
      <c r="G317" s="45"/>
      <c r="H317" s="45">
        <v>46161</v>
      </c>
      <c r="I317" s="43" t="s">
        <v>730</v>
      </c>
      <c r="J317" s="43" t="s">
        <v>731</v>
      </c>
      <c r="K317" s="43" t="str">
        <f>IF(LEN(D317)=10,"OK","Check")</f>
        <v>OK</v>
      </c>
      <c r="L317" s="43" t="s">
        <v>732</v>
      </c>
      <c r="M317" s="43" t="str">
        <f>IF(L317="Hold","Hold",IF(IFERROR(E317,0)&gt;=200,"High",IF(IFERROR(E317,0)&gt;=100,"Medium","Normal")))</f>
        <v>Hold</v>
      </c>
      <c r="N317" s="43" t="s">
        <v>90</v>
      </c>
      <c r="O317" s="43" t="s">
        <v>91</v>
      </c>
      <c r="P317" s="43" t="s">
        <v>92</v>
      </c>
      <c r="Q317" s="17" t="s">
        <v>93</v>
      </c>
      <c r="R317" s="45"/>
      <c r="S317" s="43"/>
      <c r="T317" s="43" t="s">
        <v>31</v>
      </c>
      <c r="U317" s="43" t="s">
        <v>94</v>
      </c>
      <c r="V317" s="43" t="s">
        <v>94</v>
      </c>
      <c r="W317" s="43" t="s">
        <v>95</v>
      </c>
      <c r="X317" s="45" t="str">
        <f>IF(AND(R317&lt;&gt;"",OR(U317="No reply",U317="Unknown")),R317+2,"")</f>
        <v/>
      </c>
      <c r="Y317" s="45"/>
      <c r="Z317" s="43" t="s">
        <v>96</v>
      </c>
      <c r="AA317" s="43" t="str">
        <f>IF(L317="Hold","Do not send",IF(T317="Not sent","Send WhatsApp",IF(U317="Demo booked","Prepare demo",IF(W317="Booked","Prepare demo",IF(AND(X317&lt;&gt;"",Y317=""),"Send follow-up","Review")))))</f>
        <v>Do not send</v>
      </c>
      <c r="AB317" s="43"/>
      <c r="AC317" s="43" t="s">
        <v>733</v>
      </c>
      <c r="AD317" s="43">
        <f>IF(AA317="Prepare demo",1,IF(AA317="Send follow-up",2,IF(AA317="Send WhatsApp",3,IF(AA317="Review",4,IF(AA317="Do not send",9,5)))))</f>
        <v>9</v>
      </c>
      <c r="AE317" s="43">
        <f>IF(M317="High",1,IF(M317="Medium",2,IF(M317="Normal",3,IF(M317="Hold",9,4))))</f>
        <v>9</v>
      </c>
      <c r="AF317" s="43">
        <f>IF(T317="Read",1,IF(T317="Delivered",2,IF(T317="Sent",3,IF(T317="Not sent",4,IF(T317="Failed",9,5)))))</f>
        <v>4</v>
      </c>
      <c r="AG317" s="43">
        <f>IF(U317="Demo booked",1,IF(U317="Interested",2,IF(U317="Replied",3,IF(U317="No reply",5,IF(U317="Not interested",8,IF(U317="Bad number",9,6))))))</f>
        <v>6</v>
      </c>
      <c r="AH317" s="46">
        <f>AD317*1000+AN317*100+AE317*10+AG317</f>
        <v>9596</v>
      </c>
      <c r="AI317" s="45">
        <f>MAX(IF(R317="",0,R317),IF(Y317="",0,Y317))</f>
        <v>0</v>
      </c>
      <c r="AJ317" s="43" t="str">
        <f ca="1">IF(AND(X317&lt;&gt;"",Y317="",X317&lt;TODAY()),"Overdue",IF(AND(X317&lt;&gt;"",Y317="",X317=TODAY()),"Due today",IF(Y317&lt;&gt;"","Follow-up sent","")))</f>
        <v/>
      </c>
      <c r="AK317" s="50" t="s">
        <v>734</v>
      </c>
      <c r="AL317" s="50" t="s">
        <v>735</v>
      </c>
      <c r="AM317" s="50" t="s">
        <v>736</v>
      </c>
      <c r="AN317" s="50">
        <v>5</v>
      </c>
      <c r="AO317" s="54" t="s">
        <v>1357</v>
      </c>
      <c r="AP317" s="57" t="s">
        <v>127</v>
      </c>
      <c r="AQ317" s="58"/>
      <c r="AR317" s="57"/>
    </row>
    <row r="318" spans="1:44" ht="54" customHeight="1" x14ac:dyDescent="0.25">
      <c r="A318" s="43" t="s">
        <v>1358</v>
      </c>
      <c r="B318" s="43" t="s">
        <v>790</v>
      </c>
      <c r="C318" s="43"/>
      <c r="D318" s="44" t="s">
        <v>1359</v>
      </c>
      <c r="E318" s="43"/>
      <c r="F318" s="43" t="s">
        <v>729</v>
      </c>
      <c r="G318" s="45"/>
      <c r="H318" s="45">
        <v>46161</v>
      </c>
      <c r="I318" s="43" t="s">
        <v>730</v>
      </c>
      <c r="J318" s="43" t="s">
        <v>731</v>
      </c>
      <c r="K318" s="43" t="str">
        <f>IF(LEN(D318)=10,"OK","Check")</f>
        <v>OK</v>
      </c>
      <c r="L318" s="43" t="s">
        <v>732</v>
      </c>
      <c r="M318" s="43" t="str">
        <f>IF(L318="Hold","Hold",IF(IFERROR(E318,0)&gt;=200,"High",IF(IFERROR(E318,0)&gt;=100,"Medium","Normal")))</f>
        <v>Hold</v>
      </c>
      <c r="N318" s="43" t="s">
        <v>90</v>
      </c>
      <c r="O318" s="43" t="s">
        <v>91</v>
      </c>
      <c r="P318" s="43" t="s">
        <v>92</v>
      </c>
      <c r="Q318" s="17" t="s">
        <v>93</v>
      </c>
      <c r="R318" s="45"/>
      <c r="S318" s="43"/>
      <c r="T318" s="43" t="s">
        <v>31</v>
      </c>
      <c r="U318" s="43" t="s">
        <v>94</v>
      </c>
      <c r="V318" s="43" t="s">
        <v>94</v>
      </c>
      <c r="W318" s="43" t="s">
        <v>95</v>
      </c>
      <c r="X318" s="45" t="str">
        <f>IF(AND(R318&lt;&gt;"",OR(U318="No reply",U318="Unknown")),R318+2,"")</f>
        <v/>
      </c>
      <c r="Y318" s="45"/>
      <c r="Z318" s="43" t="s">
        <v>96</v>
      </c>
      <c r="AA318" s="43" t="str">
        <f>IF(L318="Hold","Do not send",IF(T318="Not sent","Send WhatsApp",IF(U318="Demo booked","Prepare demo",IF(W318="Booked","Prepare demo",IF(AND(X318&lt;&gt;"",Y318=""),"Send follow-up","Review")))))</f>
        <v>Do not send</v>
      </c>
      <c r="AB318" s="43"/>
      <c r="AC318" s="43" t="s">
        <v>733</v>
      </c>
      <c r="AD318" s="43">
        <f>IF(AA318="Prepare demo",1,IF(AA318="Send follow-up",2,IF(AA318="Send WhatsApp",3,IF(AA318="Review",4,IF(AA318="Do not send",9,5)))))</f>
        <v>9</v>
      </c>
      <c r="AE318" s="43">
        <f>IF(M318="High",1,IF(M318="Medium",2,IF(M318="Normal",3,IF(M318="Hold",9,4))))</f>
        <v>9</v>
      </c>
      <c r="AF318" s="43">
        <f>IF(T318="Read",1,IF(T318="Delivered",2,IF(T318="Sent",3,IF(T318="Not sent",4,IF(T318="Failed",9,5)))))</f>
        <v>4</v>
      </c>
      <c r="AG318" s="43">
        <f>IF(U318="Demo booked",1,IF(U318="Interested",2,IF(U318="Replied",3,IF(U318="No reply",5,IF(U318="Not interested",8,IF(U318="Bad number",9,6))))))</f>
        <v>6</v>
      </c>
      <c r="AH318" s="46">
        <f>AD318*1000+AN318*100+AE318*10+AG318</f>
        <v>9596</v>
      </c>
      <c r="AI318" s="45">
        <f>MAX(IF(R318="",0,R318),IF(Y318="",0,Y318))</f>
        <v>0</v>
      </c>
      <c r="AJ318" s="43" t="str">
        <f ca="1">IF(AND(X318&lt;&gt;"",Y318="",X318&lt;TODAY()),"Overdue",IF(AND(X318&lt;&gt;"",Y318="",X318=TODAY()),"Due today",IF(Y318&lt;&gt;"","Follow-up sent","")))</f>
        <v/>
      </c>
      <c r="AK318" s="50" t="s">
        <v>734</v>
      </c>
      <c r="AL318" s="50" t="s">
        <v>735</v>
      </c>
      <c r="AM318" s="50" t="s">
        <v>736</v>
      </c>
      <c r="AN318" s="50">
        <v>5</v>
      </c>
      <c r="AO318" s="54" t="s">
        <v>1360</v>
      </c>
      <c r="AP318" s="57" t="s">
        <v>127</v>
      </c>
      <c r="AQ318" s="58"/>
      <c r="AR318" s="57"/>
    </row>
    <row r="319" spans="1:44" ht="54" customHeight="1" x14ac:dyDescent="0.25">
      <c r="A319" s="43" t="s">
        <v>1361</v>
      </c>
      <c r="B319" s="43" t="s">
        <v>790</v>
      </c>
      <c r="C319" s="43"/>
      <c r="D319" s="44" t="s">
        <v>1362</v>
      </c>
      <c r="E319" s="43"/>
      <c r="F319" s="43" t="s">
        <v>729</v>
      </c>
      <c r="G319" s="45"/>
      <c r="H319" s="45">
        <v>46161</v>
      </c>
      <c r="I319" s="43" t="s">
        <v>730</v>
      </c>
      <c r="J319" s="43" t="s">
        <v>731</v>
      </c>
      <c r="K319" s="43" t="str">
        <f>IF(LEN(D319)=10,"OK","Check")</f>
        <v>OK</v>
      </c>
      <c r="L319" s="43" t="s">
        <v>732</v>
      </c>
      <c r="M319" s="43" t="str">
        <f>IF(L319="Hold","Hold",IF(IFERROR(E319,0)&gt;=200,"High",IF(IFERROR(E319,0)&gt;=100,"Medium","Normal")))</f>
        <v>Hold</v>
      </c>
      <c r="N319" s="43" t="s">
        <v>90</v>
      </c>
      <c r="O319" s="43" t="s">
        <v>91</v>
      </c>
      <c r="P319" s="43" t="s">
        <v>92</v>
      </c>
      <c r="Q319" s="17" t="s">
        <v>93</v>
      </c>
      <c r="R319" s="45"/>
      <c r="S319" s="43"/>
      <c r="T319" s="43" t="s">
        <v>31</v>
      </c>
      <c r="U319" s="43" t="s">
        <v>94</v>
      </c>
      <c r="V319" s="43" t="s">
        <v>94</v>
      </c>
      <c r="W319" s="43" t="s">
        <v>95</v>
      </c>
      <c r="X319" s="45" t="str">
        <f>IF(AND(R319&lt;&gt;"",OR(U319="No reply",U319="Unknown")),R319+2,"")</f>
        <v/>
      </c>
      <c r="Y319" s="45"/>
      <c r="Z319" s="43" t="s">
        <v>96</v>
      </c>
      <c r="AA319" s="43" t="str">
        <f>IF(L319="Hold","Do not send",IF(T319="Not sent","Send WhatsApp",IF(U319="Demo booked","Prepare demo",IF(W319="Booked","Prepare demo",IF(AND(X319&lt;&gt;"",Y319=""),"Send follow-up","Review")))))</f>
        <v>Do not send</v>
      </c>
      <c r="AB319" s="43"/>
      <c r="AC319" s="43" t="s">
        <v>733</v>
      </c>
      <c r="AD319" s="43">
        <f>IF(AA319="Prepare demo",1,IF(AA319="Send follow-up",2,IF(AA319="Send WhatsApp",3,IF(AA319="Review",4,IF(AA319="Do not send",9,5)))))</f>
        <v>9</v>
      </c>
      <c r="AE319" s="43">
        <f>IF(M319="High",1,IF(M319="Medium",2,IF(M319="Normal",3,IF(M319="Hold",9,4))))</f>
        <v>9</v>
      </c>
      <c r="AF319" s="43">
        <f>IF(T319="Read",1,IF(T319="Delivered",2,IF(T319="Sent",3,IF(T319="Not sent",4,IF(T319="Failed",9,5)))))</f>
        <v>4</v>
      </c>
      <c r="AG319" s="43">
        <f>IF(U319="Demo booked",1,IF(U319="Interested",2,IF(U319="Replied",3,IF(U319="No reply",5,IF(U319="Not interested",8,IF(U319="Bad number",9,6))))))</f>
        <v>6</v>
      </c>
      <c r="AH319" s="46">
        <f>AD319*1000+AN319*100+AE319*10+AG319</f>
        <v>9596</v>
      </c>
      <c r="AI319" s="45">
        <f>MAX(IF(R319="",0,R319),IF(Y319="",0,Y319))</f>
        <v>0</v>
      </c>
      <c r="AJ319" s="43" t="str">
        <f ca="1">IF(AND(X319&lt;&gt;"",Y319="",X319&lt;TODAY()),"Overdue",IF(AND(X319&lt;&gt;"",Y319="",X319=TODAY()),"Due today",IF(Y319&lt;&gt;"","Follow-up sent","")))</f>
        <v/>
      </c>
      <c r="AK319" s="50" t="s">
        <v>734</v>
      </c>
      <c r="AL319" s="50" t="s">
        <v>735</v>
      </c>
      <c r="AM319" s="50" t="s">
        <v>736</v>
      </c>
      <c r="AN319" s="50">
        <v>5</v>
      </c>
      <c r="AO319" s="54" t="s">
        <v>1363</v>
      </c>
      <c r="AP319" s="57" t="s">
        <v>127</v>
      </c>
      <c r="AQ319" s="58"/>
      <c r="AR319" s="57"/>
    </row>
    <row r="320" spans="1:44" ht="54" customHeight="1" x14ac:dyDescent="0.25">
      <c r="A320" s="43" t="s">
        <v>1364</v>
      </c>
      <c r="B320" s="43" t="s">
        <v>790</v>
      </c>
      <c r="C320" s="43"/>
      <c r="D320" s="44" t="s">
        <v>1365</v>
      </c>
      <c r="E320" s="43"/>
      <c r="F320" s="43" t="s">
        <v>729</v>
      </c>
      <c r="G320" s="45"/>
      <c r="H320" s="45">
        <v>46161</v>
      </c>
      <c r="I320" s="43" t="s">
        <v>730</v>
      </c>
      <c r="J320" s="43" t="s">
        <v>731</v>
      </c>
      <c r="K320" s="43" t="str">
        <f>IF(LEN(D320)=10,"OK","Check")</f>
        <v>OK</v>
      </c>
      <c r="L320" s="43" t="s">
        <v>732</v>
      </c>
      <c r="M320" s="43" t="str">
        <f>IF(L320="Hold","Hold",IF(IFERROR(E320,0)&gt;=200,"High",IF(IFERROR(E320,0)&gt;=100,"Medium","Normal")))</f>
        <v>Hold</v>
      </c>
      <c r="N320" s="43" t="s">
        <v>90</v>
      </c>
      <c r="O320" s="43" t="s">
        <v>91</v>
      </c>
      <c r="P320" s="43" t="s">
        <v>92</v>
      </c>
      <c r="Q320" s="17" t="s">
        <v>93</v>
      </c>
      <c r="R320" s="45"/>
      <c r="S320" s="43"/>
      <c r="T320" s="43" t="s">
        <v>31</v>
      </c>
      <c r="U320" s="43" t="s">
        <v>94</v>
      </c>
      <c r="V320" s="43" t="s">
        <v>94</v>
      </c>
      <c r="W320" s="43" t="s">
        <v>95</v>
      </c>
      <c r="X320" s="45" t="str">
        <f>IF(AND(R320&lt;&gt;"",OR(U320="No reply",U320="Unknown")),R320+2,"")</f>
        <v/>
      </c>
      <c r="Y320" s="45"/>
      <c r="Z320" s="43" t="s">
        <v>96</v>
      </c>
      <c r="AA320" s="43" t="str">
        <f>IF(L320="Hold","Do not send",IF(T320="Not sent","Send WhatsApp",IF(U320="Demo booked","Prepare demo",IF(W320="Booked","Prepare demo",IF(AND(X320&lt;&gt;"",Y320=""),"Send follow-up","Review")))))</f>
        <v>Do not send</v>
      </c>
      <c r="AB320" s="43"/>
      <c r="AC320" s="43" t="s">
        <v>733</v>
      </c>
      <c r="AD320" s="43">
        <f>IF(AA320="Prepare demo",1,IF(AA320="Send follow-up",2,IF(AA320="Send WhatsApp",3,IF(AA320="Review",4,IF(AA320="Do not send",9,5)))))</f>
        <v>9</v>
      </c>
      <c r="AE320" s="43">
        <f>IF(M320="High",1,IF(M320="Medium",2,IF(M320="Normal",3,IF(M320="Hold",9,4))))</f>
        <v>9</v>
      </c>
      <c r="AF320" s="43">
        <f>IF(T320="Read",1,IF(T320="Delivered",2,IF(T320="Sent",3,IF(T320="Not sent",4,IF(T320="Failed",9,5)))))</f>
        <v>4</v>
      </c>
      <c r="AG320" s="43">
        <f>IF(U320="Demo booked",1,IF(U320="Interested",2,IF(U320="Replied",3,IF(U320="No reply",5,IF(U320="Not interested",8,IF(U320="Bad number",9,6))))))</f>
        <v>6</v>
      </c>
      <c r="AH320" s="46">
        <f>AD320*1000+AN320*100+AE320*10+AG320</f>
        <v>9596</v>
      </c>
      <c r="AI320" s="45">
        <f>MAX(IF(R320="",0,R320),IF(Y320="",0,Y320))</f>
        <v>0</v>
      </c>
      <c r="AJ320" s="43" t="str">
        <f ca="1">IF(AND(X320&lt;&gt;"",Y320="",X320&lt;TODAY()),"Overdue",IF(AND(X320&lt;&gt;"",Y320="",X320=TODAY()),"Due today",IF(Y320&lt;&gt;"","Follow-up sent","")))</f>
        <v/>
      </c>
      <c r="AK320" s="50" t="s">
        <v>734</v>
      </c>
      <c r="AL320" s="50" t="s">
        <v>735</v>
      </c>
      <c r="AM320" s="50" t="s">
        <v>736</v>
      </c>
      <c r="AN320" s="50">
        <v>5</v>
      </c>
      <c r="AO320" s="54" t="s">
        <v>1366</v>
      </c>
      <c r="AP320" s="57" t="s">
        <v>127</v>
      </c>
      <c r="AQ320" s="58"/>
      <c r="AR320" s="57"/>
    </row>
    <row r="321" spans="1:44" ht="54" customHeight="1" x14ac:dyDescent="0.25">
      <c r="A321" s="43" t="s">
        <v>1367</v>
      </c>
      <c r="B321" s="43" t="s">
        <v>790</v>
      </c>
      <c r="C321" s="43"/>
      <c r="D321" s="44" t="s">
        <v>1368</v>
      </c>
      <c r="E321" s="43"/>
      <c r="F321" s="43" t="s">
        <v>729</v>
      </c>
      <c r="G321" s="45"/>
      <c r="H321" s="45">
        <v>46161</v>
      </c>
      <c r="I321" s="43" t="s">
        <v>730</v>
      </c>
      <c r="J321" s="43" t="s">
        <v>731</v>
      </c>
      <c r="K321" s="43" t="str">
        <f>IF(LEN(D321)=10,"OK","Check")</f>
        <v>OK</v>
      </c>
      <c r="L321" s="43" t="s">
        <v>732</v>
      </c>
      <c r="M321" s="43" t="str">
        <f>IF(L321="Hold","Hold",IF(IFERROR(E321,0)&gt;=200,"High",IF(IFERROR(E321,0)&gt;=100,"Medium","Normal")))</f>
        <v>Hold</v>
      </c>
      <c r="N321" s="43" t="s">
        <v>90</v>
      </c>
      <c r="O321" s="43" t="s">
        <v>91</v>
      </c>
      <c r="P321" s="43" t="s">
        <v>92</v>
      </c>
      <c r="Q321" s="17" t="s">
        <v>93</v>
      </c>
      <c r="R321" s="45"/>
      <c r="S321" s="43"/>
      <c r="T321" s="43" t="s">
        <v>31</v>
      </c>
      <c r="U321" s="43" t="s">
        <v>94</v>
      </c>
      <c r="V321" s="43" t="s">
        <v>94</v>
      </c>
      <c r="W321" s="43" t="s">
        <v>95</v>
      </c>
      <c r="X321" s="45" t="str">
        <f>IF(AND(R321&lt;&gt;"",OR(U321="No reply",U321="Unknown")),R321+2,"")</f>
        <v/>
      </c>
      <c r="Y321" s="45"/>
      <c r="Z321" s="43" t="s">
        <v>96</v>
      </c>
      <c r="AA321" s="43" t="str">
        <f>IF(L321="Hold","Do not send",IF(T321="Not sent","Send WhatsApp",IF(U321="Demo booked","Prepare demo",IF(W321="Booked","Prepare demo",IF(AND(X321&lt;&gt;"",Y321=""),"Send follow-up","Review")))))</f>
        <v>Do not send</v>
      </c>
      <c r="AB321" s="43"/>
      <c r="AC321" s="43" t="s">
        <v>733</v>
      </c>
      <c r="AD321" s="43">
        <f>IF(AA321="Prepare demo",1,IF(AA321="Send follow-up",2,IF(AA321="Send WhatsApp",3,IF(AA321="Review",4,IF(AA321="Do not send",9,5)))))</f>
        <v>9</v>
      </c>
      <c r="AE321" s="43">
        <f>IF(M321="High",1,IF(M321="Medium",2,IF(M321="Normal",3,IF(M321="Hold",9,4))))</f>
        <v>9</v>
      </c>
      <c r="AF321" s="43">
        <f>IF(T321="Read",1,IF(T321="Delivered",2,IF(T321="Sent",3,IF(T321="Not sent",4,IF(T321="Failed",9,5)))))</f>
        <v>4</v>
      </c>
      <c r="AG321" s="43">
        <f>IF(U321="Demo booked",1,IF(U321="Interested",2,IF(U321="Replied",3,IF(U321="No reply",5,IF(U321="Not interested",8,IF(U321="Bad number",9,6))))))</f>
        <v>6</v>
      </c>
      <c r="AH321" s="46">
        <f>AD321*1000+AN321*100+AE321*10+AG321</f>
        <v>9596</v>
      </c>
      <c r="AI321" s="45">
        <f>MAX(IF(R321="",0,R321),IF(Y321="",0,Y321))</f>
        <v>0</v>
      </c>
      <c r="AJ321" s="43" t="str">
        <f ca="1">IF(AND(X321&lt;&gt;"",Y321="",X321&lt;TODAY()),"Overdue",IF(AND(X321&lt;&gt;"",Y321="",X321=TODAY()),"Due today",IF(Y321&lt;&gt;"","Follow-up sent","")))</f>
        <v/>
      </c>
      <c r="AK321" s="50" t="s">
        <v>734</v>
      </c>
      <c r="AL321" s="50" t="s">
        <v>735</v>
      </c>
      <c r="AM321" s="50" t="s">
        <v>736</v>
      </c>
      <c r="AN321" s="50">
        <v>5</v>
      </c>
      <c r="AO321" s="54" t="s">
        <v>1369</v>
      </c>
      <c r="AP321" s="57" t="s">
        <v>127</v>
      </c>
      <c r="AQ321" s="58"/>
      <c r="AR321" s="57"/>
    </row>
    <row r="322" spans="1:44" ht="54" customHeight="1" x14ac:dyDescent="0.25">
      <c r="A322" s="43" t="s">
        <v>1370</v>
      </c>
      <c r="B322" s="43" t="s">
        <v>790</v>
      </c>
      <c r="C322" s="43"/>
      <c r="D322" s="44" t="s">
        <v>1371</v>
      </c>
      <c r="E322" s="43"/>
      <c r="F322" s="43" t="s">
        <v>729</v>
      </c>
      <c r="G322" s="45"/>
      <c r="H322" s="45">
        <v>46161</v>
      </c>
      <c r="I322" s="43" t="s">
        <v>730</v>
      </c>
      <c r="J322" s="43" t="s">
        <v>731</v>
      </c>
      <c r="K322" s="43" t="str">
        <f>IF(LEN(D322)=10,"OK","Check")</f>
        <v>OK</v>
      </c>
      <c r="L322" s="43" t="s">
        <v>732</v>
      </c>
      <c r="M322" s="43" t="str">
        <f>IF(L322="Hold","Hold",IF(IFERROR(E322,0)&gt;=200,"High",IF(IFERROR(E322,0)&gt;=100,"Medium","Normal")))</f>
        <v>Hold</v>
      </c>
      <c r="N322" s="43" t="s">
        <v>90</v>
      </c>
      <c r="O322" s="43" t="s">
        <v>91</v>
      </c>
      <c r="P322" s="43" t="s">
        <v>92</v>
      </c>
      <c r="Q322" s="17" t="s">
        <v>93</v>
      </c>
      <c r="R322" s="45"/>
      <c r="S322" s="43"/>
      <c r="T322" s="43" t="s">
        <v>31</v>
      </c>
      <c r="U322" s="43" t="s">
        <v>94</v>
      </c>
      <c r="V322" s="43" t="s">
        <v>94</v>
      </c>
      <c r="W322" s="43" t="s">
        <v>95</v>
      </c>
      <c r="X322" s="45" t="str">
        <f>IF(AND(R322&lt;&gt;"",OR(U322="No reply",U322="Unknown")),R322+2,"")</f>
        <v/>
      </c>
      <c r="Y322" s="45"/>
      <c r="Z322" s="43" t="s">
        <v>96</v>
      </c>
      <c r="AA322" s="43" t="str">
        <f>IF(L322="Hold","Do not send",IF(T322="Not sent","Send WhatsApp",IF(U322="Demo booked","Prepare demo",IF(W322="Booked","Prepare demo",IF(AND(X322&lt;&gt;"",Y322=""),"Send follow-up","Review")))))</f>
        <v>Do not send</v>
      </c>
      <c r="AB322" s="43"/>
      <c r="AC322" s="43" t="s">
        <v>733</v>
      </c>
      <c r="AD322" s="43">
        <f>IF(AA322="Prepare demo",1,IF(AA322="Send follow-up",2,IF(AA322="Send WhatsApp",3,IF(AA322="Review",4,IF(AA322="Do not send",9,5)))))</f>
        <v>9</v>
      </c>
      <c r="AE322" s="43">
        <f>IF(M322="High",1,IF(M322="Medium",2,IF(M322="Normal",3,IF(M322="Hold",9,4))))</f>
        <v>9</v>
      </c>
      <c r="AF322" s="43">
        <f>IF(T322="Read",1,IF(T322="Delivered",2,IF(T322="Sent",3,IF(T322="Not sent",4,IF(T322="Failed",9,5)))))</f>
        <v>4</v>
      </c>
      <c r="AG322" s="43">
        <f>IF(U322="Demo booked",1,IF(U322="Interested",2,IF(U322="Replied",3,IF(U322="No reply",5,IF(U322="Not interested",8,IF(U322="Bad number",9,6))))))</f>
        <v>6</v>
      </c>
      <c r="AH322" s="46">
        <f>AD322*1000+AN322*100+AE322*10+AG322</f>
        <v>9596</v>
      </c>
      <c r="AI322" s="45">
        <f>MAX(IF(R322="",0,R322),IF(Y322="",0,Y322))</f>
        <v>0</v>
      </c>
      <c r="AJ322" s="43" t="str">
        <f ca="1">IF(AND(X322&lt;&gt;"",Y322="",X322&lt;TODAY()),"Overdue",IF(AND(X322&lt;&gt;"",Y322="",X322=TODAY()),"Due today",IF(Y322&lt;&gt;"","Follow-up sent","")))</f>
        <v/>
      </c>
      <c r="AK322" s="50" t="s">
        <v>734</v>
      </c>
      <c r="AL322" s="50" t="s">
        <v>735</v>
      </c>
      <c r="AM322" s="50" t="s">
        <v>736</v>
      </c>
      <c r="AN322" s="50">
        <v>5</v>
      </c>
      <c r="AO322" s="54" t="s">
        <v>1372</v>
      </c>
      <c r="AP322" s="57" t="s">
        <v>127</v>
      </c>
      <c r="AQ322" s="58"/>
      <c r="AR322" s="57"/>
    </row>
    <row r="323" spans="1:44" ht="54" customHeight="1" x14ac:dyDescent="0.25">
      <c r="A323" s="43" t="s">
        <v>1373</v>
      </c>
      <c r="B323" s="43" t="s">
        <v>790</v>
      </c>
      <c r="C323" s="43"/>
      <c r="D323" s="44" t="s">
        <v>1374</v>
      </c>
      <c r="E323" s="43"/>
      <c r="F323" s="43" t="s">
        <v>729</v>
      </c>
      <c r="G323" s="45"/>
      <c r="H323" s="45">
        <v>46161</v>
      </c>
      <c r="I323" s="43" t="s">
        <v>730</v>
      </c>
      <c r="J323" s="43" t="s">
        <v>731</v>
      </c>
      <c r="K323" s="43" t="str">
        <f>IF(LEN(D323)=10,"OK","Check")</f>
        <v>OK</v>
      </c>
      <c r="L323" s="43" t="s">
        <v>732</v>
      </c>
      <c r="M323" s="43" t="str">
        <f>IF(L323="Hold","Hold",IF(IFERROR(E323,0)&gt;=200,"High",IF(IFERROR(E323,0)&gt;=100,"Medium","Normal")))</f>
        <v>Hold</v>
      </c>
      <c r="N323" s="43" t="s">
        <v>90</v>
      </c>
      <c r="O323" s="43" t="s">
        <v>91</v>
      </c>
      <c r="P323" s="43" t="s">
        <v>92</v>
      </c>
      <c r="Q323" s="17" t="s">
        <v>93</v>
      </c>
      <c r="R323" s="45"/>
      <c r="S323" s="43"/>
      <c r="T323" s="43" t="s">
        <v>31</v>
      </c>
      <c r="U323" s="43" t="s">
        <v>94</v>
      </c>
      <c r="V323" s="43" t="s">
        <v>94</v>
      </c>
      <c r="W323" s="43" t="s">
        <v>95</v>
      </c>
      <c r="X323" s="45" t="str">
        <f>IF(AND(R323&lt;&gt;"",OR(U323="No reply",U323="Unknown")),R323+2,"")</f>
        <v/>
      </c>
      <c r="Y323" s="45"/>
      <c r="Z323" s="43" t="s">
        <v>96</v>
      </c>
      <c r="AA323" s="43" t="str">
        <f>IF(L323="Hold","Do not send",IF(T323="Not sent","Send WhatsApp",IF(U323="Demo booked","Prepare demo",IF(W323="Booked","Prepare demo",IF(AND(X323&lt;&gt;"",Y323=""),"Send follow-up","Review")))))</f>
        <v>Do not send</v>
      </c>
      <c r="AB323" s="43"/>
      <c r="AC323" s="43" t="s">
        <v>733</v>
      </c>
      <c r="AD323" s="43">
        <f>IF(AA323="Prepare demo",1,IF(AA323="Send follow-up",2,IF(AA323="Send WhatsApp",3,IF(AA323="Review",4,IF(AA323="Do not send",9,5)))))</f>
        <v>9</v>
      </c>
      <c r="AE323" s="43">
        <f>IF(M323="High",1,IF(M323="Medium",2,IF(M323="Normal",3,IF(M323="Hold",9,4))))</f>
        <v>9</v>
      </c>
      <c r="AF323" s="43">
        <f>IF(T323="Read",1,IF(T323="Delivered",2,IF(T323="Sent",3,IF(T323="Not sent",4,IF(T323="Failed",9,5)))))</f>
        <v>4</v>
      </c>
      <c r="AG323" s="43">
        <f>IF(U323="Demo booked",1,IF(U323="Interested",2,IF(U323="Replied",3,IF(U323="No reply",5,IF(U323="Not interested",8,IF(U323="Bad number",9,6))))))</f>
        <v>6</v>
      </c>
      <c r="AH323" s="46">
        <f>AD323*1000+AN323*100+AE323*10+AG323</f>
        <v>9596</v>
      </c>
      <c r="AI323" s="45">
        <f>MAX(IF(R323="",0,R323),IF(Y323="",0,Y323))</f>
        <v>0</v>
      </c>
      <c r="AJ323" s="43" t="str">
        <f ca="1">IF(AND(X323&lt;&gt;"",Y323="",X323&lt;TODAY()),"Overdue",IF(AND(X323&lt;&gt;"",Y323="",X323=TODAY()),"Due today",IF(Y323&lt;&gt;"","Follow-up sent","")))</f>
        <v/>
      </c>
      <c r="AK323" s="50" t="s">
        <v>734</v>
      </c>
      <c r="AL323" s="50" t="s">
        <v>735</v>
      </c>
      <c r="AM323" s="50" t="s">
        <v>736</v>
      </c>
      <c r="AN323" s="50">
        <v>5</v>
      </c>
      <c r="AO323" s="54" t="s">
        <v>1375</v>
      </c>
      <c r="AP323" s="57" t="s">
        <v>127</v>
      </c>
      <c r="AQ323" s="58"/>
      <c r="AR323" s="57"/>
    </row>
    <row r="324" spans="1:44" ht="54" customHeight="1" x14ac:dyDescent="0.25">
      <c r="A324" s="43" t="s">
        <v>1376</v>
      </c>
      <c r="B324" s="43" t="s">
        <v>790</v>
      </c>
      <c r="C324" s="43"/>
      <c r="D324" s="44" t="s">
        <v>1377</v>
      </c>
      <c r="E324" s="43"/>
      <c r="F324" s="43" t="s">
        <v>729</v>
      </c>
      <c r="G324" s="45"/>
      <c r="H324" s="45">
        <v>46161</v>
      </c>
      <c r="I324" s="43" t="s">
        <v>730</v>
      </c>
      <c r="J324" s="43" t="s">
        <v>731</v>
      </c>
      <c r="K324" s="43" t="str">
        <f>IF(LEN(D324)=10,"OK","Check")</f>
        <v>OK</v>
      </c>
      <c r="L324" s="43" t="s">
        <v>732</v>
      </c>
      <c r="M324" s="43" t="str">
        <f>IF(L324="Hold","Hold",IF(IFERROR(E324,0)&gt;=200,"High",IF(IFERROR(E324,0)&gt;=100,"Medium","Normal")))</f>
        <v>Hold</v>
      </c>
      <c r="N324" s="43" t="s">
        <v>90</v>
      </c>
      <c r="O324" s="43" t="s">
        <v>91</v>
      </c>
      <c r="P324" s="43" t="s">
        <v>92</v>
      </c>
      <c r="Q324" s="17" t="s">
        <v>93</v>
      </c>
      <c r="R324" s="45"/>
      <c r="S324" s="43"/>
      <c r="T324" s="43" t="s">
        <v>31</v>
      </c>
      <c r="U324" s="43" t="s">
        <v>94</v>
      </c>
      <c r="V324" s="43" t="s">
        <v>94</v>
      </c>
      <c r="W324" s="43" t="s">
        <v>95</v>
      </c>
      <c r="X324" s="45" t="str">
        <f>IF(AND(R324&lt;&gt;"",OR(U324="No reply",U324="Unknown")),R324+2,"")</f>
        <v/>
      </c>
      <c r="Y324" s="45"/>
      <c r="Z324" s="43" t="s">
        <v>96</v>
      </c>
      <c r="AA324" s="43" t="str">
        <f>IF(L324="Hold","Do not send",IF(T324="Not sent","Send WhatsApp",IF(U324="Demo booked","Prepare demo",IF(W324="Booked","Prepare demo",IF(AND(X324&lt;&gt;"",Y324=""),"Send follow-up","Review")))))</f>
        <v>Do not send</v>
      </c>
      <c r="AB324" s="43"/>
      <c r="AC324" s="43" t="s">
        <v>733</v>
      </c>
      <c r="AD324" s="43">
        <f>IF(AA324="Prepare demo",1,IF(AA324="Send follow-up",2,IF(AA324="Send WhatsApp",3,IF(AA324="Review",4,IF(AA324="Do not send",9,5)))))</f>
        <v>9</v>
      </c>
      <c r="AE324" s="43">
        <f>IF(M324="High",1,IF(M324="Medium",2,IF(M324="Normal",3,IF(M324="Hold",9,4))))</f>
        <v>9</v>
      </c>
      <c r="AF324" s="43">
        <f>IF(T324="Read",1,IF(T324="Delivered",2,IF(T324="Sent",3,IF(T324="Not sent",4,IF(T324="Failed",9,5)))))</f>
        <v>4</v>
      </c>
      <c r="AG324" s="43">
        <f>IF(U324="Demo booked",1,IF(U324="Interested",2,IF(U324="Replied",3,IF(U324="No reply",5,IF(U324="Not interested",8,IF(U324="Bad number",9,6))))))</f>
        <v>6</v>
      </c>
      <c r="AH324" s="46">
        <f>AD324*1000+AN324*100+AE324*10+AG324</f>
        <v>9596</v>
      </c>
      <c r="AI324" s="45">
        <f>MAX(IF(R324="",0,R324),IF(Y324="",0,Y324))</f>
        <v>0</v>
      </c>
      <c r="AJ324" s="43" t="str">
        <f ca="1">IF(AND(X324&lt;&gt;"",Y324="",X324&lt;TODAY()),"Overdue",IF(AND(X324&lt;&gt;"",Y324="",X324=TODAY()),"Due today",IF(Y324&lt;&gt;"","Follow-up sent","")))</f>
        <v/>
      </c>
      <c r="AK324" s="50" t="s">
        <v>734</v>
      </c>
      <c r="AL324" s="50" t="s">
        <v>735</v>
      </c>
      <c r="AM324" s="50" t="s">
        <v>736</v>
      </c>
      <c r="AN324" s="50">
        <v>5</v>
      </c>
      <c r="AO324" s="54" t="s">
        <v>1378</v>
      </c>
      <c r="AP324" s="57" t="s">
        <v>127</v>
      </c>
      <c r="AQ324" s="58"/>
      <c r="AR324" s="57"/>
    </row>
    <row r="325" spans="1:44" ht="54" customHeight="1" x14ac:dyDescent="0.25">
      <c r="A325" s="43" t="s">
        <v>1379</v>
      </c>
      <c r="B325" s="43" t="s">
        <v>790</v>
      </c>
      <c r="C325" s="43"/>
      <c r="D325" s="44" t="s">
        <v>1380</v>
      </c>
      <c r="E325" s="43"/>
      <c r="F325" s="43" t="s">
        <v>729</v>
      </c>
      <c r="G325" s="45"/>
      <c r="H325" s="45">
        <v>46161</v>
      </c>
      <c r="I325" s="43" t="s">
        <v>730</v>
      </c>
      <c r="J325" s="43" t="s">
        <v>731</v>
      </c>
      <c r="K325" s="43" t="str">
        <f>IF(LEN(D325)=10,"OK","Check")</f>
        <v>OK</v>
      </c>
      <c r="L325" s="43" t="s">
        <v>732</v>
      </c>
      <c r="M325" s="43" t="str">
        <f>IF(L325="Hold","Hold",IF(IFERROR(E325,0)&gt;=200,"High",IF(IFERROR(E325,0)&gt;=100,"Medium","Normal")))</f>
        <v>Hold</v>
      </c>
      <c r="N325" s="43" t="s">
        <v>90</v>
      </c>
      <c r="O325" s="43" t="s">
        <v>91</v>
      </c>
      <c r="P325" s="43" t="s">
        <v>92</v>
      </c>
      <c r="Q325" s="17" t="s">
        <v>93</v>
      </c>
      <c r="R325" s="45"/>
      <c r="S325" s="43"/>
      <c r="T325" s="43" t="s">
        <v>31</v>
      </c>
      <c r="U325" s="43" t="s">
        <v>94</v>
      </c>
      <c r="V325" s="43" t="s">
        <v>94</v>
      </c>
      <c r="W325" s="43" t="s">
        <v>95</v>
      </c>
      <c r="X325" s="45" t="str">
        <f>IF(AND(R325&lt;&gt;"",OR(U325="No reply",U325="Unknown")),R325+2,"")</f>
        <v/>
      </c>
      <c r="Y325" s="45"/>
      <c r="Z325" s="43" t="s">
        <v>96</v>
      </c>
      <c r="AA325" s="43" t="str">
        <f>IF(L325="Hold","Do not send",IF(T325="Not sent","Send WhatsApp",IF(U325="Demo booked","Prepare demo",IF(W325="Booked","Prepare demo",IF(AND(X325&lt;&gt;"",Y325=""),"Send follow-up","Review")))))</f>
        <v>Do not send</v>
      </c>
      <c r="AB325" s="43"/>
      <c r="AC325" s="43" t="s">
        <v>733</v>
      </c>
      <c r="AD325" s="43">
        <f>IF(AA325="Prepare demo",1,IF(AA325="Send follow-up",2,IF(AA325="Send WhatsApp",3,IF(AA325="Review",4,IF(AA325="Do not send",9,5)))))</f>
        <v>9</v>
      </c>
      <c r="AE325" s="43">
        <f>IF(M325="High",1,IF(M325="Medium",2,IF(M325="Normal",3,IF(M325="Hold",9,4))))</f>
        <v>9</v>
      </c>
      <c r="AF325" s="43">
        <f>IF(T325="Read",1,IF(T325="Delivered",2,IF(T325="Sent",3,IF(T325="Not sent",4,IF(T325="Failed",9,5)))))</f>
        <v>4</v>
      </c>
      <c r="AG325" s="43">
        <f>IF(U325="Demo booked",1,IF(U325="Interested",2,IF(U325="Replied",3,IF(U325="No reply",5,IF(U325="Not interested",8,IF(U325="Bad number",9,6))))))</f>
        <v>6</v>
      </c>
      <c r="AH325" s="46">
        <f>AD325*1000+AN325*100+AE325*10+AG325</f>
        <v>9596</v>
      </c>
      <c r="AI325" s="45">
        <f>MAX(IF(R325="",0,R325),IF(Y325="",0,Y325))</f>
        <v>0</v>
      </c>
      <c r="AJ325" s="43" t="str">
        <f ca="1">IF(AND(X325&lt;&gt;"",Y325="",X325&lt;TODAY()),"Overdue",IF(AND(X325&lt;&gt;"",Y325="",X325=TODAY()),"Due today",IF(Y325&lt;&gt;"","Follow-up sent","")))</f>
        <v/>
      </c>
      <c r="AK325" s="50" t="s">
        <v>734</v>
      </c>
      <c r="AL325" s="50" t="s">
        <v>735</v>
      </c>
      <c r="AM325" s="50" t="s">
        <v>736</v>
      </c>
      <c r="AN325" s="50">
        <v>5</v>
      </c>
      <c r="AO325" s="54" t="s">
        <v>1381</v>
      </c>
      <c r="AP325" s="57" t="s">
        <v>127</v>
      </c>
      <c r="AQ325" s="58"/>
      <c r="AR325" s="57"/>
    </row>
    <row r="326" spans="1:44" ht="54" customHeight="1" x14ac:dyDescent="0.25">
      <c r="A326" s="43" t="s">
        <v>1382</v>
      </c>
      <c r="B326" s="43" t="s">
        <v>790</v>
      </c>
      <c r="C326" s="43"/>
      <c r="D326" s="44" t="s">
        <v>1383</v>
      </c>
      <c r="E326" s="43"/>
      <c r="F326" s="43" t="s">
        <v>729</v>
      </c>
      <c r="G326" s="45"/>
      <c r="H326" s="45">
        <v>46161</v>
      </c>
      <c r="I326" s="43" t="s">
        <v>730</v>
      </c>
      <c r="J326" s="43" t="s">
        <v>731</v>
      </c>
      <c r="K326" s="43" t="str">
        <f>IF(LEN(D326)=10,"OK","Check")</f>
        <v>OK</v>
      </c>
      <c r="L326" s="43" t="s">
        <v>732</v>
      </c>
      <c r="M326" s="43" t="str">
        <f>IF(L326="Hold","Hold",IF(IFERROR(E326,0)&gt;=200,"High",IF(IFERROR(E326,0)&gt;=100,"Medium","Normal")))</f>
        <v>Hold</v>
      </c>
      <c r="N326" s="43" t="s">
        <v>90</v>
      </c>
      <c r="O326" s="43" t="s">
        <v>91</v>
      </c>
      <c r="P326" s="43" t="s">
        <v>92</v>
      </c>
      <c r="Q326" s="17" t="s">
        <v>93</v>
      </c>
      <c r="R326" s="45"/>
      <c r="S326" s="43"/>
      <c r="T326" s="43" t="s">
        <v>31</v>
      </c>
      <c r="U326" s="43" t="s">
        <v>94</v>
      </c>
      <c r="V326" s="43" t="s">
        <v>94</v>
      </c>
      <c r="W326" s="43" t="s">
        <v>95</v>
      </c>
      <c r="X326" s="45" t="str">
        <f>IF(AND(R326&lt;&gt;"",OR(U326="No reply",U326="Unknown")),R326+2,"")</f>
        <v/>
      </c>
      <c r="Y326" s="45"/>
      <c r="Z326" s="43" t="s">
        <v>96</v>
      </c>
      <c r="AA326" s="43" t="str">
        <f>IF(L326="Hold","Do not send",IF(T326="Not sent","Send WhatsApp",IF(U326="Demo booked","Prepare demo",IF(W326="Booked","Prepare demo",IF(AND(X326&lt;&gt;"",Y326=""),"Send follow-up","Review")))))</f>
        <v>Do not send</v>
      </c>
      <c r="AB326" s="43"/>
      <c r="AC326" s="43" t="s">
        <v>733</v>
      </c>
      <c r="AD326" s="43">
        <f>IF(AA326="Prepare demo",1,IF(AA326="Send follow-up",2,IF(AA326="Send WhatsApp",3,IF(AA326="Review",4,IF(AA326="Do not send",9,5)))))</f>
        <v>9</v>
      </c>
      <c r="AE326" s="43">
        <f>IF(M326="High",1,IF(M326="Medium",2,IF(M326="Normal",3,IF(M326="Hold",9,4))))</f>
        <v>9</v>
      </c>
      <c r="AF326" s="43">
        <f>IF(T326="Read",1,IF(T326="Delivered",2,IF(T326="Sent",3,IF(T326="Not sent",4,IF(T326="Failed",9,5)))))</f>
        <v>4</v>
      </c>
      <c r="AG326" s="43">
        <f>IF(U326="Demo booked",1,IF(U326="Interested",2,IF(U326="Replied",3,IF(U326="No reply",5,IF(U326="Not interested",8,IF(U326="Bad number",9,6))))))</f>
        <v>6</v>
      </c>
      <c r="AH326" s="46">
        <f>AD326*1000+AN326*100+AE326*10+AG326</f>
        <v>9596</v>
      </c>
      <c r="AI326" s="45">
        <f>MAX(IF(R326="",0,R326),IF(Y326="",0,Y326))</f>
        <v>0</v>
      </c>
      <c r="AJ326" s="43" t="str">
        <f ca="1">IF(AND(X326&lt;&gt;"",Y326="",X326&lt;TODAY()),"Overdue",IF(AND(X326&lt;&gt;"",Y326="",X326=TODAY()),"Due today",IF(Y326&lt;&gt;"","Follow-up sent","")))</f>
        <v/>
      </c>
      <c r="AK326" s="50" t="s">
        <v>734</v>
      </c>
      <c r="AL326" s="50" t="s">
        <v>735</v>
      </c>
      <c r="AM326" s="50" t="s">
        <v>736</v>
      </c>
      <c r="AN326" s="50">
        <v>5</v>
      </c>
      <c r="AO326" s="54" t="s">
        <v>1384</v>
      </c>
      <c r="AP326" s="57" t="s">
        <v>127</v>
      </c>
      <c r="AQ326" s="58"/>
      <c r="AR326" s="57"/>
    </row>
    <row r="327" spans="1:44" ht="54" customHeight="1" x14ac:dyDescent="0.25">
      <c r="A327" s="43" t="s">
        <v>1385</v>
      </c>
      <c r="B327" s="43" t="s">
        <v>790</v>
      </c>
      <c r="C327" s="43"/>
      <c r="D327" s="44" t="s">
        <v>1386</v>
      </c>
      <c r="E327" s="43"/>
      <c r="F327" s="43" t="s">
        <v>729</v>
      </c>
      <c r="G327" s="45"/>
      <c r="H327" s="45">
        <v>46161</v>
      </c>
      <c r="I327" s="43" t="s">
        <v>730</v>
      </c>
      <c r="J327" s="43" t="s">
        <v>731</v>
      </c>
      <c r="K327" s="43" t="str">
        <f>IF(LEN(D327)=10,"OK","Check")</f>
        <v>OK</v>
      </c>
      <c r="L327" s="43" t="s">
        <v>732</v>
      </c>
      <c r="M327" s="43" t="str">
        <f>IF(L327="Hold","Hold",IF(IFERROR(E327,0)&gt;=200,"High",IF(IFERROR(E327,0)&gt;=100,"Medium","Normal")))</f>
        <v>Hold</v>
      </c>
      <c r="N327" s="43" t="s">
        <v>90</v>
      </c>
      <c r="O327" s="43" t="s">
        <v>91</v>
      </c>
      <c r="P327" s="43" t="s">
        <v>92</v>
      </c>
      <c r="Q327" s="17" t="s">
        <v>93</v>
      </c>
      <c r="R327" s="45"/>
      <c r="S327" s="43"/>
      <c r="T327" s="43" t="s">
        <v>31</v>
      </c>
      <c r="U327" s="43" t="s">
        <v>94</v>
      </c>
      <c r="V327" s="43" t="s">
        <v>94</v>
      </c>
      <c r="W327" s="43" t="s">
        <v>95</v>
      </c>
      <c r="X327" s="45" t="str">
        <f>IF(AND(R327&lt;&gt;"",OR(U327="No reply",U327="Unknown")),R327+2,"")</f>
        <v/>
      </c>
      <c r="Y327" s="45"/>
      <c r="Z327" s="43" t="s">
        <v>96</v>
      </c>
      <c r="AA327" s="43" t="str">
        <f>IF(L327="Hold","Do not send",IF(T327="Not sent","Send WhatsApp",IF(U327="Demo booked","Prepare demo",IF(W327="Booked","Prepare demo",IF(AND(X327&lt;&gt;"",Y327=""),"Send follow-up","Review")))))</f>
        <v>Do not send</v>
      </c>
      <c r="AB327" s="43"/>
      <c r="AC327" s="43" t="s">
        <v>733</v>
      </c>
      <c r="AD327" s="43">
        <f>IF(AA327="Prepare demo",1,IF(AA327="Send follow-up",2,IF(AA327="Send WhatsApp",3,IF(AA327="Review",4,IF(AA327="Do not send",9,5)))))</f>
        <v>9</v>
      </c>
      <c r="AE327" s="43">
        <f>IF(M327="High",1,IF(M327="Medium",2,IF(M327="Normal",3,IF(M327="Hold",9,4))))</f>
        <v>9</v>
      </c>
      <c r="AF327" s="43">
        <f>IF(T327="Read",1,IF(T327="Delivered",2,IF(T327="Sent",3,IF(T327="Not sent",4,IF(T327="Failed",9,5)))))</f>
        <v>4</v>
      </c>
      <c r="AG327" s="43">
        <f>IF(U327="Demo booked",1,IF(U327="Interested",2,IF(U327="Replied",3,IF(U327="No reply",5,IF(U327="Not interested",8,IF(U327="Bad number",9,6))))))</f>
        <v>6</v>
      </c>
      <c r="AH327" s="46">
        <f>AD327*1000+AN327*100+AE327*10+AG327</f>
        <v>9596</v>
      </c>
      <c r="AI327" s="45">
        <f>MAX(IF(R327="",0,R327),IF(Y327="",0,Y327))</f>
        <v>0</v>
      </c>
      <c r="AJ327" s="43" t="str">
        <f ca="1">IF(AND(X327&lt;&gt;"",Y327="",X327&lt;TODAY()),"Overdue",IF(AND(X327&lt;&gt;"",Y327="",X327=TODAY()),"Due today",IF(Y327&lt;&gt;"","Follow-up sent","")))</f>
        <v/>
      </c>
      <c r="AK327" s="50" t="s">
        <v>734</v>
      </c>
      <c r="AL327" s="50" t="s">
        <v>735</v>
      </c>
      <c r="AM327" s="50" t="s">
        <v>736</v>
      </c>
      <c r="AN327" s="50">
        <v>5</v>
      </c>
      <c r="AO327" s="54" t="s">
        <v>1387</v>
      </c>
      <c r="AP327" s="57" t="s">
        <v>127</v>
      </c>
      <c r="AQ327" s="58"/>
      <c r="AR327" s="57"/>
    </row>
    <row r="328" spans="1:44" ht="54" customHeight="1" x14ac:dyDescent="0.25">
      <c r="A328" s="43" t="s">
        <v>1388</v>
      </c>
      <c r="B328" s="43" t="s">
        <v>790</v>
      </c>
      <c r="C328" s="43"/>
      <c r="D328" s="44" t="s">
        <v>1389</v>
      </c>
      <c r="E328" s="43"/>
      <c r="F328" s="43" t="s">
        <v>729</v>
      </c>
      <c r="G328" s="45"/>
      <c r="H328" s="45">
        <v>46161</v>
      </c>
      <c r="I328" s="43" t="s">
        <v>730</v>
      </c>
      <c r="J328" s="43" t="s">
        <v>731</v>
      </c>
      <c r="K328" s="43" t="str">
        <f>IF(LEN(D328)=10,"OK","Check")</f>
        <v>OK</v>
      </c>
      <c r="L328" s="43" t="s">
        <v>732</v>
      </c>
      <c r="M328" s="43" t="str">
        <f>IF(L328="Hold","Hold",IF(IFERROR(E328,0)&gt;=200,"High",IF(IFERROR(E328,0)&gt;=100,"Medium","Normal")))</f>
        <v>Hold</v>
      </c>
      <c r="N328" s="43" t="s">
        <v>90</v>
      </c>
      <c r="O328" s="43" t="s">
        <v>91</v>
      </c>
      <c r="P328" s="43" t="s">
        <v>92</v>
      </c>
      <c r="Q328" s="17" t="s">
        <v>93</v>
      </c>
      <c r="R328" s="45"/>
      <c r="S328" s="43"/>
      <c r="T328" s="43" t="s">
        <v>31</v>
      </c>
      <c r="U328" s="43" t="s">
        <v>94</v>
      </c>
      <c r="V328" s="43" t="s">
        <v>94</v>
      </c>
      <c r="W328" s="43" t="s">
        <v>95</v>
      </c>
      <c r="X328" s="45" t="str">
        <f>IF(AND(R328&lt;&gt;"",OR(U328="No reply",U328="Unknown")),R328+2,"")</f>
        <v/>
      </c>
      <c r="Y328" s="45"/>
      <c r="Z328" s="43" t="s">
        <v>96</v>
      </c>
      <c r="AA328" s="43" t="str">
        <f>IF(L328="Hold","Do not send",IF(T328="Not sent","Send WhatsApp",IF(U328="Demo booked","Prepare demo",IF(W328="Booked","Prepare demo",IF(AND(X328&lt;&gt;"",Y328=""),"Send follow-up","Review")))))</f>
        <v>Do not send</v>
      </c>
      <c r="AB328" s="43"/>
      <c r="AC328" s="43" t="s">
        <v>733</v>
      </c>
      <c r="AD328" s="43">
        <f>IF(AA328="Prepare demo",1,IF(AA328="Send follow-up",2,IF(AA328="Send WhatsApp",3,IF(AA328="Review",4,IF(AA328="Do not send",9,5)))))</f>
        <v>9</v>
      </c>
      <c r="AE328" s="43">
        <f>IF(M328="High",1,IF(M328="Medium",2,IF(M328="Normal",3,IF(M328="Hold",9,4))))</f>
        <v>9</v>
      </c>
      <c r="AF328" s="43">
        <f>IF(T328="Read",1,IF(T328="Delivered",2,IF(T328="Sent",3,IF(T328="Not sent",4,IF(T328="Failed",9,5)))))</f>
        <v>4</v>
      </c>
      <c r="AG328" s="43">
        <f>IF(U328="Demo booked",1,IF(U328="Interested",2,IF(U328="Replied",3,IF(U328="No reply",5,IF(U328="Not interested",8,IF(U328="Bad number",9,6))))))</f>
        <v>6</v>
      </c>
      <c r="AH328" s="46">
        <f>AD328*1000+AN328*100+AE328*10+AG328</f>
        <v>9596</v>
      </c>
      <c r="AI328" s="45">
        <f>MAX(IF(R328="",0,R328),IF(Y328="",0,Y328))</f>
        <v>0</v>
      </c>
      <c r="AJ328" s="43" t="str">
        <f ca="1">IF(AND(X328&lt;&gt;"",Y328="",X328&lt;TODAY()),"Overdue",IF(AND(X328&lt;&gt;"",Y328="",X328=TODAY()),"Due today",IF(Y328&lt;&gt;"","Follow-up sent","")))</f>
        <v/>
      </c>
      <c r="AK328" s="50" t="s">
        <v>734</v>
      </c>
      <c r="AL328" s="50" t="s">
        <v>735</v>
      </c>
      <c r="AM328" s="50" t="s">
        <v>736</v>
      </c>
      <c r="AN328" s="50">
        <v>5</v>
      </c>
      <c r="AO328" s="54" t="s">
        <v>1390</v>
      </c>
      <c r="AP328" s="57" t="s">
        <v>127</v>
      </c>
      <c r="AQ328" s="58"/>
      <c r="AR328" s="57"/>
    </row>
    <row r="329" spans="1:44" ht="54" customHeight="1" x14ac:dyDescent="0.25">
      <c r="A329" s="43" t="s">
        <v>1391</v>
      </c>
      <c r="B329" s="43" t="s">
        <v>790</v>
      </c>
      <c r="C329" s="43"/>
      <c r="D329" s="44" t="s">
        <v>1392</v>
      </c>
      <c r="E329" s="43"/>
      <c r="F329" s="43" t="s">
        <v>729</v>
      </c>
      <c r="G329" s="45"/>
      <c r="H329" s="45">
        <v>46161</v>
      </c>
      <c r="I329" s="43" t="s">
        <v>730</v>
      </c>
      <c r="J329" s="43" t="s">
        <v>731</v>
      </c>
      <c r="K329" s="43" t="str">
        <f>IF(LEN(D329)=10,"OK","Check")</f>
        <v>OK</v>
      </c>
      <c r="L329" s="43" t="s">
        <v>732</v>
      </c>
      <c r="M329" s="43" t="str">
        <f>IF(L329="Hold","Hold",IF(IFERROR(E329,0)&gt;=200,"High",IF(IFERROR(E329,0)&gt;=100,"Medium","Normal")))</f>
        <v>Hold</v>
      </c>
      <c r="N329" s="43" t="s">
        <v>90</v>
      </c>
      <c r="O329" s="43" t="s">
        <v>91</v>
      </c>
      <c r="P329" s="43" t="s">
        <v>92</v>
      </c>
      <c r="Q329" s="17" t="s">
        <v>93</v>
      </c>
      <c r="R329" s="45"/>
      <c r="S329" s="43"/>
      <c r="T329" s="43" t="s">
        <v>31</v>
      </c>
      <c r="U329" s="43" t="s">
        <v>94</v>
      </c>
      <c r="V329" s="43" t="s">
        <v>94</v>
      </c>
      <c r="W329" s="43" t="s">
        <v>95</v>
      </c>
      <c r="X329" s="45" t="str">
        <f>IF(AND(R329&lt;&gt;"",OR(U329="No reply",U329="Unknown")),R329+2,"")</f>
        <v/>
      </c>
      <c r="Y329" s="45"/>
      <c r="Z329" s="43" t="s">
        <v>96</v>
      </c>
      <c r="AA329" s="43" t="str">
        <f>IF(L329="Hold","Do not send",IF(T329="Not sent","Send WhatsApp",IF(U329="Demo booked","Prepare demo",IF(W329="Booked","Prepare demo",IF(AND(X329&lt;&gt;"",Y329=""),"Send follow-up","Review")))))</f>
        <v>Do not send</v>
      </c>
      <c r="AB329" s="43"/>
      <c r="AC329" s="43" t="s">
        <v>733</v>
      </c>
      <c r="AD329" s="43">
        <f>IF(AA329="Prepare demo",1,IF(AA329="Send follow-up",2,IF(AA329="Send WhatsApp",3,IF(AA329="Review",4,IF(AA329="Do not send",9,5)))))</f>
        <v>9</v>
      </c>
      <c r="AE329" s="43">
        <f>IF(M329="High",1,IF(M329="Medium",2,IF(M329="Normal",3,IF(M329="Hold",9,4))))</f>
        <v>9</v>
      </c>
      <c r="AF329" s="43">
        <f>IF(T329="Read",1,IF(T329="Delivered",2,IF(T329="Sent",3,IF(T329="Not sent",4,IF(T329="Failed",9,5)))))</f>
        <v>4</v>
      </c>
      <c r="AG329" s="43">
        <f>IF(U329="Demo booked",1,IF(U329="Interested",2,IF(U329="Replied",3,IF(U329="No reply",5,IF(U329="Not interested",8,IF(U329="Bad number",9,6))))))</f>
        <v>6</v>
      </c>
      <c r="AH329" s="46">
        <f>AD329*1000+AN329*100+AE329*10+AG329</f>
        <v>9596</v>
      </c>
      <c r="AI329" s="45">
        <f>MAX(IF(R329="",0,R329),IF(Y329="",0,Y329))</f>
        <v>0</v>
      </c>
      <c r="AJ329" s="43" t="str">
        <f ca="1">IF(AND(X329&lt;&gt;"",Y329="",X329&lt;TODAY()),"Overdue",IF(AND(X329&lt;&gt;"",Y329="",X329=TODAY()),"Due today",IF(Y329&lt;&gt;"","Follow-up sent","")))</f>
        <v/>
      </c>
      <c r="AK329" s="50" t="s">
        <v>734</v>
      </c>
      <c r="AL329" s="50" t="s">
        <v>735</v>
      </c>
      <c r="AM329" s="50" t="s">
        <v>736</v>
      </c>
      <c r="AN329" s="50">
        <v>5</v>
      </c>
      <c r="AO329" s="54" t="s">
        <v>1393</v>
      </c>
      <c r="AP329" s="57" t="s">
        <v>127</v>
      </c>
      <c r="AQ329" s="58"/>
      <c r="AR329" s="57"/>
    </row>
    <row r="330" spans="1:44" ht="54" customHeight="1" x14ac:dyDescent="0.25">
      <c r="A330" s="43" t="s">
        <v>1394</v>
      </c>
      <c r="B330" s="43" t="s">
        <v>790</v>
      </c>
      <c r="C330" s="43"/>
      <c r="D330" s="44" t="s">
        <v>1395</v>
      </c>
      <c r="E330" s="43"/>
      <c r="F330" s="43" t="s">
        <v>729</v>
      </c>
      <c r="G330" s="45"/>
      <c r="H330" s="45">
        <v>46161</v>
      </c>
      <c r="I330" s="43" t="s">
        <v>730</v>
      </c>
      <c r="J330" s="43" t="s">
        <v>731</v>
      </c>
      <c r="K330" s="43" t="str">
        <f>IF(LEN(D330)=10,"OK","Check")</f>
        <v>OK</v>
      </c>
      <c r="L330" s="43" t="s">
        <v>732</v>
      </c>
      <c r="M330" s="43" t="str">
        <f>IF(L330="Hold","Hold",IF(IFERROR(E330,0)&gt;=200,"High",IF(IFERROR(E330,0)&gt;=100,"Medium","Normal")))</f>
        <v>Hold</v>
      </c>
      <c r="N330" s="43" t="s">
        <v>90</v>
      </c>
      <c r="O330" s="43" t="s">
        <v>91</v>
      </c>
      <c r="P330" s="43" t="s">
        <v>92</v>
      </c>
      <c r="Q330" s="17" t="s">
        <v>93</v>
      </c>
      <c r="R330" s="45"/>
      <c r="S330" s="43"/>
      <c r="T330" s="43" t="s">
        <v>31</v>
      </c>
      <c r="U330" s="43" t="s">
        <v>94</v>
      </c>
      <c r="V330" s="43" t="s">
        <v>94</v>
      </c>
      <c r="W330" s="43" t="s">
        <v>95</v>
      </c>
      <c r="X330" s="45" t="str">
        <f>IF(AND(R330&lt;&gt;"",OR(U330="No reply",U330="Unknown")),R330+2,"")</f>
        <v/>
      </c>
      <c r="Y330" s="45"/>
      <c r="Z330" s="43" t="s">
        <v>96</v>
      </c>
      <c r="AA330" s="43" t="str">
        <f>IF(L330="Hold","Do not send",IF(T330="Not sent","Send WhatsApp",IF(U330="Demo booked","Prepare demo",IF(W330="Booked","Prepare demo",IF(AND(X330&lt;&gt;"",Y330=""),"Send follow-up","Review")))))</f>
        <v>Do not send</v>
      </c>
      <c r="AB330" s="43"/>
      <c r="AC330" s="43" t="s">
        <v>733</v>
      </c>
      <c r="AD330" s="43">
        <f>IF(AA330="Prepare demo",1,IF(AA330="Send follow-up",2,IF(AA330="Send WhatsApp",3,IF(AA330="Review",4,IF(AA330="Do not send",9,5)))))</f>
        <v>9</v>
      </c>
      <c r="AE330" s="43">
        <f>IF(M330="High",1,IF(M330="Medium",2,IF(M330="Normal",3,IF(M330="Hold",9,4))))</f>
        <v>9</v>
      </c>
      <c r="AF330" s="43">
        <f>IF(T330="Read",1,IF(T330="Delivered",2,IF(T330="Sent",3,IF(T330="Not sent",4,IF(T330="Failed",9,5)))))</f>
        <v>4</v>
      </c>
      <c r="AG330" s="43">
        <f>IF(U330="Demo booked",1,IF(U330="Interested",2,IF(U330="Replied",3,IF(U330="No reply",5,IF(U330="Not interested",8,IF(U330="Bad number",9,6))))))</f>
        <v>6</v>
      </c>
      <c r="AH330" s="46">
        <f>AD330*1000+AN330*100+AE330*10+AG330</f>
        <v>9596</v>
      </c>
      <c r="AI330" s="45">
        <f>MAX(IF(R330="",0,R330),IF(Y330="",0,Y330))</f>
        <v>0</v>
      </c>
      <c r="AJ330" s="43" t="str">
        <f ca="1">IF(AND(X330&lt;&gt;"",Y330="",X330&lt;TODAY()),"Overdue",IF(AND(X330&lt;&gt;"",Y330="",X330=TODAY()),"Due today",IF(Y330&lt;&gt;"","Follow-up sent","")))</f>
        <v/>
      </c>
      <c r="AK330" s="50" t="s">
        <v>734</v>
      </c>
      <c r="AL330" s="50" t="s">
        <v>735</v>
      </c>
      <c r="AM330" s="50" t="s">
        <v>736</v>
      </c>
      <c r="AN330" s="50">
        <v>5</v>
      </c>
      <c r="AO330" s="54" t="s">
        <v>1396</v>
      </c>
      <c r="AP330" s="57" t="s">
        <v>127</v>
      </c>
      <c r="AQ330" s="58"/>
      <c r="AR330" s="57"/>
    </row>
    <row r="331" spans="1:44" ht="54" customHeight="1" x14ac:dyDescent="0.25">
      <c r="A331" s="43" t="s">
        <v>1397</v>
      </c>
      <c r="B331" s="43" t="s">
        <v>790</v>
      </c>
      <c r="C331" s="43"/>
      <c r="D331" s="44" t="s">
        <v>1398</v>
      </c>
      <c r="E331" s="43"/>
      <c r="F331" s="43" t="s">
        <v>729</v>
      </c>
      <c r="G331" s="45"/>
      <c r="H331" s="45">
        <v>46161</v>
      </c>
      <c r="I331" s="43" t="s">
        <v>730</v>
      </c>
      <c r="J331" s="43" t="s">
        <v>731</v>
      </c>
      <c r="K331" s="43" t="str">
        <f>IF(LEN(D331)=10,"OK","Check")</f>
        <v>OK</v>
      </c>
      <c r="L331" s="43" t="s">
        <v>732</v>
      </c>
      <c r="M331" s="43" t="str">
        <f>IF(L331="Hold","Hold",IF(IFERROR(E331,0)&gt;=200,"High",IF(IFERROR(E331,0)&gt;=100,"Medium","Normal")))</f>
        <v>Hold</v>
      </c>
      <c r="N331" s="43" t="s">
        <v>90</v>
      </c>
      <c r="O331" s="43" t="s">
        <v>91</v>
      </c>
      <c r="P331" s="43" t="s">
        <v>92</v>
      </c>
      <c r="Q331" s="17" t="s">
        <v>93</v>
      </c>
      <c r="R331" s="45"/>
      <c r="S331" s="43"/>
      <c r="T331" s="43" t="s">
        <v>31</v>
      </c>
      <c r="U331" s="43" t="s">
        <v>94</v>
      </c>
      <c r="V331" s="43" t="s">
        <v>94</v>
      </c>
      <c r="W331" s="43" t="s">
        <v>95</v>
      </c>
      <c r="X331" s="45" t="str">
        <f>IF(AND(R331&lt;&gt;"",OR(U331="No reply",U331="Unknown")),R331+2,"")</f>
        <v/>
      </c>
      <c r="Y331" s="45"/>
      <c r="Z331" s="43" t="s">
        <v>96</v>
      </c>
      <c r="AA331" s="43" t="str">
        <f>IF(L331="Hold","Do not send",IF(T331="Not sent","Send WhatsApp",IF(U331="Demo booked","Prepare demo",IF(W331="Booked","Prepare demo",IF(AND(X331&lt;&gt;"",Y331=""),"Send follow-up","Review")))))</f>
        <v>Do not send</v>
      </c>
      <c r="AB331" s="43"/>
      <c r="AC331" s="43" t="s">
        <v>733</v>
      </c>
      <c r="AD331" s="43">
        <f>IF(AA331="Prepare demo",1,IF(AA331="Send follow-up",2,IF(AA331="Send WhatsApp",3,IF(AA331="Review",4,IF(AA331="Do not send",9,5)))))</f>
        <v>9</v>
      </c>
      <c r="AE331" s="43">
        <f>IF(M331="High",1,IF(M331="Medium",2,IF(M331="Normal",3,IF(M331="Hold",9,4))))</f>
        <v>9</v>
      </c>
      <c r="AF331" s="43">
        <f>IF(T331="Read",1,IF(T331="Delivered",2,IF(T331="Sent",3,IF(T331="Not sent",4,IF(T331="Failed",9,5)))))</f>
        <v>4</v>
      </c>
      <c r="AG331" s="43">
        <f>IF(U331="Demo booked",1,IF(U331="Interested",2,IF(U331="Replied",3,IF(U331="No reply",5,IF(U331="Not interested",8,IF(U331="Bad number",9,6))))))</f>
        <v>6</v>
      </c>
      <c r="AH331" s="46">
        <f>AD331*1000+AN331*100+AE331*10+AG331</f>
        <v>9596</v>
      </c>
      <c r="AI331" s="45">
        <f>MAX(IF(R331="",0,R331),IF(Y331="",0,Y331))</f>
        <v>0</v>
      </c>
      <c r="AJ331" s="43" t="str">
        <f ca="1">IF(AND(X331&lt;&gt;"",Y331="",X331&lt;TODAY()),"Overdue",IF(AND(X331&lt;&gt;"",Y331="",X331=TODAY()),"Due today",IF(Y331&lt;&gt;"","Follow-up sent","")))</f>
        <v/>
      </c>
      <c r="AK331" s="50" t="s">
        <v>734</v>
      </c>
      <c r="AL331" s="50" t="s">
        <v>735</v>
      </c>
      <c r="AM331" s="50" t="s">
        <v>736</v>
      </c>
      <c r="AN331" s="50">
        <v>5</v>
      </c>
      <c r="AO331" s="54" t="s">
        <v>1399</v>
      </c>
      <c r="AP331" s="57" t="s">
        <v>127</v>
      </c>
      <c r="AQ331" s="58"/>
      <c r="AR331" s="57"/>
    </row>
    <row r="332" spans="1:44" ht="54" customHeight="1" x14ac:dyDescent="0.25">
      <c r="A332" s="43" t="s">
        <v>1400</v>
      </c>
      <c r="B332" s="43" t="s">
        <v>790</v>
      </c>
      <c r="C332" s="43"/>
      <c r="D332" s="44" t="s">
        <v>1401</v>
      </c>
      <c r="E332" s="43"/>
      <c r="F332" s="43" t="s">
        <v>729</v>
      </c>
      <c r="G332" s="45"/>
      <c r="H332" s="45">
        <v>46161</v>
      </c>
      <c r="I332" s="43" t="s">
        <v>730</v>
      </c>
      <c r="J332" s="43" t="s">
        <v>731</v>
      </c>
      <c r="K332" s="43" t="str">
        <f>IF(LEN(D332)=10,"OK","Check")</f>
        <v>OK</v>
      </c>
      <c r="L332" s="43" t="s">
        <v>732</v>
      </c>
      <c r="M332" s="43" t="str">
        <f>IF(L332="Hold","Hold",IF(IFERROR(E332,0)&gt;=200,"High",IF(IFERROR(E332,0)&gt;=100,"Medium","Normal")))</f>
        <v>Hold</v>
      </c>
      <c r="N332" s="43" t="s">
        <v>90</v>
      </c>
      <c r="O332" s="43" t="s">
        <v>91</v>
      </c>
      <c r="P332" s="43" t="s">
        <v>92</v>
      </c>
      <c r="Q332" s="17" t="s">
        <v>93</v>
      </c>
      <c r="R332" s="45"/>
      <c r="S332" s="43"/>
      <c r="T332" s="43" t="s">
        <v>31</v>
      </c>
      <c r="U332" s="43" t="s">
        <v>94</v>
      </c>
      <c r="V332" s="43" t="s">
        <v>94</v>
      </c>
      <c r="W332" s="43" t="s">
        <v>95</v>
      </c>
      <c r="X332" s="45" t="str">
        <f>IF(AND(R332&lt;&gt;"",OR(U332="No reply",U332="Unknown")),R332+2,"")</f>
        <v/>
      </c>
      <c r="Y332" s="45"/>
      <c r="Z332" s="43" t="s">
        <v>96</v>
      </c>
      <c r="AA332" s="43" t="str">
        <f>IF(L332="Hold","Do not send",IF(T332="Not sent","Send WhatsApp",IF(U332="Demo booked","Prepare demo",IF(W332="Booked","Prepare demo",IF(AND(X332&lt;&gt;"",Y332=""),"Send follow-up","Review")))))</f>
        <v>Do not send</v>
      </c>
      <c r="AB332" s="43"/>
      <c r="AC332" s="43" t="s">
        <v>733</v>
      </c>
      <c r="AD332" s="43">
        <f>IF(AA332="Prepare demo",1,IF(AA332="Send follow-up",2,IF(AA332="Send WhatsApp",3,IF(AA332="Review",4,IF(AA332="Do not send",9,5)))))</f>
        <v>9</v>
      </c>
      <c r="AE332" s="43">
        <f>IF(M332="High",1,IF(M332="Medium",2,IF(M332="Normal",3,IF(M332="Hold",9,4))))</f>
        <v>9</v>
      </c>
      <c r="AF332" s="43">
        <f>IF(T332="Read",1,IF(T332="Delivered",2,IF(T332="Sent",3,IF(T332="Not sent",4,IF(T332="Failed",9,5)))))</f>
        <v>4</v>
      </c>
      <c r="AG332" s="43">
        <f>IF(U332="Demo booked",1,IF(U332="Interested",2,IF(U332="Replied",3,IF(U332="No reply",5,IF(U332="Not interested",8,IF(U332="Bad number",9,6))))))</f>
        <v>6</v>
      </c>
      <c r="AH332" s="46">
        <f>AD332*1000+AN332*100+AE332*10+AG332</f>
        <v>9596</v>
      </c>
      <c r="AI332" s="45">
        <f>MAX(IF(R332="",0,R332),IF(Y332="",0,Y332))</f>
        <v>0</v>
      </c>
      <c r="AJ332" s="43" t="str">
        <f ca="1">IF(AND(X332&lt;&gt;"",Y332="",X332&lt;TODAY()),"Overdue",IF(AND(X332&lt;&gt;"",Y332="",X332=TODAY()),"Due today",IF(Y332&lt;&gt;"","Follow-up sent","")))</f>
        <v/>
      </c>
      <c r="AK332" s="50" t="s">
        <v>734</v>
      </c>
      <c r="AL332" s="50" t="s">
        <v>735</v>
      </c>
      <c r="AM332" s="50" t="s">
        <v>736</v>
      </c>
      <c r="AN332" s="50">
        <v>5</v>
      </c>
      <c r="AO332" s="54" t="s">
        <v>1402</v>
      </c>
      <c r="AP332" s="57" t="s">
        <v>127</v>
      </c>
      <c r="AQ332" s="58"/>
      <c r="AR332" s="57"/>
    </row>
    <row r="333" spans="1:44" ht="54" customHeight="1" x14ac:dyDescent="0.25">
      <c r="A333" s="43" t="s">
        <v>1403</v>
      </c>
      <c r="B333" s="43" t="s">
        <v>790</v>
      </c>
      <c r="C333" s="43"/>
      <c r="D333" s="44" t="s">
        <v>1404</v>
      </c>
      <c r="E333" s="43"/>
      <c r="F333" s="43" t="s">
        <v>729</v>
      </c>
      <c r="G333" s="45"/>
      <c r="H333" s="45">
        <v>46161</v>
      </c>
      <c r="I333" s="43" t="s">
        <v>730</v>
      </c>
      <c r="J333" s="43" t="s">
        <v>731</v>
      </c>
      <c r="K333" s="43" t="str">
        <f>IF(LEN(D333)=10,"OK","Check")</f>
        <v>OK</v>
      </c>
      <c r="L333" s="43" t="s">
        <v>732</v>
      </c>
      <c r="M333" s="43" t="str">
        <f>IF(L333="Hold","Hold",IF(IFERROR(E333,0)&gt;=200,"High",IF(IFERROR(E333,0)&gt;=100,"Medium","Normal")))</f>
        <v>Hold</v>
      </c>
      <c r="N333" s="43" t="s">
        <v>90</v>
      </c>
      <c r="O333" s="43" t="s">
        <v>91</v>
      </c>
      <c r="P333" s="43" t="s">
        <v>92</v>
      </c>
      <c r="Q333" s="17" t="s">
        <v>93</v>
      </c>
      <c r="R333" s="45"/>
      <c r="S333" s="43"/>
      <c r="T333" s="43" t="s">
        <v>31</v>
      </c>
      <c r="U333" s="43" t="s">
        <v>94</v>
      </c>
      <c r="V333" s="43" t="s">
        <v>94</v>
      </c>
      <c r="W333" s="43" t="s">
        <v>95</v>
      </c>
      <c r="X333" s="45" t="str">
        <f>IF(AND(R333&lt;&gt;"",OR(U333="No reply",U333="Unknown")),R333+2,"")</f>
        <v/>
      </c>
      <c r="Y333" s="45"/>
      <c r="Z333" s="43" t="s">
        <v>96</v>
      </c>
      <c r="AA333" s="43" t="str">
        <f>IF(L333="Hold","Do not send",IF(T333="Not sent","Send WhatsApp",IF(U333="Demo booked","Prepare demo",IF(W333="Booked","Prepare demo",IF(AND(X333&lt;&gt;"",Y333=""),"Send follow-up","Review")))))</f>
        <v>Do not send</v>
      </c>
      <c r="AB333" s="43"/>
      <c r="AC333" s="43" t="s">
        <v>733</v>
      </c>
      <c r="AD333" s="43">
        <f>IF(AA333="Prepare demo",1,IF(AA333="Send follow-up",2,IF(AA333="Send WhatsApp",3,IF(AA333="Review",4,IF(AA333="Do not send",9,5)))))</f>
        <v>9</v>
      </c>
      <c r="AE333" s="43">
        <f>IF(M333="High",1,IF(M333="Medium",2,IF(M333="Normal",3,IF(M333="Hold",9,4))))</f>
        <v>9</v>
      </c>
      <c r="AF333" s="43">
        <f>IF(T333="Read",1,IF(T333="Delivered",2,IF(T333="Sent",3,IF(T333="Not sent",4,IF(T333="Failed",9,5)))))</f>
        <v>4</v>
      </c>
      <c r="AG333" s="43">
        <f>IF(U333="Demo booked",1,IF(U333="Interested",2,IF(U333="Replied",3,IF(U333="No reply",5,IF(U333="Not interested",8,IF(U333="Bad number",9,6))))))</f>
        <v>6</v>
      </c>
      <c r="AH333" s="46">
        <f>AD333*1000+AN333*100+AE333*10+AG333</f>
        <v>9596</v>
      </c>
      <c r="AI333" s="45">
        <f>MAX(IF(R333="",0,R333),IF(Y333="",0,Y333))</f>
        <v>0</v>
      </c>
      <c r="AJ333" s="43" t="str">
        <f ca="1">IF(AND(X333&lt;&gt;"",Y333="",X333&lt;TODAY()),"Overdue",IF(AND(X333&lt;&gt;"",Y333="",X333=TODAY()),"Due today",IF(Y333&lt;&gt;"","Follow-up sent","")))</f>
        <v/>
      </c>
      <c r="AK333" s="50" t="s">
        <v>734</v>
      </c>
      <c r="AL333" s="50" t="s">
        <v>735</v>
      </c>
      <c r="AM333" s="50" t="s">
        <v>736</v>
      </c>
      <c r="AN333" s="50">
        <v>5</v>
      </c>
      <c r="AO333" s="54" t="s">
        <v>1405</v>
      </c>
      <c r="AP333" s="57" t="s">
        <v>127</v>
      </c>
      <c r="AQ333" s="58"/>
      <c r="AR333" s="57"/>
    </row>
    <row r="334" spans="1:44" ht="54" customHeight="1" x14ac:dyDescent="0.25">
      <c r="A334" s="43" t="s">
        <v>1406</v>
      </c>
      <c r="B334" s="43" t="s">
        <v>790</v>
      </c>
      <c r="C334" s="43"/>
      <c r="D334" s="44" t="s">
        <v>1407</v>
      </c>
      <c r="E334" s="43"/>
      <c r="F334" s="43" t="s">
        <v>729</v>
      </c>
      <c r="G334" s="45"/>
      <c r="H334" s="45">
        <v>46161</v>
      </c>
      <c r="I334" s="43" t="s">
        <v>730</v>
      </c>
      <c r="J334" s="43" t="s">
        <v>731</v>
      </c>
      <c r="K334" s="43" t="str">
        <f>IF(LEN(D334)=10,"OK","Check")</f>
        <v>OK</v>
      </c>
      <c r="L334" s="43" t="s">
        <v>732</v>
      </c>
      <c r="M334" s="43" t="str">
        <f>IF(L334="Hold","Hold",IF(IFERROR(E334,0)&gt;=200,"High",IF(IFERROR(E334,0)&gt;=100,"Medium","Normal")))</f>
        <v>Hold</v>
      </c>
      <c r="N334" s="43" t="s">
        <v>90</v>
      </c>
      <c r="O334" s="43" t="s">
        <v>91</v>
      </c>
      <c r="P334" s="43" t="s">
        <v>92</v>
      </c>
      <c r="Q334" s="17" t="s">
        <v>93</v>
      </c>
      <c r="R334" s="45"/>
      <c r="S334" s="43"/>
      <c r="T334" s="43" t="s">
        <v>31</v>
      </c>
      <c r="U334" s="43" t="s">
        <v>94</v>
      </c>
      <c r="V334" s="43" t="s">
        <v>94</v>
      </c>
      <c r="W334" s="43" t="s">
        <v>95</v>
      </c>
      <c r="X334" s="45" t="str">
        <f>IF(AND(R334&lt;&gt;"",OR(U334="No reply",U334="Unknown")),R334+2,"")</f>
        <v/>
      </c>
      <c r="Y334" s="45"/>
      <c r="Z334" s="43" t="s">
        <v>96</v>
      </c>
      <c r="AA334" s="43" t="str">
        <f>IF(L334="Hold","Do not send",IF(T334="Not sent","Send WhatsApp",IF(U334="Demo booked","Prepare demo",IF(W334="Booked","Prepare demo",IF(AND(X334&lt;&gt;"",Y334=""),"Send follow-up","Review")))))</f>
        <v>Do not send</v>
      </c>
      <c r="AB334" s="43"/>
      <c r="AC334" s="43" t="s">
        <v>733</v>
      </c>
      <c r="AD334" s="43">
        <f>IF(AA334="Prepare demo",1,IF(AA334="Send follow-up",2,IF(AA334="Send WhatsApp",3,IF(AA334="Review",4,IF(AA334="Do not send",9,5)))))</f>
        <v>9</v>
      </c>
      <c r="AE334" s="43">
        <f>IF(M334="High",1,IF(M334="Medium",2,IF(M334="Normal",3,IF(M334="Hold",9,4))))</f>
        <v>9</v>
      </c>
      <c r="AF334" s="43">
        <f>IF(T334="Read",1,IF(T334="Delivered",2,IF(T334="Sent",3,IF(T334="Not sent",4,IF(T334="Failed",9,5)))))</f>
        <v>4</v>
      </c>
      <c r="AG334" s="43">
        <f>IF(U334="Demo booked",1,IF(U334="Interested",2,IF(U334="Replied",3,IF(U334="No reply",5,IF(U334="Not interested",8,IF(U334="Bad number",9,6))))))</f>
        <v>6</v>
      </c>
      <c r="AH334" s="46">
        <f>AD334*1000+AN334*100+AE334*10+AG334</f>
        <v>9596</v>
      </c>
      <c r="AI334" s="45">
        <f>MAX(IF(R334="",0,R334),IF(Y334="",0,Y334))</f>
        <v>0</v>
      </c>
      <c r="AJ334" s="43" t="str">
        <f ca="1">IF(AND(X334&lt;&gt;"",Y334="",X334&lt;TODAY()),"Overdue",IF(AND(X334&lt;&gt;"",Y334="",X334=TODAY()),"Due today",IF(Y334&lt;&gt;"","Follow-up sent","")))</f>
        <v/>
      </c>
      <c r="AK334" s="50" t="s">
        <v>734</v>
      </c>
      <c r="AL334" s="50" t="s">
        <v>735</v>
      </c>
      <c r="AM334" s="50" t="s">
        <v>736</v>
      </c>
      <c r="AN334" s="50">
        <v>5</v>
      </c>
      <c r="AO334" s="54" t="s">
        <v>1408</v>
      </c>
      <c r="AP334" s="57" t="s">
        <v>127</v>
      </c>
      <c r="AQ334" s="58"/>
      <c r="AR334" s="57"/>
    </row>
    <row r="335" spans="1:44" ht="54" customHeight="1" x14ac:dyDescent="0.25">
      <c r="A335" s="43" t="s">
        <v>1409</v>
      </c>
      <c r="B335" s="43" t="s">
        <v>790</v>
      </c>
      <c r="C335" s="43"/>
      <c r="D335" s="44" t="s">
        <v>1410</v>
      </c>
      <c r="E335" s="43"/>
      <c r="F335" s="43" t="s">
        <v>729</v>
      </c>
      <c r="G335" s="45"/>
      <c r="H335" s="45">
        <v>46161</v>
      </c>
      <c r="I335" s="43" t="s">
        <v>730</v>
      </c>
      <c r="J335" s="43" t="s">
        <v>731</v>
      </c>
      <c r="K335" s="43" t="str">
        <f>IF(LEN(D335)=10,"OK","Check")</f>
        <v>OK</v>
      </c>
      <c r="L335" s="43" t="s">
        <v>732</v>
      </c>
      <c r="M335" s="43" t="str">
        <f>IF(L335="Hold","Hold",IF(IFERROR(E335,0)&gt;=200,"High",IF(IFERROR(E335,0)&gt;=100,"Medium","Normal")))</f>
        <v>Hold</v>
      </c>
      <c r="N335" s="43" t="s">
        <v>90</v>
      </c>
      <c r="O335" s="43" t="s">
        <v>91</v>
      </c>
      <c r="P335" s="43" t="s">
        <v>92</v>
      </c>
      <c r="Q335" s="17" t="s">
        <v>93</v>
      </c>
      <c r="R335" s="45"/>
      <c r="S335" s="43"/>
      <c r="T335" s="43" t="s">
        <v>31</v>
      </c>
      <c r="U335" s="43" t="s">
        <v>94</v>
      </c>
      <c r="V335" s="43" t="s">
        <v>94</v>
      </c>
      <c r="W335" s="43" t="s">
        <v>95</v>
      </c>
      <c r="X335" s="45" t="str">
        <f>IF(AND(R335&lt;&gt;"",OR(U335="No reply",U335="Unknown")),R335+2,"")</f>
        <v/>
      </c>
      <c r="Y335" s="45"/>
      <c r="Z335" s="43" t="s">
        <v>96</v>
      </c>
      <c r="AA335" s="43" t="str">
        <f>IF(L335="Hold","Do not send",IF(T335="Not sent","Send WhatsApp",IF(U335="Demo booked","Prepare demo",IF(W335="Booked","Prepare demo",IF(AND(X335&lt;&gt;"",Y335=""),"Send follow-up","Review")))))</f>
        <v>Do not send</v>
      </c>
      <c r="AB335" s="43"/>
      <c r="AC335" s="43" t="s">
        <v>733</v>
      </c>
      <c r="AD335" s="43">
        <f>IF(AA335="Prepare demo",1,IF(AA335="Send follow-up",2,IF(AA335="Send WhatsApp",3,IF(AA335="Review",4,IF(AA335="Do not send",9,5)))))</f>
        <v>9</v>
      </c>
      <c r="AE335" s="43">
        <f>IF(M335="High",1,IF(M335="Medium",2,IF(M335="Normal",3,IF(M335="Hold",9,4))))</f>
        <v>9</v>
      </c>
      <c r="AF335" s="43">
        <f>IF(T335="Read",1,IF(T335="Delivered",2,IF(T335="Sent",3,IF(T335="Not sent",4,IF(T335="Failed",9,5)))))</f>
        <v>4</v>
      </c>
      <c r="AG335" s="43">
        <f>IF(U335="Demo booked",1,IF(U335="Interested",2,IF(U335="Replied",3,IF(U335="No reply",5,IF(U335="Not interested",8,IF(U335="Bad number",9,6))))))</f>
        <v>6</v>
      </c>
      <c r="AH335" s="46">
        <f>AD335*1000+AN335*100+AE335*10+AG335</f>
        <v>9596</v>
      </c>
      <c r="AI335" s="45">
        <f>MAX(IF(R335="",0,R335),IF(Y335="",0,Y335))</f>
        <v>0</v>
      </c>
      <c r="AJ335" s="43" t="str">
        <f ca="1">IF(AND(X335&lt;&gt;"",Y335="",X335&lt;TODAY()),"Overdue",IF(AND(X335&lt;&gt;"",Y335="",X335=TODAY()),"Due today",IF(Y335&lt;&gt;"","Follow-up sent","")))</f>
        <v/>
      </c>
      <c r="AK335" s="50" t="s">
        <v>734</v>
      </c>
      <c r="AL335" s="50" t="s">
        <v>735</v>
      </c>
      <c r="AM335" s="50" t="s">
        <v>736</v>
      </c>
      <c r="AN335" s="50">
        <v>5</v>
      </c>
      <c r="AO335" s="54" t="s">
        <v>1411</v>
      </c>
      <c r="AP335" s="57" t="s">
        <v>127</v>
      </c>
      <c r="AQ335" s="58"/>
      <c r="AR335" s="57"/>
    </row>
    <row r="336" spans="1:44" ht="54" customHeight="1" x14ac:dyDescent="0.25">
      <c r="A336" s="43" t="s">
        <v>1412</v>
      </c>
      <c r="B336" s="43" t="s">
        <v>790</v>
      </c>
      <c r="C336" s="43"/>
      <c r="D336" s="44" t="s">
        <v>1413</v>
      </c>
      <c r="E336" s="43"/>
      <c r="F336" s="43" t="s">
        <v>729</v>
      </c>
      <c r="G336" s="45"/>
      <c r="H336" s="45">
        <v>46161</v>
      </c>
      <c r="I336" s="43" t="s">
        <v>730</v>
      </c>
      <c r="J336" s="43" t="s">
        <v>731</v>
      </c>
      <c r="K336" s="43" t="str">
        <f>IF(LEN(D336)=10,"OK","Check")</f>
        <v>OK</v>
      </c>
      <c r="L336" s="43" t="s">
        <v>732</v>
      </c>
      <c r="M336" s="43" t="str">
        <f>IF(L336="Hold","Hold",IF(IFERROR(E336,0)&gt;=200,"High",IF(IFERROR(E336,0)&gt;=100,"Medium","Normal")))</f>
        <v>Hold</v>
      </c>
      <c r="N336" s="43" t="s">
        <v>90</v>
      </c>
      <c r="O336" s="43" t="s">
        <v>91</v>
      </c>
      <c r="P336" s="43" t="s">
        <v>92</v>
      </c>
      <c r="Q336" s="17" t="s">
        <v>93</v>
      </c>
      <c r="R336" s="45"/>
      <c r="S336" s="43"/>
      <c r="T336" s="43" t="s">
        <v>31</v>
      </c>
      <c r="U336" s="43" t="s">
        <v>94</v>
      </c>
      <c r="V336" s="43" t="s">
        <v>94</v>
      </c>
      <c r="W336" s="43" t="s">
        <v>95</v>
      </c>
      <c r="X336" s="45" t="str">
        <f>IF(AND(R336&lt;&gt;"",OR(U336="No reply",U336="Unknown")),R336+2,"")</f>
        <v/>
      </c>
      <c r="Y336" s="45"/>
      <c r="Z336" s="43" t="s">
        <v>96</v>
      </c>
      <c r="AA336" s="43" t="str">
        <f>IF(L336="Hold","Do not send",IF(T336="Not sent","Send WhatsApp",IF(U336="Demo booked","Prepare demo",IF(W336="Booked","Prepare demo",IF(AND(X336&lt;&gt;"",Y336=""),"Send follow-up","Review")))))</f>
        <v>Do not send</v>
      </c>
      <c r="AB336" s="43"/>
      <c r="AC336" s="43" t="s">
        <v>733</v>
      </c>
      <c r="AD336" s="43">
        <f>IF(AA336="Prepare demo",1,IF(AA336="Send follow-up",2,IF(AA336="Send WhatsApp",3,IF(AA336="Review",4,IF(AA336="Do not send",9,5)))))</f>
        <v>9</v>
      </c>
      <c r="AE336" s="43">
        <f>IF(M336="High",1,IF(M336="Medium",2,IF(M336="Normal",3,IF(M336="Hold",9,4))))</f>
        <v>9</v>
      </c>
      <c r="AF336" s="43">
        <f>IF(T336="Read",1,IF(T336="Delivered",2,IF(T336="Sent",3,IF(T336="Not sent",4,IF(T336="Failed",9,5)))))</f>
        <v>4</v>
      </c>
      <c r="AG336" s="43">
        <f>IF(U336="Demo booked",1,IF(U336="Interested",2,IF(U336="Replied",3,IF(U336="No reply",5,IF(U336="Not interested",8,IF(U336="Bad number",9,6))))))</f>
        <v>6</v>
      </c>
      <c r="AH336" s="46">
        <f>AD336*1000+AN336*100+AE336*10+AG336</f>
        <v>9596</v>
      </c>
      <c r="AI336" s="45">
        <f>MAX(IF(R336="",0,R336),IF(Y336="",0,Y336))</f>
        <v>0</v>
      </c>
      <c r="AJ336" s="43" t="str">
        <f ca="1">IF(AND(X336&lt;&gt;"",Y336="",X336&lt;TODAY()),"Overdue",IF(AND(X336&lt;&gt;"",Y336="",X336=TODAY()),"Due today",IF(Y336&lt;&gt;"","Follow-up sent","")))</f>
        <v/>
      </c>
      <c r="AK336" s="50" t="s">
        <v>734</v>
      </c>
      <c r="AL336" s="50" t="s">
        <v>735</v>
      </c>
      <c r="AM336" s="50" t="s">
        <v>736</v>
      </c>
      <c r="AN336" s="50">
        <v>5</v>
      </c>
      <c r="AO336" s="54" t="s">
        <v>1414</v>
      </c>
      <c r="AP336" s="57" t="s">
        <v>127</v>
      </c>
      <c r="AQ336" s="58"/>
      <c r="AR336" s="57"/>
    </row>
    <row r="337" spans="1:44" ht="54" customHeight="1" x14ac:dyDescent="0.25">
      <c r="A337" s="43" t="s">
        <v>1415</v>
      </c>
      <c r="B337" s="43" t="s">
        <v>790</v>
      </c>
      <c r="C337" s="43"/>
      <c r="D337" s="44" t="s">
        <v>1416</v>
      </c>
      <c r="E337" s="43"/>
      <c r="F337" s="43" t="s">
        <v>729</v>
      </c>
      <c r="G337" s="45"/>
      <c r="H337" s="45">
        <v>46161</v>
      </c>
      <c r="I337" s="43" t="s">
        <v>730</v>
      </c>
      <c r="J337" s="43" t="s">
        <v>731</v>
      </c>
      <c r="K337" s="43" t="str">
        <f>IF(LEN(D337)=10,"OK","Check")</f>
        <v>OK</v>
      </c>
      <c r="L337" s="43" t="s">
        <v>732</v>
      </c>
      <c r="M337" s="43" t="str">
        <f>IF(L337="Hold","Hold",IF(IFERROR(E337,0)&gt;=200,"High",IF(IFERROR(E337,0)&gt;=100,"Medium","Normal")))</f>
        <v>Hold</v>
      </c>
      <c r="N337" s="43" t="s">
        <v>90</v>
      </c>
      <c r="O337" s="43" t="s">
        <v>91</v>
      </c>
      <c r="P337" s="43" t="s">
        <v>92</v>
      </c>
      <c r="Q337" s="17" t="s">
        <v>93</v>
      </c>
      <c r="R337" s="45"/>
      <c r="S337" s="43"/>
      <c r="T337" s="43" t="s">
        <v>31</v>
      </c>
      <c r="U337" s="43" t="s">
        <v>94</v>
      </c>
      <c r="V337" s="43" t="s">
        <v>94</v>
      </c>
      <c r="W337" s="43" t="s">
        <v>95</v>
      </c>
      <c r="X337" s="45" t="str">
        <f>IF(AND(R337&lt;&gt;"",OR(U337="No reply",U337="Unknown")),R337+2,"")</f>
        <v/>
      </c>
      <c r="Y337" s="45"/>
      <c r="Z337" s="43" t="s">
        <v>96</v>
      </c>
      <c r="AA337" s="43" t="str">
        <f>IF(L337="Hold","Do not send",IF(T337="Not sent","Send WhatsApp",IF(U337="Demo booked","Prepare demo",IF(W337="Booked","Prepare demo",IF(AND(X337&lt;&gt;"",Y337=""),"Send follow-up","Review")))))</f>
        <v>Do not send</v>
      </c>
      <c r="AB337" s="43"/>
      <c r="AC337" s="43" t="s">
        <v>733</v>
      </c>
      <c r="AD337" s="43">
        <f>IF(AA337="Prepare demo",1,IF(AA337="Send follow-up",2,IF(AA337="Send WhatsApp",3,IF(AA337="Review",4,IF(AA337="Do not send",9,5)))))</f>
        <v>9</v>
      </c>
      <c r="AE337" s="43">
        <f>IF(M337="High",1,IF(M337="Medium",2,IF(M337="Normal",3,IF(M337="Hold",9,4))))</f>
        <v>9</v>
      </c>
      <c r="AF337" s="43">
        <f>IF(T337="Read",1,IF(T337="Delivered",2,IF(T337="Sent",3,IF(T337="Not sent",4,IF(T337="Failed",9,5)))))</f>
        <v>4</v>
      </c>
      <c r="AG337" s="43">
        <f>IF(U337="Demo booked",1,IF(U337="Interested",2,IF(U337="Replied",3,IF(U337="No reply",5,IF(U337="Not interested",8,IF(U337="Bad number",9,6))))))</f>
        <v>6</v>
      </c>
      <c r="AH337" s="46">
        <f>AD337*1000+AN337*100+AE337*10+AG337</f>
        <v>9596</v>
      </c>
      <c r="AI337" s="45">
        <f>MAX(IF(R337="",0,R337),IF(Y337="",0,Y337))</f>
        <v>0</v>
      </c>
      <c r="AJ337" s="43" t="str">
        <f ca="1">IF(AND(X337&lt;&gt;"",Y337="",X337&lt;TODAY()),"Overdue",IF(AND(X337&lt;&gt;"",Y337="",X337=TODAY()),"Due today",IF(Y337&lt;&gt;"","Follow-up sent","")))</f>
        <v/>
      </c>
      <c r="AK337" s="50" t="s">
        <v>734</v>
      </c>
      <c r="AL337" s="50" t="s">
        <v>735</v>
      </c>
      <c r="AM337" s="50" t="s">
        <v>736</v>
      </c>
      <c r="AN337" s="50">
        <v>5</v>
      </c>
      <c r="AO337" s="54" t="s">
        <v>1417</v>
      </c>
      <c r="AP337" s="57" t="s">
        <v>127</v>
      </c>
      <c r="AQ337" s="58"/>
      <c r="AR337" s="57"/>
    </row>
    <row r="338" spans="1:44" ht="54" customHeight="1" x14ac:dyDescent="0.25">
      <c r="A338" s="43" t="s">
        <v>1418</v>
      </c>
      <c r="B338" s="43" t="s">
        <v>790</v>
      </c>
      <c r="C338" s="43"/>
      <c r="D338" s="44" t="s">
        <v>1419</v>
      </c>
      <c r="E338" s="43"/>
      <c r="F338" s="43" t="s">
        <v>729</v>
      </c>
      <c r="G338" s="45"/>
      <c r="H338" s="45">
        <v>46161</v>
      </c>
      <c r="I338" s="43" t="s">
        <v>730</v>
      </c>
      <c r="J338" s="43" t="s">
        <v>731</v>
      </c>
      <c r="K338" s="43" t="str">
        <f>IF(LEN(D338)=10,"OK","Check")</f>
        <v>OK</v>
      </c>
      <c r="L338" s="43" t="s">
        <v>732</v>
      </c>
      <c r="M338" s="43" t="str">
        <f>IF(L338="Hold","Hold",IF(IFERROR(E338,0)&gt;=200,"High",IF(IFERROR(E338,0)&gt;=100,"Medium","Normal")))</f>
        <v>Hold</v>
      </c>
      <c r="N338" s="43" t="s">
        <v>90</v>
      </c>
      <c r="O338" s="43" t="s">
        <v>91</v>
      </c>
      <c r="P338" s="43" t="s">
        <v>92</v>
      </c>
      <c r="Q338" s="17" t="s">
        <v>93</v>
      </c>
      <c r="R338" s="45"/>
      <c r="S338" s="43"/>
      <c r="T338" s="43" t="s">
        <v>31</v>
      </c>
      <c r="U338" s="43" t="s">
        <v>94</v>
      </c>
      <c r="V338" s="43" t="s">
        <v>94</v>
      </c>
      <c r="W338" s="43" t="s">
        <v>95</v>
      </c>
      <c r="X338" s="45" t="str">
        <f>IF(AND(R338&lt;&gt;"",OR(U338="No reply",U338="Unknown")),R338+2,"")</f>
        <v/>
      </c>
      <c r="Y338" s="45"/>
      <c r="Z338" s="43" t="s">
        <v>96</v>
      </c>
      <c r="AA338" s="43" t="str">
        <f>IF(L338="Hold","Do not send",IF(T338="Not sent","Send WhatsApp",IF(U338="Demo booked","Prepare demo",IF(W338="Booked","Prepare demo",IF(AND(X338&lt;&gt;"",Y338=""),"Send follow-up","Review")))))</f>
        <v>Do not send</v>
      </c>
      <c r="AB338" s="43"/>
      <c r="AC338" s="43" t="s">
        <v>733</v>
      </c>
      <c r="AD338" s="43">
        <f>IF(AA338="Prepare demo",1,IF(AA338="Send follow-up",2,IF(AA338="Send WhatsApp",3,IF(AA338="Review",4,IF(AA338="Do not send",9,5)))))</f>
        <v>9</v>
      </c>
      <c r="AE338" s="43">
        <f>IF(M338="High",1,IF(M338="Medium",2,IF(M338="Normal",3,IF(M338="Hold",9,4))))</f>
        <v>9</v>
      </c>
      <c r="AF338" s="43">
        <f>IF(T338="Read",1,IF(T338="Delivered",2,IF(T338="Sent",3,IF(T338="Not sent",4,IF(T338="Failed",9,5)))))</f>
        <v>4</v>
      </c>
      <c r="AG338" s="43">
        <f>IF(U338="Demo booked",1,IF(U338="Interested",2,IF(U338="Replied",3,IF(U338="No reply",5,IF(U338="Not interested",8,IF(U338="Bad number",9,6))))))</f>
        <v>6</v>
      </c>
      <c r="AH338" s="46">
        <f>AD338*1000+AN338*100+AE338*10+AG338</f>
        <v>9596</v>
      </c>
      <c r="AI338" s="45">
        <f>MAX(IF(R338="",0,R338),IF(Y338="",0,Y338))</f>
        <v>0</v>
      </c>
      <c r="AJ338" s="43" t="str">
        <f ca="1">IF(AND(X338&lt;&gt;"",Y338="",X338&lt;TODAY()),"Overdue",IF(AND(X338&lt;&gt;"",Y338="",X338=TODAY()),"Due today",IF(Y338&lt;&gt;"","Follow-up sent","")))</f>
        <v/>
      </c>
      <c r="AK338" s="50" t="s">
        <v>734</v>
      </c>
      <c r="AL338" s="50" t="s">
        <v>735</v>
      </c>
      <c r="AM338" s="50" t="s">
        <v>736</v>
      </c>
      <c r="AN338" s="50">
        <v>5</v>
      </c>
      <c r="AO338" s="54" t="s">
        <v>1420</v>
      </c>
      <c r="AP338" s="57" t="s">
        <v>127</v>
      </c>
      <c r="AQ338" s="58"/>
      <c r="AR338" s="57"/>
    </row>
    <row r="339" spans="1:44" ht="54" customHeight="1" x14ac:dyDescent="0.25">
      <c r="A339" s="43" t="s">
        <v>1421</v>
      </c>
      <c r="B339" s="43" t="s">
        <v>790</v>
      </c>
      <c r="C339" s="43"/>
      <c r="D339" s="44" t="s">
        <v>1422</v>
      </c>
      <c r="E339" s="43"/>
      <c r="F339" s="43" t="s">
        <v>729</v>
      </c>
      <c r="G339" s="45"/>
      <c r="H339" s="45">
        <v>46161</v>
      </c>
      <c r="I339" s="43" t="s">
        <v>730</v>
      </c>
      <c r="J339" s="43" t="s">
        <v>731</v>
      </c>
      <c r="K339" s="43" t="str">
        <f>IF(LEN(D339)=10,"OK","Check")</f>
        <v>OK</v>
      </c>
      <c r="L339" s="43" t="s">
        <v>732</v>
      </c>
      <c r="M339" s="43" t="str">
        <f>IF(L339="Hold","Hold",IF(IFERROR(E339,0)&gt;=200,"High",IF(IFERROR(E339,0)&gt;=100,"Medium","Normal")))</f>
        <v>Hold</v>
      </c>
      <c r="N339" s="43" t="s">
        <v>90</v>
      </c>
      <c r="O339" s="43" t="s">
        <v>91</v>
      </c>
      <c r="P339" s="43" t="s">
        <v>92</v>
      </c>
      <c r="Q339" s="17" t="s">
        <v>93</v>
      </c>
      <c r="R339" s="45"/>
      <c r="S339" s="43"/>
      <c r="T339" s="43" t="s">
        <v>31</v>
      </c>
      <c r="U339" s="43" t="s">
        <v>94</v>
      </c>
      <c r="V339" s="43" t="s">
        <v>94</v>
      </c>
      <c r="W339" s="43" t="s">
        <v>95</v>
      </c>
      <c r="X339" s="45" t="str">
        <f>IF(AND(R339&lt;&gt;"",OR(U339="No reply",U339="Unknown")),R339+2,"")</f>
        <v/>
      </c>
      <c r="Y339" s="45"/>
      <c r="Z339" s="43" t="s">
        <v>96</v>
      </c>
      <c r="AA339" s="43" t="str">
        <f>IF(L339="Hold","Do not send",IF(T339="Not sent","Send WhatsApp",IF(U339="Demo booked","Prepare demo",IF(W339="Booked","Prepare demo",IF(AND(X339&lt;&gt;"",Y339=""),"Send follow-up","Review")))))</f>
        <v>Do not send</v>
      </c>
      <c r="AB339" s="43"/>
      <c r="AC339" s="43" t="s">
        <v>733</v>
      </c>
      <c r="AD339" s="43">
        <f>IF(AA339="Prepare demo",1,IF(AA339="Send follow-up",2,IF(AA339="Send WhatsApp",3,IF(AA339="Review",4,IF(AA339="Do not send",9,5)))))</f>
        <v>9</v>
      </c>
      <c r="AE339" s="43">
        <f>IF(M339="High",1,IF(M339="Medium",2,IF(M339="Normal",3,IF(M339="Hold",9,4))))</f>
        <v>9</v>
      </c>
      <c r="AF339" s="43">
        <f>IF(T339="Read",1,IF(T339="Delivered",2,IF(T339="Sent",3,IF(T339="Not sent",4,IF(T339="Failed",9,5)))))</f>
        <v>4</v>
      </c>
      <c r="AG339" s="43">
        <f>IF(U339="Demo booked",1,IF(U339="Interested",2,IF(U339="Replied",3,IF(U339="No reply",5,IF(U339="Not interested",8,IF(U339="Bad number",9,6))))))</f>
        <v>6</v>
      </c>
      <c r="AH339" s="46">
        <f>AD339*1000+AN339*100+AE339*10+AG339</f>
        <v>9596</v>
      </c>
      <c r="AI339" s="45">
        <f>MAX(IF(R339="",0,R339),IF(Y339="",0,Y339))</f>
        <v>0</v>
      </c>
      <c r="AJ339" s="43" t="str">
        <f ca="1">IF(AND(X339&lt;&gt;"",Y339="",X339&lt;TODAY()),"Overdue",IF(AND(X339&lt;&gt;"",Y339="",X339=TODAY()),"Due today",IF(Y339&lt;&gt;"","Follow-up sent","")))</f>
        <v/>
      </c>
      <c r="AK339" s="50" t="s">
        <v>734</v>
      </c>
      <c r="AL339" s="50" t="s">
        <v>735</v>
      </c>
      <c r="AM339" s="50" t="s">
        <v>736</v>
      </c>
      <c r="AN339" s="50">
        <v>5</v>
      </c>
      <c r="AO339" s="54" t="s">
        <v>1423</v>
      </c>
      <c r="AP339" s="57" t="s">
        <v>127</v>
      </c>
      <c r="AQ339" s="58"/>
      <c r="AR339" s="57"/>
    </row>
    <row r="340" spans="1:44" ht="54" customHeight="1" x14ac:dyDescent="0.25">
      <c r="A340" s="43" t="s">
        <v>1424</v>
      </c>
      <c r="B340" s="43" t="s">
        <v>790</v>
      </c>
      <c r="C340" s="43"/>
      <c r="D340" s="44" t="s">
        <v>1425</v>
      </c>
      <c r="E340" s="43"/>
      <c r="F340" s="43" t="s">
        <v>729</v>
      </c>
      <c r="G340" s="45"/>
      <c r="H340" s="45">
        <v>46161</v>
      </c>
      <c r="I340" s="43" t="s">
        <v>730</v>
      </c>
      <c r="J340" s="43" t="s">
        <v>731</v>
      </c>
      <c r="K340" s="43" t="str">
        <f>IF(LEN(D340)=10,"OK","Check")</f>
        <v>OK</v>
      </c>
      <c r="L340" s="43" t="s">
        <v>732</v>
      </c>
      <c r="M340" s="43" t="str">
        <f>IF(L340="Hold","Hold",IF(IFERROR(E340,0)&gt;=200,"High",IF(IFERROR(E340,0)&gt;=100,"Medium","Normal")))</f>
        <v>Hold</v>
      </c>
      <c r="N340" s="43" t="s">
        <v>90</v>
      </c>
      <c r="O340" s="43" t="s">
        <v>91</v>
      </c>
      <c r="P340" s="43" t="s">
        <v>92</v>
      </c>
      <c r="Q340" s="17" t="s">
        <v>93</v>
      </c>
      <c r="R340" s="45"/>
      <c r="S340" s="43"/>
      <c r="T340" s="43" t="s">
        <v>31</v>
      </c>
      <c r="U340" s="43" t="s">
        <v>94</v>
      </c>
      <c r="V340" s="43" t="s">
        <v>94</v>
      </c>
      <c r="W340" s="43" t="s">
        <v>95</v>
      </c>
      <c r="X340" s="45" t="str">
        <f>IF(AND(R340&lt;&gt;"",OR(U340="No reply",U340="Unknown")),R340+2,"")</f>
        <v/>
      </c>
      <c r="Y340" s="45"/>
      <c r="Z340" s="43" t="s">
        <v>96</v>
      </c>
      <c r="AA340" s="43" t="str">
        <f>IF(L340="Hold","Do not send",IF(T340="Not sent","Send WhatsApp",IF(U340="Demo booked","Prepare demo",IF(W340="Booked","Prepare demo",IF(AND(X340&lt;&gt;"",Y340=""),"Send follow-up","Review")))))</f>
        <v>Do not send</v>
      </c>
      <c r="AB340" s="43"/>
      <c r="AC340" s="43" t="s">
        <v>733</v>
      </c>
      <c r="AD340" s="43">
        <f>IF(AA340="Prepare demo",1,IF(AA340="Send follow-up",2,IF(AA340="Send WhatsApp",3,IF(AA340="Review",4,IF(AA340="Do not send",9,5)))))</f>
        <v>9</v>
      </c>
      <c r="AE340" s="43">
        <f>IF(M340="High",1,IF(M340="Medium",2,IF(M340="Normal",3,IF(M340="Hold",9,4))))</f>
        <v>9</v>
      </c>
      <c r="AF340" s="43">
        <f>IF(T340="Read",1,IF(T340="Delivered",2,IF(T340="Sent",3,IF(T340="Not sent",4,IF(T340="Failed",9,5)))))</f>
        <v>4</v>
      </c>
      <c r="AG340" s="43">
        <f>IF(U340="Demo booked",1,IF(U340="Interested",2,IF(U340="Replied",3,IF(U340="No reply",5,IF(U340="Not interested",8,IF(U340="Bad number",9,6))))))</f>
        <v>6</v>
      </c>
      <c r="AH340" s="46">
        <f>AD340*1000+AN340*100+AE340*10+AG340</f>
        <v>9596</v>
      </c>
      <c r="AI340" s="45">
        <f>MAX(IF(R340="",0,R340),IF(Y340="",0,Y340))</f>
        <v>0</v>
      </c>
      <c r="AJ340" s="43" t="str">
        <f ca="1">IF(AND(X340&lt;&gt;"",Y340="",X340&lt;TODAY()),"Overdue",IF(AND(X340&lt;&gt;"",Y340="",X340=TODAY()),"Due today",IF(Y340&lt;&gt;"","Follow-up sent","")))</f>
        <v/>
      </c>
      <c r="AK340" s="50" t="s">
        <v>734</v>
      </c>
      <c r="AL340" s="50" t="s">
        <v>735</v>
      </c>
      <c r="AM340" s="50" t="s">
        <v>736</v>
      </c>
      <c r="AN340" s="50">
        <v>5</v>
      </c>
      <c r="AO340" s="54" t="s">
        <v>1426</v>
      </c>
      <c r="AP340" s="57" t="s">
        <v>127</v>
      </c>
      <c r="AQ340" s="58"/>
      <c r="AR340" s="57"/>
    </row>
    <row r="341" spans="1:44" ht="54" customHeight="1" x14ac:dyDescent="0.25">
      <c r="A341" s="43" t="s">
        <v>1427</v>
      </c>
      <c r="B341" s="43" t="s">
        <v>790</v>
      </c>
      <c r="C341" s="43"/>
      <c r="D341" s="44" t="s">
        <v>1428</v>
      </c>
      <c r="E341" s="43"/>
      <c r="F341" s="43" t="s">
        <v>729</v>
      </c>
      <c r="G341" s="45"/>
      <c r="H341" s="45">
        <v>46161</v>
      </c>
      <c r="I341" s="43" t="s">
        <v>730</v>
      </c>
      <c r="J341" s="43" t="s">
        <v>731</v>
      </c>
      <c r="K341" s="43" t="str">
        <f>IF(LEN(D341)=10,"OK","Check")</f>
        <v>OK</v>
      </c>
      <c r="L341" s="43" t="s">
        <v>732</v>
      </c>
      <c r="M341" s="43" t="str">
        <f>IF(L341="Hold","Hold",IF(IFERROR(E341,0)&gt;=200,"High",IF(IFERROR(E341,0)&gt;=100,"Medium","Normal")))</f>
        <v>Hold</v>
      </c>
      <c r="N341" s="43" t="s">
        <v>90</v>
      </c>
      <c r="O341" s="43" t="s">
        <v>91</v>
      </c>
      <c r="P341" s="43" t="s">
        <v>92</v>
      </c>
      <c r="Q341" s="17" t="s">
        <v>93</v>
      </c>
      <c r="R341" s="45"/>
      <c r="S341" s="43"/>
      <c r="T341" s="43" t="s">
        <v>31</v>
      </c>
      <c r="U341" s="43" t="s">
        <v>94</v>
      </c>
      <c r="V341" s="43" t="s">
        <v>94</v>
      </c>
      <c r="W341" s="43" t="s">
        <v>95</v>
      </c>
      <c r="X341" s="45" t="str">
        <f>IF(AND(R341&lt;&gt;"",OR(U341="No reply",U341="Unknown")),R341+2,"")</f>
        <v/>
      </c>
      <c r="Y341" s="45"/>
      <c r="Z341" s="43" t="s">
        <v>96</v>
      </c>
      <c r="AA341" s="43" t="str">
        <f>IF(L341="Hold","Do not send",IF(T341="Not sent","Send WhatsApp",IF(U341="Demo booked","Prepare demo",IF(W341="Booked","Prepare demo",IF(AND(X341&lt;&gt;"",Y341=""),"Send follow-up","Review")))))</f>
        <v>Do not send</v>
      </c>
      <c r="AB341" s="43"/>
      <c r="AC341" s="43" t="s">
        <v>733</v>
      </c>
      <c r="AD341" s="43">
        <f>IF(AA341="Prepare demo",1,IF(AA341="Send follow-up",2,IF(AA341="Send WhatsApp",3,IF(AA341="Review",4,IF(AA341="Do not send",9,5)))))</f>
        <v>9</v>
      </c>
      <c r="AE341" s="43">
        <f>IF(M341="High",1,IF(M341="Medium",2,IF(M341="Normal",3,IF(M341="Hold",9,4))))</f>
        <v>9</v>
      </c>
      <c r="AF341" s="43">
        <f>IF(T341="Read",1,IF(T341="Delivered",2,IF(T341="Sent",3,IF(T341="Not sent",4,IF(T341="Failed",9,5)))))</f>
        <v>4</v>
      </c>
      <c r="AG341" s="43">
        <f>IF(U341="Demo booked",1,IF(U341="Interested",2,IF(U341="Replied",3,IF(U341="No reply",5,IF(U341="Not interested",8,IF(U341="Bad number",9,6))))))</f>
        <v>6</v>
      </c>
      <c r="AH341" s="46">
        <f>AD341*1000+AN341*100+AE341*10+AG341</f>
        <v>9596</v>
      </c>
      <c r="AI341" s="45">
        <f>MAX(IF(R341="",0,R341),IF(Y341="",0,Y341))</f>
        <v>0</v>
      </c>
      <c r="AJ341" s="43" t="str">
        <f ca="1">IF(AND(X341&lt;&gt;"",Y341="",X341&lt;TODAY()),"Overdue",IF(AND(X341&lt;&gt;"",Y341="",X341=TODAY()),"Due today",IF(Y341&lt;&gt;"","Follow-up sent","")))</f>
        <v/>
      </c>
      <c r="AK341" s="50" t="s">
        <v>734</v>
      </c>
      <c r="AL341" s="50" t="s">
        <v>735</v>
      </c>
      <c r="AM341" s="50" t="s">
        <v>736</v>
      </c>
      <c r="AN341" s="50">
        <v>5</v>
      </c>
      <c r="AO341" s="54" t="s">
        <v>1429</v>
      </c>
      <c r="AP341" s="57" t="s">
        <v>127</v>
      </c>
      <c r="AQ341" s="58"/>
      <c r="AR341" s="57"/>
    </row>
    <row r="342" spans="1:44" ht="54" customHeight="1" x14ac:dyDescent="0.25">
      <c r="A342" s="43" t="s">
        <v>1430</v>
      </c>
      <c r="B342" s="43" t="s">
        <v>790</v>
      </c>
      <c r="C342" s="43"/>
      <c r="D342" s="44" t="s">
        <v>1431</v>
      </c>
      <c r="E342" s="43"/>
      <c r="F342" s="43" t="s">
        <v>729</v>
      </c>
      <c r="G342" s="45"/>
      <c r="H342" s="45">
        <v>46161</v>
      </c>
      <c r="I342" s="43" t="s">
        <v>730</v>
      </c>
      <c r="J342" s="43" t="s">
        <v>731</v>
      </c>
      <c r="K342" s="43" t="str">
        <f>IF(LEN(D342)=10,"OK","Check")</f>
        <v>OK</v>
      </c>
      <c r="L342" s="43" t="s">
        <v>732</v>
      </c>
      <c r="M342" s="43" t="str">
        <f>IF(L342="Hold","Hold",IF(IFERROR(E342,0)&gt;=200,"High",IF(IFERROR(E342,0)&gt;=100,"Medium","Normal")))</f>
        <v>Hold</v>
      </c>
      <c r="N342" s="43" t="s">
        <v>90</v>
      </c>
      <c r="O342" s="43" t="s">
        <v>91</v>
      </c>
      <c r="P342" s="43" t="s">
        <v>92</v>
      </c>
      <c r="Q342" s="17" t="s">
        <v>93</v>
      </c>
      <c r="R342" s="45"/>
      <c r="S342" s="43"/>
      <c r="T342" s="43" t="s">
        <v>31</v>
      </c>
      <c r="U342" s="43" t="s">
        <v>94</v>
      </c>
      <c r="V342" s="43" t="s">
        <v>94</v>
      </c>
      <c r="W342" s="43" t="s">
        <v>95</v>
      </c>
      <c r="X342" s="45" t="str">
        <f>IF(AND(R342&lt;&gt;"",OR(U342="No reply",U342="Unknown")),R342+2,"")</f>
        <v/>
      </c>
      <c r="Y342" s="45"/>
      <c r="Z342" s="43" t="s">
        <v>96</v>
      </c>
      <c r="AA342" s="43" t="str">
        <f>IF(L342="Hold","Do not send",IF(T342="Not sent","Send WhatsApp",IF(U342="Demo booked","Prepare demo",IF(W342="Booked","Prepare demo",IF(AND(X342&lt;&gt;"",Y342=""),"Send follow-up","Review")))))</f>
        <v>Do not send</v>
      </c>
      <c r="AB342" s="43"/>
      <c r="AC342" s="43" t="s">
        <v>733</v>
      </c>
      <c r="AD342" s="43">
        <f>IF(AA342="Prepare demo",1,IF(AA342="Send follow-up",2,IF(AA342="Send WhatsApp",3,IF(AA342="Review",4,IF(AA342="Do not send",9,5)))))</f>
        <v>9</v>
      </c>
      <c r="AE342" s="43">
        <f>IF(M342="High",1,IF(M342="Medium",2,IF(M342="Normal",3,IF(M342="Hold",9,4))))</f>
        <v>9</v>
      </c>
      <c r="AF342" s="43">
        <f>IF(T342="Read",1,IF(T342="Delivered",2,IF(T342="Sent",3,IF(T342="Not sent",4,IF(T342="Failed",9,5)))))</f>
        <v>4</v>
      </c>
      <c r="AG342" s="43">
        <f>IF(U342="Demo booked",1,IF(U342="Interested",2,IF(U342="Replied",3,IF(U342="No reply",5,IF(U342="Not interested",8,IF(U342="Bad number",9,6))))))</f>
        <v>6</v>
      </c>
      <c r="AH342" s="46">
        <f>AD342*1000+AN342*100+AE342*10+AG342</f>
        <v>9596</v>
      </c>
      <c r="AI342" s="45">
        <f>MAX(IF(R342="",0,R342),IF(Y342="",0,Y342))</f>
        <v>0</v>
      </c>
      <c r="AJ342" s="43" t="str">
        <f ca="1">IF(AND(X342&lt;&gt;"",Y342="",X342&lt;TODAY()),"Overdue",IF(AND(X342&lt;&gt;"",Y342="",X342=TODAY()),"Due today",IF(Y342&lt;&gt;"","Follow-up sent","")))</f>
        <v/>
      </c>
      <c r="AK342" s="50" t="s">
        <v>734</v>
      </c>
      <c r="AL342" s="50" t="s">
        <v>735</v>
      </c>
      <c r="AM342" s="50" t="s">
        <v>736</v>
      </c>
      <c r="AN342" s="50">
        <v>5</v>
      </c>
      <c r="AO342" s="54" t="s">
        <v>1432</v>
      </c>
      <c r="AP342" s="57" t="s">
        <v>127</v>
      </c>
      <c r="AQ342" s="58"/>
      <c r="AR342" s="57"/>
    </row>
    <row r="343" spans="1:44" ht="54" customHeight="1" x14ac:dyDescent="0.25">
      <c r="A343" s="43" t="s">
        <v>1433</v>
      </c>
      <c r="B343" s="43" t="s">
        <v>790</v>
      </c>
      <c r="C343" s="43"/>
      <c r="D343" s="44" t="s">
        <v>1434</v>
      </c>
      <c r="E343" s="43"/>
      <c r="F343" s="43" t="s">
        <v>729</v>
      </c>
      <c r="G343" s="45"/>
      <c r="H343" s="45">
        <v>46161</v>
      </c>
      <c r="I343" s="43" t="s">
        <v>730</v>
      </c>
      <c r="J343" s="43" t="s">
        <v>731</v>
      </c>
      <c r="K343" s="43" t="str">
        <f>IF(LEN(D343)=10,"OK","Check")</f>
        <v>OK</v>
      </c>
      <c r="L343" s="43" t="s">
        <v>732</v>
      </c>
      <c r="M343" s="43" t="str">
        <f>IF(L343="Hold","Hold",IF(IFERROR(E343,0)&gt;=200,"High",IF(IFERROR(E343,0)&gt;=100,"Medium","Normal")))</f>
        <v>Hold</v>
      </c>
      <c r="N343" s="43" t="s">
        <v>90</v>
      </c>
      <c r="O343" s="43" t="s">
        <v>91</v>
      </c>
      <c r="P343" s="43" t="s">
        <v>92</v>
      </c>
      <c r="Q343" s="17" t="s">
        <v>93</v>
      </c>
      <c r="R343" s="45"/>
      <c r="S343" s="43"/>
      <c r="T343" s="43" t="s">
        <v>31</v>
      </c>
      <c r="U343" s="43" t="s">
        <v>94</v>
      </c>
      <c r="V343" s="43" t="s">
        <v>94</v>
      </c>
      <c r="W343" s="43" t="s">
        <v>95</v>
      </c>
      <c r="X343" s="45" t="str">
        <f>IF(AND(R343&lt;&gt;"",OR(U343="No reply",U343="Unknown")),R343+2,"")</f>
        <v/>
      </c>
      <c r="Y343" s="45"/>
      <c r="Z343" s="43" t="s">
        <v>96</v>
      </c>
      <c r="AA343" s="43" t="str">
        <f>IF(L343="Hold","Do not send",IF(T343="Not sent","Send WhatsApp",IF(U343="Demo booked","Prepare demo",IF(W343="Booked","Prepare demo",IF(AND(X343&lt;&gt;"",Y343=""),"Send follow-up","Review")))))</f>
        <v>Do not send</v>
      </c>
      <c r="AB343" s="43"/>
      <c r="AC343" s="43" t="s">
        <v>733</v>
      </c>
      <c r="AD343" s="43">
        <f>IF(AA343="Prepare demo",1,IF(AA343="Send follow-up",2,IF(AA343="Send WhatsApp",3,IF(AA343="Review",4,IF(AA343="Do not send",9,5)))))</f>
        <v>9</v>
      </c>
      <c r="AE343" s="43">
        <f>IF(M343="High",1,IF(M343="Medium",2,IF(M343="Normal",3,IF(M343="Hold",9,4))))</f>
        <v>9</v>
      </c>
      <c r="AF343" s="43">
        <f>IF(T343="Read",1,IF(T343="Delivered",2,IF(T343="Sent",3,IF(T343="Not sent",4,IF(T343="Failed",9,5)))))</f>
        <v>4</v>
      </c>
      <c r="AG343" s="43">
        <f>IF(U343="Demo booked",1,IF(U343="Interested",2,IF(U343="Replied",3,IF(U343="No reply",5,IF(U343="Not interested",8,IF(U343="Bad number",9,6))))))</f>
        <v>6</v>
      </c>
      <c r="AH343" s="46">
        <f>AD343*1000+AN343*100+AE343*10+AG343</f>
        <v>9596</v>
      </c>
      <c r="AI343" s="45">
        <f>MAX(IF(R343="",0,R343),IF(Y343="",0,Y343))</f>
        <v>0</v>
      </c>
      <c r="AJ343" s="43" t="str">
        <f ca="1">IF(AND(X343&lt;&gt;"",Y343="",X343&lt;TODAY()),"Overdue",IF(AND(X343&lt;&gt;"",Y343="",X343=TODAY()),"Due today",IF(Y343&lt;&gt;"","Follow-up sent","")))</f>
        <v/>
      </c>
      <c r="AK343" s="50" t="s">
        <v>734</v>
      </c>
      <c r="AL343" s="50" t="s">
        <v>735</v>
      </c>
      <c r="AM343" s="50" t="s">
        <v>736</v>
      </c>
      <c r="AN343" s="50">
        <v>5</v>
      </c>
      <c r="AO343" s="54" t="s">
        <v>1435</v>
      </c>
      <c r="AP343" s="57" t="s">
        <v>127</v>
      </c>
      <c r="AQ343" s="58"/>
      <c r="AR343" s="57"/>
    </row>
    <row r="344" spans="1:44" ht="54" customHeight="1" x14ac:dyDescent="0.25">
      <c r="A344" s="43" t="s">
        <v>1436</v>
      </c>
      <c r="B344" s="43" t="s">
        <v>790</v>
      </c>
      <c r="C344" s="43"/>
      <c r="D344" s="44" t="s">
        <v>1437</v>
      </c>
      <c r="E344" s="43"/>
      <c r="F344" s="43" t="s">
        <v>729</v>
      </c>
      <c r="G344" s="45"/>
      <c r="H344" s="45">
        <v>46161</v>
      </c>
      <c r="I344" s="43" t="s">
        <v>730</v>
      </c>
      <c r="J344" s="43" t="s">
        <v>731</v>
      </c>
      <c r="K344" s="43" t="str">
        <f>IF(LEN(D344)=10,"OK","Check")</f>
        <v>OK</v>
      </c>
      <c r="L344" s="43" t="s">
        <v>732</v>
      </c>
      <c r="M344" s="43" t="str">
        <f>IF(L344="Hold","Hold",IF(IFERROR(E344,0)&gt;=200,"High",IF(IFERROR(E344,0)&gt;=100,"Medium","Normal")))</f>
        <v>Hold</v>
      </c>
      <c r="N344" s="43" t="s">
        <v>90</v>
      </c>
      <c r="O344" s="43" t="s">
        <v>91</v>
      </c>
      <c r="P344" s="43" t="s">
        <v>92</v>
      </c>
      <c r="Q344" s="17" t="s">
        <v>93</v>
      </c>
      <c r="R344" s="45"/>
      <c r="S344" s="43"/>
      <c r="T344" s="43" t="s">
        <v>31</v>
      </c>
      <c r="U344" s="43" t="s">
        <v>94</v>
      </c>
      <c r="V344" s="43" t="s">
        <v>94</v>
      </c>
      <c r="W344" s="43" t="s">
        <v>95</v>
      </c>
      <c r="X344" s="45" t="str">
        <f>IF(AND(R344&lt;&gt;"",OR(U344="No reply",U344="Unknown")),R344+2,"")</f>
        <v/>
      </c>
      <c r="Y344" s="45"/>
      <c r="Z344" s="43" t="s">
        <v>96</v>
      </c>
      <c r="AA344" s="43" t="str">
        <f>IF(L344="Hold","Do not send",IF(T344="Not sent","Send WhatsApp",IF(U344="Demo booked","Prepare demo",IF(W344="Booked","Prepare demo",IF(AND(X344&lt;&gt;"",Y344=""),"Send follow-up","Review")))))</f>
        <v>Do not send</v>
      </c>
      <c r="AB344" s="43"/>
      <c r="AC344" s="43" t="s">
        <v>733</v>
      </c>
      <c r="AD344" s="43">
        <f>IF(AA344="Prepare demo",1,IF(AA344="Send follow-up",2,IF(AA344="Send WhatsApp",3,IF(AA344="Review",4,IF(AA344="Do not send",9,5)))))</f>
        <v>9</v>
      </c>
      <c r="AE344" s="43">
        <f>IF(M344="High",1,IF(M344="Medium",2,IF(M344="Normal",3,IF(M344="Hold",9,4))))</f>
        <v>9</v>
      </c>
      <c r="AF344" s="43">
        <f>IF(T344="Read",1,IF(T344="Delivered",2,IF(T344="Sent",3,IF(T344="Not sent",4,IF(T344="Failed",9,5)))))</f>
        <v>4</v>
      </c>
      <c r="AG344" s="43">
        <f>IF(U344="Demo booked",1,IF(U344="Interested",2,IF(U344="Replied",3,IF(U344="No reply",5,IF(U344="Not interested",8,IF(U344="Bad number",9,6))))))</f>
        <v>6</v>
      </c>
      <c r="AH344" s="46">
        <f>AD344*1000+AN344*100+AE344*10+AG344</f>
        <v>9596</v>
      </c>
      <c r="AI344" s="45">
        <f>MAX(IF(R344="",0,R344),IF(Y344="",0,Y344))</f>
        <v>0</v>
      </c>
      <c r="AJ344" s="43" t="str">
        <f ca="1">IF(AND(X344&lt;&gt;"",Y344="",X344&lt;TODAY()),"Overdue",IF(AND(X344&lt;&gt;"",Y344="",X344=TODAY()),"Due today",IF(Y344&lt;&gt;"","Follow-up sent","")))</f>
        <v/>
      </c>
      <c r="AK344" s="50" t="s">
        <v>734</v>
      </c>
      <c r="AL344" s="50" t="s">
        <v>735</v>
      </c>
      <c r="AM344" s="50" t="s">
        <v>736</v>
      </c>
      <c r="AN344" s="50">
        <v>5</v>
      </c>
      <c r="AO344" s="54" t="s">
        <v>1438</v>
      </c>
      <c r="AP344" s="57" t="s">
        <v>127</v>
      </c>
      <c r="AQ344" s="58"/>
      <c r="AR344" s="57"/>
    </row>
    <row r="345" spans="1:44" ht="54" customHeight="1" x14ac:dyDescent="0.25">
      <c r="A345" s="43" t="s">
        <v>1439</v>
      </c>
      <c r="B345" s="43" t="s">
        <v>790</v>
      </c>
      <c r="C345" s="43"/>
      <c r="D345" s="44" t="s">
        <v>1440</v>
      </c>
      <c r="E345" s="43"/>
      <c r="F345" s="43" t="s">
        <v>729</v>
      </c>
      <c r="G345" s="45"/>
      <c r="H345" s="45">
        <v>46161</v>
      </c>
      <c r="I345" s="43" t="s">
        <v>730</v>
      </c>
      <c r="J345" s="43" t="s">
        <v>731</v>
      </c>
      <c r="K345" s="43" t="str">
        <f>IF(LEN(D345)=10,"OK","Check")</f>
        <v>OK</v>
      </c>
      <c r="L345" s="43" t="s">
        <v>732</v>
      </c>
      <c r="M345" s="43" t="str">
        <f>IF(L345="Hold","Hold",IF(IFERROR(E345,0)&gt;=200,"High",IF(IFERROR(E345,0)&gt;=100,"Medium","Normal")))</f>
        <v>Hold</v>
      </c>
      <c r="N345" s="43" t="s">
        <v>90</v>
      </c>
      <c r="O345" s="43" t="s">
        <v>91</v>
      </c>
      <c r="P345" s="43" t="s">
        <v>92</v>
      </c>
      <c r="Q345" s="17" t="s">
        <v>93</v>
      </c>
      <c r="R345" s="45"/>
      <c r="S345" s="43"/>
      <c r="T345" s="43" t="s">
        <v>31</v>
      </c>
      <c r="U345" s="43" t="s">
        <v>94</v>
      </c>
      <c r="V345" s="43" t="s">
        <v>94</v>
      </c>
      <c r="W345" s="43" t="s">
        <v>95</v>
      </c>
      <c r="X345" s="45" t="str">
        <f>IF(AND(R345&lt;&gt;"",OR(U345="No reply",U345="Unknown")),R345+2,"")</f>
        <v/>
      </c>
      <c r="Y345" s="45"/>
      <c r="Z345" s="43" t="s">
        <v>96</v>
      </c>
      <c r="AA345" s="43" t="str">
        <f>IF(L345="Hold","Do not send",IF(T345="Not sent","Send WhatsApp",IF(U345="Demo booked","Prepare demo",IF(W345="Booked","Prepare demo",IF(AND(X345&lt;&gt;"",Y345=""),"Send follow-up","Review")))))</f>
        <v>Do not send</v>
      </c>
      <c r="AB345" s="43"/>
      <c r="AC345" s="43" t="s">
        <v>733</v>
      </c>
      <c r="AD345" s="43">
        <f>IF(AA345="Prepare demo",1,IF(AA345="Send follow-up",2,IF(AA345="Send WhatsApp",3,IF(AA345="Review",4,IF(AA345="Do not send",9,5)))))</f>
        <v>9</v>
      </c>
      <c r="AE345" s="43">
        <f>IF(M345="High",1,IF(M345="Medium",2,IF(M345="Normal",3,IF(M345="Hold",9,4))))</f>
        <v>9</v>
      </c>
      <c r="AF345" s="43">
        <f>IF(T345="Read",1,IF(T345="Delivered",2,IF(T345="Sent",3,IF(T345="Not sent",4,IF(T345="Failed",9,5)))))</f>
        <v>4</v>
      </c>
      <c r="AG345" s="43">
        <f>IF(U345="Demo booked",1,IF(U345="Interested",2,IF(U345="Replied",3,IF(U345="No reply",5,IF(U345="Not interested",8,IF(U345="Bad number",9,6))))))</f>
        <v>6</v>
      </c>
      <c r="AH345" s="46">
        <f>AD345*1000+AN345*100+AE345*10+AG345</f>
        <v>9596</v>
      </c>
      <c r="AI345" s="45">
        <f>MAX(IF(R345="",0,R345),IF(Y345="",0,Y345))</f>
        <v>0</v>
      </c>
      <c r="AJ345" s="43" t="str">
        <f ca="1">IF(AND(X345&lt;&gt;"",Y345="",X345&lt;TODAY()),"Overdue",IF(AND(X345&lt;&gt;"",Y345="",X345=TODAY()),"Due today",IF(Y345&lt;&gt;"","Follow-up sent","")))</f>
        <v/>
      </c>
      <c r="AK345" s="50" t="s">
        <v>734</v>
      </c>
      <c r="AL345" s="50" t="s">
        <v>735</v>
      </c>
      <c r="AM345" s="50" t="s">
        <v>736</v>
      </c>
      <c r="AN345" s="50">
        <v>5</v>
      </c>
      <c r="AO345" s="54" t="s">
        <v>1441</v>
      </c>
      <c r="AP345" s="57" t="s">
        <v>127</v>
      </c>
      <c r="AQ345" s="58"/>
      <c r="AR345" s="57"/>
    </row>
    <row r="346" spans="1:44" ht="54" customHeight="1" x14ac:dyDescent="0.25">
      <c r="A346" s="43" t="s">
        <v>1442</v>
      </c>
      <c r="B346" s="43" t="s">
        <v>790</v>
      </c>
      <c r="C346" s="43"/>
      <c r="D346" s="44" t="s">
        <v>1443</v>
      </c>
      <c r="E346" s="43"/>
      <c r="F346" s="43" t="s">
        <v>729</v>
      </c>
      <c r="G346" s="45"/>
      <c r="H346" s="45">
        <v>46161</v>
      </c>
      <c r="I346" s="43" t="s">
        <v>730</v>
      </c>
      <c r="J346" s="43" t="s">
        <v>731</v>
      </c>
      <c r="K346" s="43" t="str">
        <f>IF(LEN(D346)=10,"OK","Check")</f>
        <v>OK</v>
      </c>
      <c r="L346" s="43" t="s">
        <v>732</v>
      </c>
      <c r="M346" s="43" t="str">
        <f>IF(L346="Hold","Hold",IF(IFERROR(E346,0)&gt;=200,"High",IF(IFERROR(E346,0)&gt;=100,"Medium","Normal")))</f>
        <v>Hold</v>
      </c>
      <c r="N346" s="43" t="s">
        <v>90</v>
      </c>
      <c r="O346" s="43" t="s">
        <v>91</v>
      </c>
      <c r="P346" s="43" t="s">
        <v>92</v>
      </c>
      <c r="Q346" s="17" t="s">
        <v>93</v>
      </c>
      <c r="R346" s="45"/>
      <c r="S346" s="43"/>
      <c r="T346" s="43" t="s">
        <v>31</v>
      </c>
      <c r="U346" s="43" t="s">
        <v>94</v>
      </c>
      <c r="V346" s="43" t="s">
        <v>94</v>
      </c>
      <c r="W346" s="43" t="s">
        <v>95</v>
      </c>
      <c r="X346" s="45" t="str">
        <f>IF(AND(R346&lt;&gt;"",OR(U346="No reply",U346="Unknown")),R346+2,"")</f>
        <v/>
      </c>
      <c r="Y346" s="45"/>
      <c r="Z346" s="43" t="s">
        <v>96</v>
      </c>
      <c r="AA346" s="43" t="str">
        <f>IF(L346="Hold","Do not send",IF(T346="Not sent","Send WhatsApp",IF(U346="Demo booked","Prepare demo",IF(W346="Booked","Prepare demo",IF(AND(X346&lt;&gt;"",Y346=""),"Send follow-up","Review")))))</f>
        <v>Do not send</v>
      </c>
      <c r="AB346" s="43"/>
      <c r="AC346" s="43" t="s">
        <v>733</v>
      </c>
      <c r="AD346" s="43">
        <f>IF(AA346="Prepare demo",1,IF(AA346="Send follow-up",2,IF(AA346="Send WhatsApp",3,IF(AA346="Review",4,IF(AA346="Do not send",9,5)))))</f>
        <v>9</v>
      </c>
      <c r="AE346" s="43">
        <f>IF(M346="High",1,IF(M346="Medium",2,IF(M346="Normal",3,IF(M346="Hold",9,4))))</f>
        <v>9</v>
      </c>
      <c r="AF346" s="43">
        <f>IF(T346="Read",1,IF(T346="Delivered",2,IF(T346="Sent",3,IF(T346="Not sent",4,IF(T346="Failed",9,5)))))</f>
        <v>4</v>
      </c>
      <c r="AG346" s="43">
        <f>IF(U346="Demo booked",1,IF(U346="Interested",2,IF(U346="Replied",3,IF(U346="No reply",5,IF(U346="Not interested",8,IF(U346="Bad number",9,6))))))</f>
        <v>6</v>
      </c>
      <c r="AH346" s="46">
        <f>AD346*1000+AN346*100+AE346*10+AG346</f>
        <v>9596</v>
      </c>
      <c r="AI346" s="45">
        <f>MAX(IF(R346="",0,R346),IF(Y346="",0,Y346))</f>
        <v>0</v>
      </c>
      <c r="AJ346" s="43" t="str">
        <f ca="1">IF(AND(X346&lt;&gt;"",Y346="",X346&lt;TODAY()),"Overdue",IF(AND(X346&lt;&gt;"",Y346="",X346=TODAY()),"Due today",IF(Y346&lt;&gt;"","Follow-up sent","")))</f>
        <v/>
      </c>
      <c r="AK346" s="50" t="s">
        <v>734</v>
      </c>
      <c r="AL346" s="50" t="s">
        <v>735</v>
      </c>
      <c r="AM346" s="50" t="s">
        <v>736</v>
      </c>
      <c r="AN346" s="50">
        <v>5</v>
      </c>
      <c r="AO346" s="54" t="s">
        <v>1444</v>
      </c>
      <c r="AP346" s="57" t="s">
        <v>127</v>
      </c>
      <c r="AQ346" s="58"/>
      <c r="AR346" s="57"/>
    </row>
    <row r="347" spans="1:44" ht="54" customHeight="1" x14ac:dyDescent="0.25">
      <c r="A347" s="43" t="s">
        <v>1445</v>
      </c>
      <c r="B347" s="43" t="s">
        <v>790</v>
      </c>
      <c r="C347" s="43"/>
      <c r="D347" s="44" t="s">
        <v>1446</v>
      </c>
      <c r="E347" s="43"/>
      <c r="F347" s="43" t="s">
        <v>729</v>
      </c>
      <c r="G347" s="45"/>
      <c r="H347" s="45">
        <v>46161</v>
      </c>
      <c r="I347" s="43" t="s">
        <v>730</v>
      </c>
      <c r="J347" s="43" t="s">
        <v>731</v>
      </c>
      <c r="K347" s="43" t="str">
        <f>IF(LEN(D347)=10,"OK","Check")</f>
        <v>OK</v>
      </c>
      <c r="L347" s="43" t="s">
        <v>732</v>
      </c>
      <c r="M347" s="43" t="str">
        <f>IF(L347="Hold","Hold",IF(IFERROR(E347,0)&gt;=200,"High",IF(IFERROR(E347,0)&gt;=100,"Medium","Normal")))</f>
        <v>Hold</v>
      </c>
      <c r="N347" s="43" t="s">
        <v>90</v>
      </c>
      <c r="O347" s="43" t="s">
        <v>91</v>
      </c>
      <c r="P347" s="43" t="s">
        <v>92</v>
      </c>
      <c r="Q347" s="17" t="s">
        <v>93</v>
      </c>
      <c r="R347" s="45"/>
      <c r="S347" s="43"/>
      <c r="T347" s="43" t="s">
        <v>31</v>
      </c>
      <c r="U347" s="43" t="s">
        <v>94</v>
      </c>
      <c r="V347" s="43" t="s">
        <v>94</v>
      </c>
      <c r="W347" s="43" t="s">
        <v>95</v>
      </c>
      <c r="X347" s="45" t="str">
        <f>IF(AND(R347&lt;&gt;"",OR(U347="No reply",U347="Unknown")),R347+2,"")</f>
        <v/>
      </c>
      <c r="Y347" s="45"/>
      <c r="Z347" s="43" t="s">
        <v>96</v>
      </c>
      <c r="AA347" s="43" t="str">
        <f>IF(L347="Hold","Do not send",IF(T347="Not sent","Send WhatsApp",IF(U347="Demo booked","Prepare demo",IF(W347="Booked","Prepare demo",IF(AND(X347&lt;&gt;"",Y347=""),"Send follow-up","Review")))))</f>
        <v>Do not send</v>
      </c>
      <c r="AB347" s="43"/>
      <c r="AC347" s="43" t="s">
        <v>733</v>
      </c>
      <c r="AD347" s="43">
        <f>IF(AA347="Prepare demo",1,IF(AA347="Send follow-up",2,IF(AA347="Send WhatsApp",3,IF(AA347="Review",4,IF(AA347="Do not send",9,5)))))</f>
        <v>9</v>
      </c>
      <c r="AE347" s="43">
        <f>IF(M347="High",1,IF(M347="Medium",2,IF(M347="Normal",3,IF(M347="Hold",9,4))))</f>
        <v>9</v>
      </c>
      <c r="AF347" s="43">
        <f>IF(T347="Read",1,IF(T347="Delivered",2,IF(T347="Sent",3,IF(T347="Not sent",4,IF(T347="Failed",9,5)))))</f>
        <v>4</v>
      </c>
      <c r="AG347" s="43">
        <f>IF(U347="Demo booked",1,IF(U347="Interested",2,IF(U347="Replied",3,IF(U347="No reply",5,IF(U347="Not interested",8,IF(U347="Bad number",9,6))))))</f>
        <v>6</v>
      </c>
      <c r="AH347" s="46">
        <f>AD347*1000+AN347*100+AE347*10+AG347</f>
        <v>9596</v>
      </c>
      <c r="AI347" s="45">
        <f>MAX(IF(R347="",0,R347),IF(Y347="",0,Y347))</f>
        <v>0</v>
      </c>
      <c r="AJ347" s="43" t="str">
        <f ca="1">IF(AND(X347&lt;&gt;"",Y347="",X347&lt;TODAY()),"Overdue",IF(AND(X347&lt;&gt;"",Y347="",X347=TODAY()),"Due today",IF(Y347&lt;&gt;"","Follow-up sent","")))</f>
        <v/>
      </c>
      <c r="AK347" s="50" t="s">
        <v>734</v>
      </c>
      <c r="AL347" s="50" t="s">
        <v>735</v>
      </c>
      <c r="AM347" s="50" t="s">
        <v>736</v>
      </c>
      <c r="AN347" s="50">
        <v>5</v>
      </c>
      <c r="AO347" s="54" t="s">
        <v>1447</v>
      </c>
      <c r="AP347" s="57" t="s">
        <v>127</v>
      </c>
      <c r="AQ347" s="58"/>
      <c r="AR347" s="57"/>
    </row>
    <row r="348" spans="1:44" ht="54" customHeight="1" x14ac:dyDescent="0.25">
      <c r="A348" s="43" t="s">
        <v>1448</v>
      </c>
      <c r="B348" s="43" t="s">
        <v>790</v>
      </c>
      <c r="C348" s="43"/>
      <c r="D348" s="44" t="s">
        <v>1449</v>
      </c>
      <c r="E348" s="43"/>
      <c r="F348" s="43" t="s">
        <v>729</v>
      </c>
      <c r="G348" s="45"/>
      <c r="H348" s="45">
        <v>46161</v>
      </c>
      <c r="I348" s="43" t="s">
        <v>730</v>
      </c>
      <c r="J348" s="43" t="s">
        <v>731</v>
      </c>
      <c r="K348" s="43" t="str">
        <f>IF(LEN(D348)=10,"OK","Check")</f>
        <v>OK</v>
      </c>
      <c r="L348" s="43" t="s">
        <v>732</v>
      </c>
      <c r="M348" s="43" t="str">
        <f>IF(L348="Hold","Hold",IF(IFERROR(E348,0)&gt;=200,"High",IF(IFERROR(E348,0)&gt;=100,"Medium","Normal")))</f>
        <v>Hold</v>
      </c>
      <c r="N348" s="43" t="s">
        <v>90</v>
      </c>
      <c r="O348" s="43" t="s">
        <v>91</v>
      </c>
      <c r="P348" s="43" t="s">
        <v>92</v>
      </c>
      <c r="Q348" s="17" t="s">
        <v>93</v>
      </c>
      <c r="R348" s="45"/>
      <c r="S348" s="43"/>
      <c r="T348" s="43" t="s">
        <v>31</v>
      </c>
      <c r="U348" s="43" t="s">
        <v>94</v>
      </c>
      <c r="V348" s="43" t="s">
        <v>94</v>
      </c>
      <c r="W348" s="43" t="s">
        <v>95</v>
      </c>
      <c r="X348" s="45" t="str">
        <f>IF(AND(R348&lt;&gt;"",OR(U348="No reply",U348="Unknown")),R348+2,"")</f>
        <v/>
      </c>
      <c r="Y348" s="45"/>
      <c r="Z348" s="43" t="s">
        <v>96</v>
      </c>
      <c r="AA348" s="43" t="str">
        <f>IF(L348="Hold","Do not send",IF(T348="Not sent","Send WhatsApp",IF(U348="Demo booked","Prepare demo",IF(W348="Booked","Prepare demo",IF(AND(X348&lt;&gt;"",Y348=""),"Send follow-up","Review")))))</f>
        <v>Do not send</v>
      </c>
      <c r="AB348" s="43"/>
      <c r="AC348" s="43" t="s">
        <v>733</v>
      </c>
      <c r="AD348" s="43">
        <f>IF(AA348="Prepare demo",1,IF(AA348="Send follow-up",2,IF(AA348="Send WhatsApp",3,IF(AA348="Review",4,IF(AA348="Do not send",9,5)))))</f>
        <v>9</v>
      </c>
      <c r="AE348" s="43">
        <f>IF(M348="High",1,IF(M348="Medium",2,IF(M348="Normal",3,IF(M348="Hold",9,4))))</f>
        <v>9</v>
      </c>
      <c r="AF348" s="43">
        <f>IF(T348="Read",1,IF(T348="Delivered",2,IF(T348="Sent",3,IF(T348="Not sent",4,IF(T348="Failed",9,5)))))</f>
        <v>4</v>
      </c>
      <c r="AG348" s="43">
        <f>IF(U348="Demo booked",1,IF(U348="Interested",2,IF(U348="Replied",3,IF(U348="No reply",5,IF(U348="Not interested",8,IF(U348="Bad number",9,6))))))</f>
        <v>6</v>
      </c>
      <c r="AH348" s="46">
        <f>AD348*1000+AN348*100+AE348*10+AG348</f>
        <v>9596</v>
      </c>
      <c r="AI348" s="45">
        <f>MAX(IF(R348="",0,R348),IF(Y348="",0,Y348))</f>
        <v>0</v>
      </c>
      <c r="AJ348" s="43" t="str">
        <f ca="1">IF(AND(X348&lt;&gt;"",Y348="",X348&lt;TODAY()),"Overdue",IF(AND(X348&lt;&gt;"",Y348="",X348=TODAY()),"Due today",IF(Y348&lt;&gt;"","Follow-up sent","")))</f>
        <v/>
      </c>
      <c r="AK348" s="50" t="s">
        <v>734</v>
      </c>
      <c r="AL348" s="50" t="s">
        <v>735</v>
      </c>
      <c r="AM348" s="50" t="s">
        <v>736</v>
      </c>
      <c r="AN348" s="50">
        <v>5</v>
      </c>
      <c r="AO348" s="54" t="s">
        <v>1450</v>
      </c>
      <c r="AP348" s="57" t="s">
        <v>127</v>
      </c>
      <c r="AQ348" s="58"/>
      <c r="AR348" s="57"/>
    </row>
    <row r="349" spans="1:44" ht="54" customHeight="1" x14ac:dyDescent="0.25">
      <c r="A349" s="43" t="s">
        <v>1451</v>
      </c>
      <c r="B349" s="43" t="s">
        <v>790</v>
      </c>
      <c r="C349" s="43"/>
      <c r="D349" s="44" t="s">
        <v>1452</v>
      </c>
      <c r="E349" s="43"/>
      <c r="F349" s="43" t="s">
        <v>729</v>
      </c>
      <c r="G349" s="45"/>
      <c r="H349" s="45">
        <v>46161</v>
      </c>
      <c r="I349" s="43" t="s">
        <v>730</v>
      </c>
      <c r="J349" s="43" t="s">
        <v>731</v>
      </c>
      <c r="K349" s="43" t="str">
        <f>IF(LEN(D349)=10,"OK","Check")</f>
        <v>OK</v>
      </c>
      <c r="L349" s="43" t="s">
        <v>732</v>
      </c>
      <c r="M349" s="43" t="str">
        <f>IF(L349="Hold","Hold",IF(IFERROR(E349,0)&gt;=200,"High",IF(IFERROR(E349,0)&gt;=100,"Medium","Normal")))</f>
        <v>Hold</v>
      </c>
      <c r="N349" s="43" t="s">
        <v>90</v>
      </c>
      <c r="O349" s="43" t="s">
        <v>91</v>
      </c>
      <c r="P349" s="43" t="s">
        <v>92</v>
      </c>
      <c r="Q349" s="17" t="s">
        <v>93</v>
      </c>
      <c r="R349" s="45"/>
      <c r="S349" s="43"/>
      <c r="T349" s="43" t="s">
        <v>31</v>
      </c>
      <c r="U349" s="43" t="s">
        <v>94</v>
      </c>
      <c r="V349" s="43" t="s">
        <v>94</v>
      </c>
      <c r="W349" s="43" t="s">
        <v>95</v>
      </c>
      <c r="X349" s="45" t="str">
        <f>IF(AND(R349&lt;&gt;"",OR(U349="No reply",U349="Unknown")),R349+2,"")</f>
        <v/>
      </c>
      <c r="Y349" s="45"/>
      <c r="Z349" s="43" t="s">
        <v>96</v>
      </c>
      <c r="AA349" s="43" t="str">
        <f>IF(L349="Hold","Do not send",IF(T349="Not sent","Send WhatsApp",IF(U349="Demo booked","Prepare demo",IF(W349="Booked","Prepare demo",IF(AND(X349&lt;&gt;"",Y349=""),"Send follow-up","Review")))))</f>
        <v>Do not send</v>
      </c>
      <c r="AB349" s="43"/>
      <c r="AC349" s="43" t="s">
        <v>733</v>
      </c>
      <c r="AD349" s="43">
        <f>IF(AA349="Prepare demo",1,IF(AA349="Send follow-up",2,IF(AA349="Send WhatsApp",3,IF(AA349="Review",4,IF(AA349="Do not send",9,5)))))</f>
        <v>9</v>
      </c>
      <c r="AE349" s="43">
        <f>IF(M349="High",1,IF(M349="Medium",2,IF(M349="Normal",3,IF(M349="Hold",9,4))))</f>
        <v>9</v>
      </c>
      <c r="AF349" s="43">
        <f>IF(T349="Read",1,IF(T349="Delivered",2,IF(T349="Sent",3,IF(T349="Not sent",4,IF(T349="Failed",9,5)))))</f>
        <v>4</v>
      </c>
      <c r="AG349" s="43">
        <f>IF(U349="Demo booked",1,IF(U349="Interested",2,IF(U349="Replied",3,IF(U349="No reply",5,IF(U349="Not interested",8,IF(U349="Bad number",9,6))))))</f>
        <v>6</v>
      </c>
      <c r="AH349" s="46">
        <f>AD349*1000+AN349*100+AE349*10+AG349</f>
        <v>9596</v>
      </c>
      <c r="AI349" s="45">
        <f>MAX(IF(R349="",0,R349),IF(Y349="",0,Y349))</f>
        <v>0</v>
      </c>
      <c r="AJ349" s="43" t="str">
        <f ca="1">IF(AND(X349&lt;&gt;"",Y349="",X349&lt;TODAY()),"Overdue",IF(AND(X349&lt;&gt;"",Y349="",X349=TODAY()),"Due today",IF(Y349&lt;&gt;"","Follow-up sent","")))</f>
        <v/>
      </c>
      <c r="AK349" s="50" t="s">
        <v>734</v>
      </c>
      <c r="AL349" s="50" t="s">
        <v>735</v>
      </c>
      <c r="AM349" s="50" t="s">
        <v>736</v>
      </c>
      <c r="AN349" s="50">
        <v>5</v>
      </c>
      <c r="AO349" s="54" t="s">
        <v>1453</v>
      </c>
      <c r="AP349" s="57" t="s">
        <v>127</v>
      </c>
      <c r="AQ349" s="58"/>
      <c r="AR349" s="57"/>
    </row>
    <row r="350" spans="1:44" ht="54" customHeight="1" x14ac:dyDescent="0.25">
      <c r="A350" s="43" t="s">
        <v>1454</v>
      </c>
      <c r="B350" s="43" t="s">
        <v>790</v>
      </c>
      <c r="C350" s="43"/>
      <c r="D350" s="44" t="s">
        <v>1455</v>
      </c>
      <c r="E350" s="43"/>
      <c r="F350" s="43" t="s">
        <v>729</v>
      </c>
      <c r="G350" s="45"/>
      <c r="H350" s="45">
        <v>46161</v>
      </c>
      <c r="I350" s="43" t="s">
        <v>730</v>
      </c>
      <c r="J350" s="43" t="s">
        <v>731</v>
      </c>
      <c r="K350" s="43" t="str">
        <f>IF(LEN(D350)=10,"OK","Check")</f>
        <v>OK</v>
      </c>
      <c r="L350" s="43" t="s">
        <v>732</v>
      </c>
      <c r="M350" s="43" t="str">
        <f>IF(L350="Hold","Hold",IF(IFERROR(E350,0)&gt;=200,"High",IF(IFERROR(E350,0)&gt;=100,"Medium","Normal")))</f>
        <v>Hold</v>
      </c>
      <c r="N350" s="43" t="s">
        <v>90</v>
      </c>
      <c r="O350" s="43" t="s">
        <v>91</v>
      </c>
      <c r="P350" s="43" t="s">
        <v>92</v>
      </c>
      <c r="Q350" s="17" t="s">
        <v>93</v>
      </c>
      <c r="R350" s="45"/>
      <c r="S350" s="43"/>
      <c r="T350" s="43" t="s">
        <v>31</v>
      </c>
      <c r="U350" s="43" t="s">
        <v>94</v>
      </c>
      <c r="V350" s="43" t="s">
        <v>94</v>
      </c>
      <c r="W350" s="43" t="s">
        <v>95</v>
      </c>
      <c r="X350" s="45" t="str">
        <f>IF(AND(R350&lt;&gt;"",OR(U350="No reply",U350="Unknown")),R350+2,"")</f>
        <v/>
      </c>
      <c r="Y350" s="45"/>
      <c r="Z350" s="43" t="s">
        <v>96</v>
      </c>
      <c r="AA350" s="43" t="str">
        <f>IF(L350="Hold","Do not send",IF(T350="Not sent","Send WhatsApp",IF(U350="Demo booked","Prepare demo",IF(W350="Booked","Prepare demo",IF(AND(X350&lt;&gt;"",Y350=""),"Send follow-up","Review")))))</f>
        <v>Do not send</v>
      </c>
      <c r="AB350" s="43"/>
      <c r="AC350" s="43" t="s">
        <v>733</v>
      </c>
      <c r="AD350" s="43">
        <f>IF(AA350="Prepare demo",1,IF(AA350="Send follow-up",2,IF(AA350="Send WhatsApp",3,IF(AA350="Review",4,IF(AA350="Do not send",9,5)))))</f>
        <v>9</v>
      </c>
      <c r="AE350" s="43">
        <f>IF(M350="High",1,IF(M350="Medium",2,IF(M350="Normal",3,IF(M350="Hold",9,4))))</f>
        <v>9</v>
      </c>
      <c r="AF350" s="43">
        <f>IF(T350="Read",1,IF(T350="Delivered",2,IF(T350="Sent",3,IF(T350="Not sent",4,IF(T350="Failed",9,5)))))</f>
        <v>4</v>
      </c>
      <c r="AG350" s="43">
        <f>IF(U350="Demo booked",1,IF(U350="Interested",2,IF(U350="Replied",3,IF(U350="No reply",5,IF(U350="Not interested",8,IF(U350="Bad number",9,6))))))</f>
        <v>6</v>
      </c>
      <c r="AH350" s="46">
        <f>AD350*1000+AN350*100+AE350*10+AG350</f>
        <v>9596</v>
      </c>
      <c r="AI350" s="45">
        <f>MAX(IF(R350="",0,R350),IF(Y350="",0,Y350))</f>
        <v>0</v>
      </c>
      <c r="AJ350" s="43" t="str">
        <f ca="1">IF(AND(X350&lt;&gt;"",Y350="",X350&lt;TODAY()),"Overdue",IF(AND(X350&lt;&gt;"",Y350="",X350=TODAY()),"Due today",IF(Y350&lt;&gt;"","Follow-up sent","")))</f>
        <v/>
      </c>
      <c r="AK350" s="50" t="s">
        <v>734</v>
      </c>
      <c r="AL350" s="50" t="s">
        <v>735</v>
      </c>
      <c r="AM350" s="50" t="s">
        <v>736</v>
      </c>
      <c r="AN350" s="50">
        <v>5</v>
      </c>
      <c r="AO350" s="54" t="s">
        <v>1456</v>
      </c>
      <c r="AP350" s="57" t="s">
        <v>127</v>
      </c>
      <c r="AQ350" s="58"/>
      <c r="AR350" s="57"/>
    </row>
    <row r="351" spans="1:44" ht="54" customHeight="1" x14ac:dyDescent="0.25">
      <c r="A351" s="43" t="s">
        <v>1457</v>
      </c>
      <c r="B351" s="43" t="s">
        <v>790</v>
      </c>
      <c r="C351" s="43"/>
      <c r="D351" s="44" t="s">
        <v>1458</v>
      </c>
      <c r="E351" s="43"/>
      <c r="F351" s="43" t="s">
        <v>729</v>
      </c>
      <c r="G351" s="45"/>
      <c r="H351" s="45">
        <v>46161</v>
      </c>
      <c r="I351" s="43" t="s">
        <v>730</v>
      </c>
      <c r="J351" s="43" t="s">
        <v>731</v>
      </c>
      <c r="K351" s="43" t="str">
        <f>IF(LEN(D351)=10,"OK","Check")</f>
        <v>OK</v>
      </c>
      <c r="L351" s="43" t="s">
        <v>732</v>
      </c>
      <c r="M351" s="43" t="str">
        <f>IF(L351="Hold","Hold",IF(IFERROR(E351,0)&gt;=200,"High",IF(IFERROR(E351,0)&gt;=100,"Medium","Normal")))</f>
        <v>Hold</v>
      </c>
      <c r="N351" s="43" t="s">
        <v>90</v>
      </c>
      <c r="O351" s="43" t="s">
        <v>91</v>
      </c>
      <c r="P351" s="43" t="s">
        <v>92</v>
      </c>
      <c r="Q351" s="17" t="s">
        <v>93</v>
      </c>
      <c r="R351" s="45"/>
      <c r="S351" s="43"/>
      <c r="T351" s="43" t="s">
        <v>31</v>
      </c>
      <c r="U351" s="43" t="s">
        <v>94</v>
      </c>
      <c r="V351" s="43" t="s">
        <v>94</v>
      </c>
      <c r="W351" s="43" t="s">
        <v>95</v>
      </c>
      <c r="X351" s="45" t="str">
        <f>IF(AND(R351&lt;&gt;"",OR(U351="No reply",U351="Unknown")),R351+2,"")</f>
        <v/>
      </c>
      <c r="Y351" s="45"/>
      <c r="Z351" s="43" t="s">
        <v>96</v>
      </c>
      <c r="AA351" s="43" t="str">
        <f>IF(L351="Hold","Do not send",IF(T351="Not sent","Send WhatsApp",IF(U351="Demo booked","Prepare demo",IF(W351="Booked","Prepare demo",IF(AND(X351&lt;&gt;"",Y351=""),"Send follow-up","Review")))))</f>
        <v>Do not send</v>
      </c>
      <c r="AB351" s="43"/>
      <c r="AC351" s="43" t="s">
        <v>733</v>
      </c>
      <c r="AD351" s="43">
        <f>IF(AA351="Prepare demo",1,IF(AA351="Send follow-up",2,IF(AA351="Send WhatsApp",3,IF(AA351="Review",4,IF(AA351="Do not send",9,5)))))</f>
        <v>9</v>
      </c>
      <c r="AE351" s="43">
        <f>IF(M351="High",1,IF(M351="Medium",2,IF(M351="Normal",3,IF(M351="Hold",9,4))))</f>
        <v>9</v>
      </c>
      <c r="AF351" s="43">
        <f>IF(T351="Read",1,IF(T351="Delivered",2,IF(T351="Sent",3,IF(T351="Not sent",4,IF(T351="Failed",9,5)))))</f>
        <v>4</v>
      </c>
      <c r="AG351" s="43">
        <f>IF(U351="Demo booked",1,IF(U351="Interested",2,IF(U351="Replied",3,IF(U351="No reply",5,IF(U351="Not interested",8,IF(U351="Bad number",9,6))))))</f>
        <v>6</v>
      </c>
      <c r="AH351" s="46">
        <f>AD351*1000+AN351*100+AE351*10+AG351</f>
        <v>9596</v>
      </c>
      <c r="AI351" s="45">
        <f>MAX(IF(R351="",0,R351),IF(Y351="",0,Y351))</f>
        <v>0</v>
      </c>
      <c r="AJ351" s="43" t="str">
        <f ca="1">IF(AND(X351&lt;&gt;"",Y351="",X351&lt;TODAY()),"Overdue",IF(AND(X351&lt;&gt;"",Y351="",X351=TODAY()),"Due today",IF(Y351&lt;&gt;"","Follow-up sent","")))</f>
        <v/>
      </c>
      <c r="AK351" s="50" t="s">
        <v>734</v>
      </c>
      <c r="AL351" s="50" t="s">
        <v>735</v>
      </c>
      <c r="AM351" s="50" t="s">
        <v>736</v>
      </c>
      <c r="AN351" s="50">
        <v>5</v>
      </c>
      <c r="AO351" s="54" t="s">
        <v>1459</v>
      </c>
      <c r="AP351" s="57" t="s">
        <v>127</v>
      </c>
      <c r="AQ351" s="58"/>
      <c r="AR351" s="57"/>
    </row>
    <row r="352" spans="1:44" ht="54" customHeight="1" x14ac:dyDescent="0.25">
      <c r="A352" s="43" t="s">
        <v>1460</v>
      </c>
      <c r="B352" s="43" t="s">
        <v>790</v>
      </c>
      <c r="C352" s="43"/>
      <c r="D352" s="44" t="s">
        <v>1461</v>
      </c>
      <c r="E352" s="43"/>
      <c r="F352" s="43" t="s">
        <v>729</v>
      </c>
      <c r="G352" s="45"/>
      <c r="H352" s="45">
        <v>46161</v>
      </c>
      <c r="I352" s="43" t="s">
        <v>730</v>
      </c>
      <c r="J352" s="43" t="s">
        <v>731</v>
      </c>
      <c r="K352" s="43" t="str">
        <f>IF(LEN(D352)=10,"OK","Check")</f>
        <v>OK</v>
      </c>
      <c r="L352" s="43" t="s">
        <v>732</v>
      </c>
      <c r="M352" s="43" t="str">
        <f>IF(L352="Hold","Hold",IF(IFERROR(E352,0)&gt;=200,"High",IF(IFERROR(E352,0)&gt;=100,"Medium","Normal")))</f>
        <v>Hold</v>
      </c>
      <c r="N352" s="43" t="s">
        <v>90</v>
      </c>
      <c r="O352" s="43" t="s">
        <v>91</v>
      </c>
      <c r="P352" s="43" t="s">
        <v>92</v>
      </c>
      <c r="Q352" s="17" t="s">
        <v>93</v>
      </c>
      <c r="R352" s="45"/>
      <c r="S352" s="43"/>
      <c r="T352" s="43" t="s">
        <v>31</v>
      </c>
      <c r="U352" s="43" t="s">
        <v>94</v>
      </c>
      <c r="V352" s="43" t="s">
        <v>94</v>
      </c>
      <c r="W352" s="43" t="s">
        <v>95</v>
      </c>
      <c r="X352" s="45" t="str">
        <f>IF(AND(R352&lt;&gt;"",OR(U352="No reply",U352="Unknown")),R352+2,"")</f>
        <v/>
      </c>
      <c r="Y352" s="45"/>
      <c r="Z352" s="43" t="s">
        <v>96</v>
      </c>
      <c r="AA352" s="43" t="str">
        <f>IF(L352="Hold","Do not send",IF(T352="Not sent","Send WhatsApp",IF(U352="Demo booked","Prepare demo",IF(W352="Booked","Prepare demo",IF(AND(X352&lt;&gt;"",Y352=""),"Send follow-up","Review")))))</f>
        <v>Do not send</v>
      </c>
      <c r="AB352" s="43"/>
      <c r="AC352" s="43" t="s">
        <v>733</v>
      </c>
      <c r="AD352" s="43">
        <f>IF(AA352="Prepare demo",1,IF(AA352="Send follow-up",2,IF(AA352="Send WhatsApp",3,IF(AA352="Review",4,IF(AA352="Do not send",9,5)))))</f>
        <v>9</v>
      </c>
      <c r="AE352" s="43">
        <f>IF(M352="High",1,IF(M352="Medium",2,IF(M352="Normal",3,IF(M352="Hold",9,4))))</f>
        <v>9</v>
      </c>
      <c r="AF352" s="43">
        <f>IF(T352="Read",1,IF(T352="Delivered",2,IF(T352="Sent",3,IF(T352="Not sent",4,IF(T352="Failed",9,5)))))</f>
        <v>4</v>
      </c>
      <c r="AG352" s="43">
        <f>IF(U352="Demo booked",1,IF(U352="Interested",2,IF(U352="Replied",3,IF(U352="No reply",5,IF(U352="Not interested",8,IF(U352="Bad number",9,6))))))</f>
        <v>6</v>
      </c>
      <c r="AH352" s="46">
        <f>AD352*1000+AN352*100+AE352*10+AG352</f>
        <v>9596</v>
      </c>
      <c r="AI352" s="45">
        <f>MAX(IF(R352="",0,R352),IF(Y352="",0,Y352))</f>
        <v>0</v>
      </c>
      <c r="AJ352" s="43" t="str">
        <f ca="1">IF(AND(X352&lt;&gt;"",Y352="",X352&lt;TODAY()),"Overdue",IF(AND(X352&lt;&gt;"",Y352="",X352=TODAY()),"Due today",IF(Y352&lt;&gt;"","Follow-up sent","")))</f>
        <v/>
      </c>
      <c r="AK352" s="50" t="s">
        <v>734</v>
      </c>
      <c r="AL352" s="50" t="s">
        <v>735</v>
      </c>
      <c r="AM352" s="50" t="s">
        <v>736</v>
      </c>
      <c r="AN352" s="50">
        <v>5</v>
      </c>
      <c r="AO352" s="54" t="s">
        <v>1462</v>
      </c>
      <c r="AP352" s="57" t="s">
        <v>127</v>
      </c>
      <c r="AQ352" s="58"/>
      <c r="AR352" s="57"/>
    </row>
    <row r="353" spans="1:44" ht="54" customHeight="1" x14ac:dyDescent="0.25">
      <c r="A353" s="43" t="s">
        <v>1463</v>
      </c>
      <c r="B353" s="43" t="s">
        <v>790</v>
      </c>
      <c r="C353" s="43"/>
      <c r="D353" s="44" t="s">
        <v>1464</v>
      </c>
      <c r="E353" s="43"/>
      <c r="F353" s="43" t="s">
        <v>729</v>
      </c>
      <c r="G353" s="45"/>
      <c r="H353" s="45">
        <v>46161</v>
      </c>
      <c r="I353" s="43" t="s">
        <v>730</v>
      </c>
      <c r="J353" s="43" t="s">
        <v>731</v>
      </c>
      <c r="K353" s="43" t="str">
        <f>IF(LEN(D353)=10,"OK","Check")</f>
        <v>OK</v>
      </c>
      <c r="L353" s="43" t="s">
        <v>732</v>
      </c>
      <c r="M353" s="43" t="str">
        <f>IF(L353="Hold","Hold",IF(IFERROR(E353,0)&gt;=200,"High",IF(IFERROR(E353,0)&gt;=100,"Medium","Normal")))</f>
        <v>Hold</v>
      </c>
      <c r="N353" s="43" t="s">
        <v>90</v>
      </c>
      <c r="O353" s="43" t="s">
        <v>91</v>
      </c>
      <c r="P353" s="43" t="s">
        <v>92</v>
      </c>
      <c r="Q353" s="17" t="s">
        <v>93</v>
      </c>
      <c r="R353" s="45"/>
      <c r="S353" s="43"/>
      <c r="T353" s="43" t="s">
        <v>31</v>
      </c>
      <c r="U353" s="43" t="s">
        <v>94</v>
      </c>
      <c r="V353" s="43" t="s">
        <v>94</v>
      </c>
      <c r="W353" s="43" t="s">
        <v>95</v>
      </c>
      <c r="X353" s="45" t="str">
        <f>IF(AND(R353&lt;&gt;"",OR(U353="No reply",U353="Unknown")),R353+2,"")</f>
        <v/>
      </c>
      <c r="Y353" s="45"/>
      <c r="Z353" s="43" t="s">
        <v>96</v>
      </c>
      <c r="AA353" s="43" t="str">
        <f>IF(L353="Hold","Do not send",IF(T353="Not sent","Send WhatsApp",IF(U353="Demo booked","Prepare demo",IF(W353="Booked","Prepare demo",IF(AND(X353&lt;&gt;"",Y353=""),"Send follow-up","Review")))))</f>
        <v>Do not send</v>
      </c>
      <c r="AB353" s="43"/>
      <c r="AC353" s="43" t="s">
        <v>733</v>
      </c>
      <c r="AD353" s="43">
        <f>IF(AA353="Prepare demo",1,IF(AA353="Send follow-up",2,IF(AA353="Send WhatsApp",3,IF(AA353="Review",4,IF(AA353="Do not send",9,5)))))</f>
        <v>9</v>
      </c>
      <c r="AE353" s="43">
        <f>IF(M353="High",1,IF(M353="Medium",2,IF(M353="Normal",3,IF(M353="Hold",9,4))))</f>
        <v>9</v>
      </c>
      <c r="AF353" s="43">
        <f>IF(T353="Read",1,IF(T353="Delivered",2,IF(T353="Sent",3,IF(T353="Not sent",4,IF(T353="Failed",9,5)))))</f>
        <v>4</v>
      </c>
      <c r="AG353" s="43">
        <f>IF(U353="Demo booked",1,IF(U353="Interested",2,IF(U353="Replied",3,IF(U353="No reply",5,IF(U353="Not interested",8,IF(U353="Bad number",9,6))))))</f>
        <v>6</v>
      </c>
      <c r="AH353" s="46">
        <f>AD353*1000+AN353*100+AE353*10+AG353</f>
        <v>9596</v>
      </c>
      <c r="AI353" s="45">
        <f>MAX(IF(R353="",0,R353),IF(Y353="",0,Y353))</f>
        <v>0</v>
      </c>
      <c r="AJ353" s="43" t="str">
        <f ca="1">IF(AND(X353&lt;&gt;"",Y353="",X353&lt;TODAY()),"Overdue",IF(AND(X353&lt;&gt;"",Y353="",X353=TODAY()),"Due today",IF(Y353&lt;&gt;"","Follow-up sent","")))</f>
        <v/>
      </c>
      <c r="AK353" s="50" t="s">
        <v>734</v>
      </c>
      <c r="AL353" s="50" t="s">
        <v>735</v>
      </c>
      <c r="AM353" s="50" t="s">
        <v>736</v>
      </c>
      <c r="AN353" s="50">
        <v>5</v>
      </c>
      <c r="AO353" s="54" t="s">
        <v>1465</v>
      </c>
      <c r="AP353" s="57" t="s">
        <v>127</v>
      </c>
      <c r="AQ353" s="58"/>
      <c r="AR353" s="57"/>
    </row>
    <row r="354" spans="1:44" ht="54" customHeight="1" x14ac:dyDescent="0.25">
      <c r="A354" s="43" t="s">
        <v>1466</v>
      </c>
      <c r="B354" s="43" t="s">
        <v>790</v>
      </c>
      <c r="C354" s="43"/>
      <c r="D354" s="44" t="s">
        <v>1467</v>
      </c>
      <c r="E354" s="43"/>
      <c r="F354" s="43" t="s">
        <v>729</v>
      </c>
      <c r="G354" s="45"/>
      <c r="H354" s="45">
        <v>46161</v>
      </c>
      <c r="I354" s="43" t="s">
        <v>730</v>
      </c>
      <c r="J354" s="43" t="s">
        <v>731</v>
      </c>
      <c r="K354" s="43" t="str">
        <f>IF(LEN(D354)=10,"OK","Check")</f>
        <v>OK</v>
      </c>
      <c r="L354" s="43" t="s">
        <v>732</v>
      </c>
      <c r="M354" s="43" t="str">
        <f>IF(L354="Hold","Hold",IF(IFERROR(E354,0)&gt;=200,"High",IF(IFERROR(E354,0)&gt;=100,"Medium","Normal")))</f>
        <v>Hold</v>
      </c>
      <c r="N354" s="43" t="s">
        <v>90</v>
      </c>
      <c r="O354" s="43" t="s">
        <v>91</v>
      </c>
      <c r="P354" s="43" t="s">
        <v>92</v>
      </c>
      <c r="Q354" s="17" t="s">
        <v>93</v>
      </c>
      <c r="R354" s="45"/>
      <c r="S354" s="43"/>
      <c r="T354" s="43" t="s">
        <v>31</v>
      </c>
      <c r="U354" s="43" t="s">
        <v>94</v>
      </c>
      <c r="V354" s="43" t="s">
        <v>94</v>
      </c>
      <c r="W354" s="43" t="s">
        <v>95</v>
      </c>
      <c r="X354" s="45" t="str">
        <f>IF(AND(R354&lt;&gt;"",OR(U354="No reply",U354="Unknown")),R354+2,"")</f>
        <v/>
      </c>
      <c r="Y354" s="45"/>
      <c r="Z354" s="43" t="s">
        <v>96</v>
      </c>
      <c r="AA354" s="43" t="str">
        <f>IF(L354="Hold","Do not send",IF(T354="Not sent","Send WhatsApp",IF(U354="Demo booked","Prepare demo",IF(W354="Booked","Prepare demo",IF(AND(X354&lt;&gt;"",Y354=""),"Send follow-up","Review")))))</f>
        <v>Do not send</v>
      </c>
      <c r="AB354" s="43"/>
      <c r="AC354" s="43" t="s">
        <v>733</v>
      </c>
      <c r="AD354" s="43">
        <f>IF(AA354="Prepare demo",1,IF(AA354="Send follow-up",2,IF(AA354="Send WhatsApp",3,IF(AA354="Review",4,IF(AA354="Do not send",9,5)))))</f>
        <v>9</v>
      </c>
      <c r="AE354" s="43">
        <f>IF(M354="High",1,IF(M354="Medium",2,IF(M354="Normal",3,IF(M354="Hold",9,4))))</f>
        <v>9</v>
      </c>
      <c r="AF354" s="43">
        <f>IF(T354="Read",1,IF(T354="Delivered",2,IF(T354="Sent",3,IF(T354="Not sent",4,IF(T354="Failed",9,5)))))</f>
        <v>4</v>
      </c>
      <c r="AG354" s="43">
        <f>IF(U354="Demo booked",1,IF(U354="Interested",2,IF(U354="Replied",3,IF(U354="No reply",5,IF(U354="Not interested",8,IF(U354="Bad number",9,6))))))</f>
        <v>6</v>
      </c>
      <c r="AH354" s="46">
        <f>AD354*1000+AN354*100+AE354*10+AG354</f>
        <v>9596</v>
      </c>
      <c r="AI354" s="45">
        <f>MAX(IF(R354="",0,R354),IF(Y354="",0,Y354))</f>
        <v>0</v>
      </c>
      <c r="AJ354" s="43" t="str">
        <f ca="1">IF(AND(X354&lt;&gt;"",Y354="",X354&lt;TODAY()),"Overdue",IF(AND(X354&lt;&gt;"",Y354="",X354=TODAY()),"Due today",IF(Y354&lt;&gt;"","Follow-up sent","")))</f>
        <v/>
      </c>
      <c r="AK354" s="50" t="s">
        <v>734</v>
      </c>
      <c r="AL354" s="50" t="s">
        <v>735</v>
      </c>
      <c r="AM354" s="50" t="s">
        <v>736</v>
      </c>
      <c r="AN354" s="50">
        <v>5</v>
      </c>
      <c r="AO354" s="54" t="s">
        <v>1468</v>
      </c>
      <c r="AP354" s="57" t="s">
        <v>127</v>
      </c>
      <c r="AQ354" s="58"/>
      <c r="AR354" s="57"/>
    </row>
    <row r="355" spans="1:44" ht="54" customHeight="1" x14ac:dyDescent="0.25">
      <c r="A355" s="43" t="s">
        <v>1469</v>
      </c>
      <c r="B355" s="43" t="s">
        <v>790</v>
      </c>
      <c r="C355" s="43"/>
      <c r="D355" s="44" t="s">
        <v>1470</v>
      </c>
      <c r="E355" s="43"/>
      <c r="F355" s="43" t="s">
        <v>729</v>
      </c>
      <c r="G355" s="45"/>
      <c r="H355" s="45">
        <v>46161</v>
      </c>
      <c r="I355" s="43" t="s">
        <v>730</v>
      </c>
      <c r="J355" s="43" t="s">
        <v>731</v>
      </c>
      <c r="K355" s="43" t="str">
        <f>IF(LEN(D355)=10,"OK","Check")</f>
        <v>OK</v>
      </c>
      <c r="L355" s="43" t="s">
        <v>732</v>
      </c>
      <c r="M355" s="43" t="str">
        <f>IF(L355="Hold","Hold",IF(IFERROR(E355,0)&gt;=200,"High",IF(IFERROR(E355,0)&gt;=100,"Medium","Normal")))</f>
        <v>Hold</v>
      </c>
      <c r="N355" s="43" t="s">
        <v>90</v>
      </c>
      <c r="O355" s="43" t="s">
        <v>91</v>
      </c>
      <c r="P355" s="43" t="s">
        <v>92</v>
      </c>
      <c r="Q355" s="17" t="s">
        <v>93</v>
      </c>
      <c r="R355" s="45"/>
      <c r="S355" s="43"/>
      <c r="T355" s="43" t="s">
        <v>31</v>
      </c>
      <c r="U355" s="43" t="s">
        <v>94</v>
      </c>
      <c r="V355" s="43" t="s">
        <v>94</v>
      </c>
      <c r="W355" s="43" t="s">
        <v>95</v>
      </c>
      <c r="X355" s="45" t="str">
        <f>IF(AND(R355&lt;&gt;"",OR(U355="No reply",U355="Unknown")),R355+2,"")</f>
        <v/>
      </c>
      <c r="Y355" s="45"/>
      <c r="Z355" s="43" t="s">
        <v>96</v>
      </c>
      <c r="AA355" s="43" t="str">
        <f>IF(L355="Hold","Do not send",IF(T355="Not sent","Send WhatsApp",IF(U355="Demo booked","Prepare demo",IF(W355="Booked","Prepare demo",IF(AND(X355&lt;&gt;"",Y355=""),"Send follow-up","Review")))))</f>
        <v>Do not send</v>
      </c>
      <c r="AB355" s="43"/>
      <c r="AC355" s="43" t="s">
        <v>733</v>
      </c>
      <c r="AD355" s="43">
        <f>IF(AA355="Prepare demo",1,IF(AA355="Send follow-up",2,IF(AA355="Send WhatsApp",3,IF(AA355="Review",4,IF(AA355="Do not send",9,5)))))</f>
        <v>9</v>
      </c>
      <c r="AE355" s="43">
        <f>IF(M355="High",1,IF(M355="Medium",2,IF(M355="Normal",3,IF(M355="Hold",9,4))))</f>
        <v>9</v>
      </c>
      <c r="AF355" s="43">
        <f>IF(T355="Read",1,IF(T355="Delivered",2,IF(T355="Sent",3,IF(T355="Not sent",4,IF(T355="Failed",9,5)))))</f>
        <v>4</v>
      </c>
      <c r="AG355" s="43">
        <f>IF(U355="Demo booked",1,IF(U355="Interested",2,IF(U355="Replied",3,IF(U355="No reply",5,IF(U355="Not interested",8,IF(U355="Bad number",9,6))))))</f>
        <v>6</v>
      </c>
      <c r="AH355" s="46">
        <f>AD355*1000+AN355*100+AE355*10+AG355</f>
        <v>9596</v>
      </c>
      <c r="AI355" s="45">
        <f>MAX(IF(R355="",0,R355),IF(Y355="",0,Y355))</f>
        <v>0</v>
      </c>
      <c r="AJ355" s="43" t="str">
        <f ca="1">IF(AND(X355&lt;&gt;"",Y355="",X355&lt;TODAY()),"Overdue",IF(AND(X355&lt;&gt;"",Y355="",X355=TODAY()),"Due today",IF(Y355&lt;&gt;"","Follow-up sent","")))</f>
        <v/>
      </c>
      <c r="AK355" s="50" t="s">
        <v>734</v>
      </c>
      <c r="AL355" s="50" t="s">
        <v>735</v>
      </c>
      <c r="AM355" s="50" t="s">
        <v>736</v>
      </c>
      <c r="AN355" s="50">
        <v>5</v>
      </c>
      <c r="AO355" s="54" t="s">
        <v>1471</v>
      </c>
      <c r="AP355" s="57" t="s">
        <v>127</v>
      </c>
      <c r="AQ355" s="58"/>
      <c r="AR355" s="57"/>
    </row>
    <row r="356" spans="1:44" ht="54" customHeight="1" x14ac:dyDescent="0.25">
      <c r="A356" s="43" t="s">
        <v>1472</v>
      </c>
      <c r="B356" s="43" t="s">
        <v>790</v>
      </c>
      <c r="C356" s="43"/>
      <c r="D356" s="44" t="s">
        <v>1473</v>
      </c>
      <c r="E356" s="43"/>
      <c r="F356" s="43" t="s">
        <v>729</v>
      </c>
      <c r="G356" s="45"/>
      <c r="H356" s="45">
        <v>46161</v>
      </c>
      <c r="I356" s="43" t="s">
        <v>730</v>
      </c>
      <c r="J356" s="43" t="s">
        <v>731</v>
      </c>
      <c r="K356" s="43" t="str">
        <f>IF(LEN(D356)=10,"OK","Check")</f>
        <v>OK</v>
      </c>
      <c r="L356" s="43" t="s">
        <v>732</v>
      </c>
      <c r="M356" s="43" t="str">
        <f>IF(L356="Hold","Hold",IF(IFERROR(E356,0)&gt;=200,"High",IF(IFERROR(E356,0)&gt;=100,"Medium","Normal")))</f>
        <v>Hold</v>
      </c>
      <c r="N356" s="43" t="s">
        <v>90</v>
      </c>
      <c r="O356" s="43" t="s">
        <v>91</v>
      </c>
      <c r="P356" s="43" t="s">
        <v>92</v>
      </c>
      <c r="Q356" s="17" t="s">
        <v>93</v>
      </c>
      <c r="R356" s="45"/>
      <c r="S356" s="43"/>
      <c r="T356" s="43" t="s">
        <v>31</v>
      </c>
      <c r="U356" s="43" t="s">
        <v>94</v>
      </c>
      <c r="V356" s="43" t="s">
        <v>94</v>
      </c>
      <c r="W356" s="43" t="s">
        <v>95</v>
      </c>
      <c r="X356" s="45" t="str">
        <f>IF(AND(R356&lt;&gt;"",OR(U356="No reply",U356="Unknown")),R356+2,"")</f>
        <v/>
      </c>
      <c r="Y356" s="45"/>
      <c r="Z356" s="43" t="s">
        <v>96</v>
      </c>
      <c r="AA356" s="43" t="str">
        <f>IF(L356="Hold","Do not send",IF(T356="Not sent","Send WhatsApp",IF(U356="Demo booked","Prepare demo",IF(W356="Booked","Prepare demo",IF(AND(X356&lt;&gt;"",Y356=""),"Send follow-up","Review")))))</f>
        <v>Do not send</v>
      </c>
      <c r="AB356" s="43"/>
      <c r="AC356" s="43" t="s">
        <v>733</v>
      </c>
      <c r="AD356" s="43">
        <f>IF(AA356="Prepare demo",1,IF(AA356="Send follow-up",2,IF(AA356="Send WhatsApp",3,IF(AA356="Review",4,IF(AA356="Do not send",9,5)))))</f>
        <v>9</v>
      </c>
      <c r="AE356" s="43">
        <f>IF(M356="High",1,IF(M356="Medium",2,IF(M356="Normal",3,IF(M356="Hold",9,4))))</f>
        <v>9</v>
      </c>
      <c r="AF356" s="43">
        <f>IF(T356="Read",1,IF(T356="Delivered",2,IF(T356="Sent",3,IF(T356="Not sent",4,IF(T356="Failed",9,5)))))</f>
        <v>4</v>
      </c>
      <c r="AG356" s="43">
        <f>IF(U356="Demo booked",1,IF(U356="Interested",2,IF(U356="Replied",3,IF(U356="No reply",5,IF(U356="Not interested",8,IF(U356="Bad number",9,6))))))</f>
        <v>6</v>
      </c>
      <c r="AH356" s="46">
        <f>AD356*1000+AN356*100+AE356*10+AG356</f>
        <v>9596</v>
      </c>
      <c r="AI356" s="45">
        <f>MAX(IF(R356="",0,R356),IF(Y356="",0,Y356))</f>
        <v>0</v>
      </c>
      <c r="AJ356" s="43" t="str">
        <f ca="1">IF(AND(X356&lt;&gt;"",Y356="",X356&lt;TODAY()),"Overdue",IF(AND(X356&lt;&gt;"",Y356="",X356=TODAY()),"Due today",IF(Y356&lt;&gt;"","Follow-up sent","")))</f>
        <v/>
      </c>
      <c r="AK356" s="50" t="s">
        <v>734</v>
      </c>
      <c r="AL356" s="50" t="s">
        <v>735</v>
      </c>
      <c r="AM356" s="50" t="s">
        <v>736</v>
      </c>
      <c r="AN356" s="50">
        <v>5</v>
      </c>
      <c r="AO356" s="54" t="s">
        <v>1474</v>
      </c>
      <c r="AP356" s="57" t="s">
        <v>127</v>
      </c>
      <c r="AQ356" s="58"/>
      <c r="AR356" s="57"/>
    </row>
    <row r="357" spans="1:44" ht="54" customHeight="1" x14ac:dyDescent="0.25">
      <c r="A357" s="43" t="s">
        <v>1475</v>
      </c>
      <c r="B357" s="43" t="s">
        <v>790</v>
      </c>
      <c r="C357" s="43"/>
      <c r="D357" s="44" t="s">
        <v>1476</v>
      </c>
      <c r="E357" s="43"/>
      <c r="F357" s="43" t="s">
        <v>729</v>
      </c>
      <c r="G357" s="45"/>
      <c r="H357" s="45">
        <v>46161</v>
      </c>
      <c r="I357" s="43" t="s">
        <v>730</v>
      </c>
      <c r="J357" s="43" t="s">
        <v>731</v>
      </c>
      <c r="K357" s="43" t="str">
        <f>IF(LEN(D357)=10,"OK","Check")</f>
        <v>OK</v>
      </c>
      <c r="L357" s="43" t="s">
        <v>732</v>
      </c>
      <c r="M357" s="43" t="str">
        <f>IF(L357="Hold","Hold",IF(IFERROR(E357,0)&gt;=200,"High",IF(IFERROR(E357,0)&gt;=100,"Medium","Normal")))</f>
        <v>Hold</v>
      </c>
      <c r="N357" s="43" t="s">
        <v>90</v>
      </c>
      <c r="O357" s="43" t="s">
        <v>91</v>
      </c>
      <c r="P357" s="43" t="s">
        <v>92</v>
      </c>
      <c r="Q357" s="17" t="s">
        <v>93</v>
      </c>
      <c r="R357" s="45"/>
      <c r="S357" s="43"/>
      <c r="T357" s="43" t="s">
        <v>31</v>
      </c>
      <c r="U357" s="43" t="s">
        <v>94</v>
      </c>
      <c r="V357" s="43" t="s">
        <v>94</v>
      </c>
      <c r="W357" s="43" t="s">
        <v>95</v>
      </c>
      <c r="X357" s="45" t="str">
        <f>IF(AND(R357&lt;&gt;"",OR(U357="No reply",U357="Unknown")),R357+2,"")</f>
        <v/>
      </c>
      <c r="Y357" s="45"/>
      <c r="Z357" s="43" t="s">
        <v>96</v>
      </c>
      <c r="AA357" s="43" t="str">
        <f>IF(L357="Hold","Do not send",IF(T357="Not sent","Send WhatsApp",IF(U357="Demo booked","Prepare demo",IF(W357="Booked","Prepare demo",IF(AND(X357&lt;&gt;"",Y357=""),"Send follow-up","Review")))))</f>
        <v>Do not send</v>
      </c>
      <c r="AB357" s="43"/>
      <c r="AC357" s="43" t="s">
        <v>733</v>
      </c>
      <c r="AD357" s="43">
        <f>IF(AA357="Prepare demo",1,IF(AA357="Send follow-up",2,IF(AA357="Send WhatsApp",3,IF(AA357="Review",4,IF(AA357="Do not send",9,5)))))</f>
        <v>9</v>
      </c>
      <c r="AE357" s="43">
        <f>IF(M357="High",1,IF(M357="Medium",2,IF(M357="Normal",3,IF(M357="Hold",9,4))))</f>
        <v>9</v>
      </c>
      <c r="AF357" s="43">
        <f>IF(T357="Read",1,IF(T357="Delivered",2,IF(T357="Sent",3,IF(T357="Not sent",4,IF(T357="Failed",9,5)))))</f>
        <v>4</v>
      </c>
      <c r="AG357" s="43">
        <f>IF(U357="Demo booked",1,IF(U357="Interested",2,IF(U357="Replied",3,IF(U357="No reply",5,IF(U357="Not interested",8,IF(U357="Bad number",9,6))))))</f>
        <v>6</v>
      </c>
      <c r="AH357" s="46">
        <f>AD357*1000+AN357*100+AE357*10+AG357</f>
        <v>9596</v>
      </c>
      <c r="AI357" s="45">
        <f>MAX(IF(R357="",0,R357),IF(Y357="",0,Y357))</f>
        <v>0</v>
      </c>
      <c r="AJ357" s="43" t="str">
        <f ca="1">IF(AND(X357&lt;&gt;"",Y357="",X357&lt;TODAY()),"Overdue",IF(AND(X357&lt;&gt;"",Y357="",X357=TODAY()),"Due today",IF(Y357&lt;&gt;"","Follow-up sent","")))</f>
        <v/>
      </c>
      <c r="AK357" s="50" t="s">
        <v>734</v>
      </c>
      <c r="AL357" s="50" t="s">
        <v>735</v>
      </c>
      <c r="AM357" s="50" t="s">
        <v>736</v>
      </c>
      <c r="AN357" s="50">
        <v>5</v>
      </c>
      <c r="AO357" s="54" t="s">
        <v>1477</v>
      </c>
      <c r="AP357" s="57" t="s">
        <v>127</v>
      </c>
      <c r="AQ357" s="58"/>
      <c r="AR357" s="57"/>
    </row>
    <row r="358" spans="1:44" ht="54" customHeight="1" x14ac:dyDescent="0.25">
      <c r="A358" s="43" t="s">
        <v>1478</v>
      </c>
      <c r="B358" s="43" t="s">
        <v>790</v>
      </c>
      <c r="C358" s="43"/>
      <c r="D358" s="44" t="s">
        <v>1479</v>
      </c>
      <c r="E358" s="43"/>
      <c r="F358" s="43" t="s">
        <v>729</v>
      </c>
      <c r="G358" s="45"/>
      <c r="H358" s="45">
        <v>46161</v>
      </c>
      <c r="I358" s="43" t="s">
        <v>730</v>
      </c>
      <c r="J358" s="43" t="s">
        <v>731</v>
      </c>
      <c r="K358" s="43" t="str">
        <f>IF(LEN(D358)=10,"OK","Check")</f>
        <v>OK</v>
      </c>
      <c r="L358" s="43" t="s">
        <v>732</v>
      </c>
      <c r="M358" s="43" t="str">
        <f>IF(L358="Hold","Hold",IF(IFERROR(E358,0)&gt;=200,"High",IF(IFERROR(E358,0)&gt;=100,"Medium","Normal")))</f>
        <v>Hold</v>
      </c>
      <c r="N358" s="43" t="s">
        <v>90</v>
      </c>
      <c r="O358" s="43" t="s">
        <v>91</v>
      </c>
      <c r="P358" s="43" t="s">
        <v>92</v>
      </c>
      <c r="Q358" s="17" t="s">
        <v>93</v>
      </c>
      <c r="R358" s="45"/>
      <c r="S358" s="43"/>
      <c r="T358" s="43" t="s">
        <v>31</v>
      </c>
      <c r="U358" s="43" t="s">
        <v>94</v>
      </c>
      <c r="V358" s="43" t="s">
        <v>94</v>
      </c>
      <c r="W358" s="43" t="s">
        <v>95</v>
      </c>
      <c r="X358" s="45" t="str">
        <f>IF(AND(R358&lt;&gt;"",OR(U358="No reply",U358="Unknown")),R358+2,"")</f>
        <v/>
      </c>
      <c r="Y358" s="45"/>
      <c r="Z358" s="43" t="s">
        <v>96</v>
      </c>
      <c r="AA358" s="43" t="str">
        <f>IF(L358="Hold","Do not send",IF(T358="Not sent","Send WhatsApp",IF(U358="Demo booked","Prepare demo",IF(W358="Booked","Prepare demo",IF(AND(X358&lt;&gt;"",Y358=""),"Send follow-up","Review")))))</f>
        <v>Do not send</v>
      </c>
      <c r="AB358" s="43"/>
      <c r="AC358" s="43" t="s">
        <v>733</v>
      </c>
      <c r="AD358" s="43">
        <f>IF(AA358="Prepare demo",1,IF(AA358="Send follow-up",2,IF(AA358="Send WhatsApp",3,IF(AA358="Review",4,IF(AA358="Do not send",9,5)))))</f>
        <v>9</v>
      </c>
      <c r="AE358" s="43">
        <f>IF(M358="High",1,IF(M358="Medium",2,IF(M358="Normal",3,IF(M358="Hold",9,4))))</f>
        <v>9</v>
      </c>
      <c r="AF358" s="43">
        <f>IF(T358="Read",1,IF(T358="Delivered",2,IF(T358="Sent",3,IF(T358="Not sent",4,IF(T358="Failed",9,5)))))</f>
        <v>4</v>
      </c>
      <c r="AG358" s="43">
        <f>IF(U358="Demo booked",1,IF(U358="Interested",2,IF(U358="Replied",3,IF(U358="No reply",5,IF(U358="Not interested",8,IF(U358="Bad number",9,6))))))</f>
        <v>6</v>
      </c>
      <c r="AH358" s="46">
        <f>AD358*1000+AN358*100+AE358*10+AG358</f>
        <v>9596</v>
      </c>
      <c r="AI358" s="45">
        <f>MAX(IF(R358="",0,R358),IF(Y358="",0,Y358))</f>
        <v>0</v>
      </c>
      <c r="AJ358" s="43" t="str">
        <f ca="1">IF(AND(X358&lt;&gt;"",Y358="",X358&lt;TODAY()),"Overdue",IF(AND(X358&lt;&gt;"",Y358="",X358=TODAY()),"Due today",IF(Y358&lt;&gt;"","Follow-up sent","")))</f>
        <v/>
      </c>
      <c r="AK358" s="50" t="s">
        <v>734</v>
      </c>
      <c r="AL358" s="50" t="s">
        <v>735</v>
      </c>
      <c r="AM358" s="50" t="s">
        <v>736</v>
      </c>
      <c r="AN358" s="50">
        <v>5</v>
      </c>
      <c r="AO358" s="54" t="s">
        <v>1480</v>
      </c>
      <c r="AP358" s="57" t="s">
        <v>127</v>
      </c>
      <c r="AQ358" s="58"/>
      <c r="AR358" s="57"/>
    </row>
    <row r="359" spans="1:44" ht="54" customHeight="1" x14ac:dyDescent="0.25">
      <c r="A359" s="43" t="s">
        <v>1481</v>
      </c>
      <c r="B359" s="43" t="s">
        <v>790</v>
      </c>
      <c r="C359" s="43"/>
      <c r="D359" s="44" t="s">
        <v>1482</v>
      </c>
      <c r="E359" s="43"/>
      <c r="F359" s="43" t="s">
        <v>729</v>
      </c>
      <c r="G359" s="45"/>
      <c r="H359" s="45">
        <v>46161</v>
      </c>
      <c r="I359" s="43" t="s">
        <v>730</v>
      </c>
      <c r="J359" s="43" t="s">
        <v>731</v>
      </c>
      <c r="K359" s="43" t="str">
        <f>IF(LEN(D359)=10,"OK","Check")</f>
        <v>OK</v>
      </c>
      <c r="L359" s="43" t="s">
        <v>732</v>
      </c>
      <c r="M359" s="43" t="str">
        <f>IF(L359="Hold","Hold",IF(IFERROR(E359,0)&gt;=200,"High",IF(IFERROR(E359,0)&gt;=100,"Medium","Normal")))</f>
        <v>Hold</v>
      </c>
      <c r="N359" s="43" t="s">
        <v>90</v>
      </c>
      <c r="O359" s="43" t="s">
        <v>91</v>
      </c>
      <c r="P359" s="43" t="s">
        <v>92</v>
      </c>
      <c r="Q359" s="17" t="s">
        <v>93</v>
      </c>
      <c r="R359" s="45"/>
      <c r="S359" s="43"/>
      <c r="T359" s="43" t="s">
        <v>31</v>
      </c>
      <c r="U359" s="43" t="s">
        <v>94</v>
      </c>
      <c r="V359" s="43" t="s">
        <v>94</v>
      </c>
      <c r="W359" s="43" t="s">
        <v>95</v>
      </c>
      <c r="X359" s="45" t="str">
        <f>IF(AND(R359&lt;&gt;"",OR(U359="No reply",U359="Unknown")),R359+2,"")</f>
        <v/>
      </c>
      <c r="Y359" s="45"/>
      <c r="Z359" s="43" t="s">
        <v>96</v>
      </c>
      <c r="AA359" s="43" t="str">
        <f>IF(L359="Hold","Do not send",IF(T359="Not sent","Send WhatsApp",IF(U359="Demo booked","Prepare demo",IF(W359="Booked","Prepare demo",IF(AND(X359&lt;&gt;"",Y359=""),"Send follow-up","Review")))))</f>
        <v>Do not send</v>
      </c>
      <c r="AB359" s="43"/>
      <c r="AC359" s="43" t="s">
        <v>733</v>
      </c>
      <c r="AD359" s="43">
        <f>IF(AA359="Prepare demo",1,IF(AA359="Send follow-up",2,IF(AA359="Send WhatsApp",3,IF(AA359="Review",4,IF(AA359="Do not send",9,5)))))</f>
        <v>9</v>
      </c>
      <c r="AE359" s="43">
        <f>IF(M359="High",1,IF(M359="Medium",2,IF(M359="Normal",3,IF(M359="Hold",9,4))))</f>
        <v>9</v>
      </c>
      <c r="AF359" s="43">
        <f>IF(T359="Read",1,IF(T359="Delivered",2,IF(T359="Sent",3,IF(T359="Not sent",4,IF(T359="Failed",9,5)))))</f>
        <v>4</v>
      </c>
      <c r="AG359" s="43">
        <f>IF(U359="Demo booked",1,IF(U359="Interested",2,IF(U359="Replied",3,IF(U359="No reply",5,IF(U359="Not interested",8,IF(U359="Bad number",9,6))))))</f>
        <v>6</v>
      </c>
      <c r="AH359" s="46">
        <f>AD359*1000+AN359*100+AE359*10+AG359</f>
        <v>9596</v>
      </c>
      <c r="AI359" s="45">
        <f>MAX(IF(R359="",0,R359),IF(Y359="",0,Y359))</f>
        <v>0</v>
      </c>
      <c r="AJ359" s="43" t="str">
        <f ca="1">IF(AND(X359&lt;&gt;"",Y359="",X359&lt;TODAY()),"Overdue",IF(AND(X359&lt;&gt;"",Y359="",X359=TODAY()),"Due today",IF(Y359&lt;&gt;"","Follow-up sent","")))</f>
        <v/>
      </c>
      <c r="AK359" s="50" t="s">
        <v>734</v>
      </c>
      <c r="AL359" s="50" t="s">
        <v>735</v>
      </c>
      <c r="AM359" s="50" t="s">
        <v>736</v>
      </c>
      <c r="AN359" s="50">
        <v>5</v>
      </c>
      <c r="AO359" s="54" t="s">
        <v>1483</v>
      </c>
      <c r="AP359" s="57" t="s">
        <v>127</v>
      </c>
      <c r="AQ359" s="58"/>
      <c r="AR359" s="57"/>
    </row>
    <row r="360" spans="1:44" ht="54" customHeight="1" x14ac:dyDescent="0.25">
      <c r="A360" s="43" t="s">
        <v>1484</v>
      </c>
      <c r="B360" s="43" t="s">
        <v>790</v>
      </c>
      <c r="C360" s="43"/>
      <c r="D360" s="44" t="s">
        <v>1485</v>
      </c>
      <c r="E360" s="43"/>
      <c r="F360" s="43" t="s">
        <v>729</v>
      </c>
      <c r="G360" s="45"/>
      <c r="H360" s="45">
        <v>46161</v>
      </c>
      <c r="I360" s="43" t="s">
        <v>730</v>
      </c>
      <c r="J360" s="43" t="s">
        <v>731</v>
      </c>
      <c r="K360" s="43" t="str">
        <f>IF(LEN(D360)=10,"OK","Check")</f>
        <v>OK</v>
      </c>
      <c r="L360" s="43" t="s">
        <v>732</v>
      </c>
      <c r="M360" s="43" t="str">
        <f>IF(L360="Hold","Hold",IF(IFERROR(E360,0)&gt;=200,"High",IF(IFERROR(E360,0)&gt;=100,"Medium","Normal")))</f>
        <v>Hold</v>
      </c>
      <c r="N360" s="43" t="s">
        <v>90</v>
      </c>
      <c r="O360" s="43" t="s">
        <v>91</v>
      </c>
      <c r="P360" s="43" t="s">
        <v>92</v>
      </c>
      <c r="Q360" s="17" t="s">
        <v>93</v>
      </c>
      <c r="R360" s="45"/>
      <c r="S360" s="43"/>
      <c r="T360" s="43" t="s">
        <v>31</v>
      </c>
      <c r="U360" s="43" t="s">
        <v>94</v>
      </c>
      <c r="V360" s="43" t="s">
        <v>94</v>
      </c>
      <c r="W360" s="43" t="s">
        <v>95</v>
      </c>
      <c r="X360" s="45" t="str">
        <f>IF(AND(R360&lt;&gt;"",OR(U360="No reply",U360="Unknown")),R360+2,"")</f>
        <v/>
      </c>
      <c r="Y360" s="45"/>
      <c r="Z360" s="43" t="s">
        <v>96</v>
      </c>
      <c r="AA360" s="43" t="str">
        <f>IF(L360="Hold","Do not send",IF(T360="Not sent","Send WhatsApp",IF(U360="Demo booked","Prepare demo",IF(W360="Booked","Prepare demo",IF(AND(X360&lt;&gt;"",Y360=""),"Send follow-up","Review")))))</f>
        <v>Do not send</v>
      </c>
      <c r="AB360" s="43"/>
      <c r="AC360" s="43" t="s">
        <v>733</v>
      </c>
      <c r="AD360" s="43">
        <f>IF(AA360="Prepare demo",1,IF(AA360="Send follow-up",2,IF(AA360="Send WhatsApp",3,IF(AA360="Review",4,IF(AA360="Do not send",9,5)))))</f>
        <v>9</v>
      </c>
      <c r="AE360" s="43">
        <f>IF(M360="High",1,IF(M360="Medium",2,IF(M360="Normal",3,IF(M360="Hold",9,4))))</f>
        <v>9</v>
      </c>
      <c r="AF360" s="43">
        <f>IF(T360="Read",1,IF(T360="Delivered",2,IF(T360="Sent",3,IF(T360="Not sent",4,IF(T360="Failed",9,5)))))</f>
        <v>4</v>
      </c>
      <c r="AG360" s="43">
        <f>IF(U360="Demo booked",1,IF(U360="Interested",2,IF(U360="Replied",3,IF(U360="No reply",5,IF(U360="Not interested",8,IF(U360="Bad number",9,6))))))</f>
        <v>6</v>
      </c>
      <c r="AH360" s="46">
        <f>AD360*1000+AN360*100+AE360*10+AG360</f>
        <v>9596</v>
      </c>
      <c r="AI360" s="45">
        <f>MAX(IF(R360="",0,R360),IF(Y360="",0,Y360))</f>
        <v>0</v>
      </c>
      <c r="AJ360" s="43" t="str">
        <f ca="1">IF(AND(X360&lt;&gt;"",Y360="",X360&lt;TODAY()),"Overdue",IF(AND(X360&lt;&gt;"",Y360="",X360=TODAY()),"Due today",IF(Y360&lt;&gt;"","Follow-up sent","")))</f>
        <v/>
      </c>
      <c r="AK360" s="50" t="s">
        <v>734</v>
      </c>
      <c r="AL360" s="50" t="s">
        <v>735</v>
      </c>
      <c r="AM360" s="50" t="s">
        <v>736</v>
      </c>
      <c r="AN360" s="50">
        <v>5</v>
      </c>
      <c r="AO360" s="54" t="s">
        <v>1486</v>
      </c>
      <c r="AP360" s="57" t="s">
        <v>127</v>
      </c>
      <c r="AQ360" s="58"/>
      <c r="AR360" s="57"/>
    </row>
    <row r="361" spans="1:44" ht="54" customHeight="1" x14ac:dyDescent="0.25">
      <c r="A361" s="43" t="s">
        <v>1487</v>
      </c>
      <c r="B361" s="43" t="s">
        <v>790</v>
      </c>
      <c r="C361" s="43"/>
      <c r="D361" s="44" t="s">
        <v>1488</v>
      </c>
      <c r="E361" s="43"/>
      <c r="F361" s="43" t="s">
        <v>729</v>
      </c>
      <c r="G361" s="45"/>
      <c r="H361" s="45">
        <v>46161</v>
      </c>
      <c r="I361" s="43" t="s">
        <v>730</v>
      </c>
      <c r="J361" s="43" t="s">
        <v>731</v>
      </c>
      <c r="K361" s="43" t="str">
        <f>IF(LEN(D361)=10,"OK","Check")</f>
        <v>OK</v>
      </c>
      <c r="L361" s="43" t="s">
        <v>732</v>
      </c>
      <c r="M361" s="43" t="str">
        <f>IF(L361="Hold","Hold",IF(IFERROR(E361,0)&gt;=200,"High",IF(IFERROR(E361,0)&gt;=100,"Medium","Normal")))</f>
        <v>Hold</v>
      </c>
      <c r="N361" s="43" t="s">
        <v>90</v>
      </c>
      <c r="O361" s="43" t="s">
        <v>91</v>
      </c>
      <c r="P361" s="43" t="s">
        <v>92</v>
      </c>
      <c r="Q361" s="17" t="s">
        <v>93</v>
      </c>
      <c r="R361" s="45"/>
      <c r="S361" s="43"/>
      <c r="T361" s="43" t="s">
        <v>31</v>
      </c>
      <c r="U361" s="43" t="s">
        <v>94</v>
      </c>
      <c r="V361" s="43" t="s">
        <v>94</v>
      </c>
      <c r="W361" s="43" t="s">
        <v>95</v>
      </c>
      <c r="X361" s="45" t="str">
        <f>IF(AND(R361&lt;&gt;"",OR(U361="No reply",U361="Unknown")),R361+2,"")</f>
        <v/>
      </c>
      <c r="Y361" s="45"/>
      <c r="Z361" s="43" t="s">
        <v>96</v>
      </c>
      <c r="AA361" s="43" t="str">
        <f>IF(L361="Hold","Do not send",IF(T361="Not sent","Send WhatsApp",IF(U361="Demo booked","Prepare demo",IF(W361="Booked","Prepare demo",IF(AND(X361&lt;&gt;"",Y361=""),"Send follow-up","Review")))))</f>
        <v>Do not send</v>
      </c>
      <c r="AB361" s="43"/>
      <c r="AC361" s="43" t="s">
        <v>733</v>
      </c>
      <c r="AD361" s="43">
        <f>IF(AA361="Prepare demo",1,IF(AA361="Send follow-up",2,IF(AA361="Send WhatsApp",3,IF(AA361="Review",4,IF(AA361="Do not send",9,5)))))</f>
        <v>9</v>
      </c>
      <c r="AE361" s="43">
        <f>IF(M361="High",1,IF(M361="Medium",2,IF(M361="Normal",3,IF(M361="Hold",9,4))))</f>
        <v>9</v>
      </c>
      <c r="AF361" s="43">
        <f>IF(T361="Read",1,IF(T361="Delivered",2,IF(T361="Sent",3,IF(T361="Not sent",4,IF(T361="Failed",9,5)))))</f>
        <v>4</v>
      </c>
      <c r="AG361" s="43">
        <f>IF(U361="Demo booked",1,IF(U361="Interested",2,IF(U361="Replied",3,IF(U361="No reply",5,IF(U361="Not interested",8,IF(U361="Bad number",9,6))))))</f>
        <v>6</v>
      </c>
      <c r="AH361" s="46">
        <f>AD361*1000+AN361*100+AE361*10+AG361</f>
        <v>9596</v>
      </c>
      <c r="AI361" s="45">
        <f>MAX(IF(R361="",0,R361),IF(Y361="",0,Y361))</f>
        <v>0</v>
      </c>
      <c r="AJ361" s="43" t="str">
        <f ca="1">IF(AND(X361&lt;&gt;"",Y361="",X361&lt;TODAY()),"Overdue",IF(AND(X361&lt;&gt;"",Y361="",X361=TODAY()),"Due today",IF(Y361&lt;&gt;"","Follow-up sent","")))</f>
        <v/>
      </c>
      <c r="AK361" s="50" t="s">
        <v>734</v>
      </c>
      <c r="AL361" s="50" t="s">
        <v>735</v>
      </c>
      <c r="AM361" s="50" t="s">
        <v>736</v>
      </c>
      <c r="AN361" s="50">
        <v>5</v>
      </c>
      <c r="AO361" s="54" t="s">
        <v>1489</v>
      </c>
      <c r="AP361" s="57" t="s">
        <v>127</v>
      </c>
      <c r="AQ361" s="58"/>
      <c r="AR361" s="57"/>
    </row>
    <row r="362" spans="1:44" ht="54" customHeight="1" x14ac:dyDescent="0.25">
      <c r="A362" s="43" t="s">
        <v>1490</v>
      </c>
      <c r="B362" s="43" t="s">
        <v>790</v>
      </c>
      <c r="C362" s="43"/>
      <c r="D362" s="44" t="s">
        <v>1491</v>
      </c>
      <c r="E362" s="43"/>
      <c r="F362" s="43" t="s">
        <v>729</v>
      </c>
      <c r="G362" s="45"/>
      <c r="H362" s="45">
        <v>46161</v>
      </c>
      <c r="I362" s="43" t="s">
        <v>730</v>
      </c>
      <c r="J362" s="43" t="s">
        <v>731</v>
      </c>
      <c r="K362" s="43" t="str">
        <f>IF(LEN(D362)=10,"OK","Check")</f>
        <v>OK</v>
      </c>
      <c r="L362" s="43" t="s">
        <v>732</v>
      </c>
      <c r="M362" s="43" t="str">
        <f>IF(L362="Hold","Hold",IF(IFERROR(E362,0)&gt;=200,"High",IF(IFERROR(E362,0)&gt;=100,"Medium","Normal")))</f>
        <v>Hold</v>
      </c>
      <c r="N362" s="43" t="s">
        <v>90</v>
      </c>
      <c r="O362" s="43" t="s">
        <v>91</v>
      </c>
      <c r="P362" s="43" t="s">
        <v>92</v>
      </c>
      <c r="Q362" s="17" t="s">
        <v>93</v>
      </c>
      <c r="R362" s="45"/>
      <c r="S362" s="43"/>
      <c r="T362" s="43" t="s">
        <v>31</v>
      </c>
      <c r="U362" s="43" t="s">
        <v>94</v>
      </c>
      <c r="V362" s="43" t="s">
        <v>94</v>
      </c>
      <c r="W362" s="43" t="s">
        <v>95</v>
      </c>
      <c r="X362" s="45" t="str">
        <f>IF(AND(R362&lt;&gt;"",OR(U362="No reply",U362="Unknown")),R362+2,"")</f>
        <v/>
      </c>
      <c r="Y362" s="45"/>
      <c r="Z362" s="43" t="s">
        <v>96</v>
      </c>
      <c r="AA362" s="43" t="str">
        <f>IF(L362="Hold","Do not send",IF(T362="Not sent","Send WhatsApp",IF(U362="Demo booked","Prepare demo",IF(W362="Booked","Prepare demo",IF(AND(X362&lt;&gt;"",Y362=""),"Send follow-up","Review")))))</f>
        <v>Do not send</v>
      </c>
      <c r="AB362" s="43"/>
      <c r="AC362" s="43" t="s">
        <v>733</v>
      </c>
      <c r="AD362" s="43">
        <f>IF(AA362="Prepare demo",1,IF(AA362="Send follow-up",2,IF(AA362="Send WhatsApp",3,IF(AA362="Review",4,IF(AA362="Do not send",9,5)))))</f>
        <v>9</v>
      </c>
      <c r="AE362" s="43">
        <f>IF(M362="High",1,IF(M362="Medium",2,IF(M362="Normal",3,IF(M362="Hold",9,4))))</f>
        <v>9</v>
      </c>
      <c r="AF362" s="43">
        <f>IF(T362="Read",1,IF(T362="Delivered",2,IF(T362="Sent",3,IF(T362="Not sent",4,IF(T362="Failed",9,5)))))</f>
        <v>4</v>
      </c>
      <c r="AG362" s="43">
        <f>IF(U362="Demo booked",1,IF(U362="Interested",2,IF(U362="Replied",3,IF(U362="No reply",5,IF(U362="Not interested",8,IF(U362="Bad number",9,6))))))</f>
        <v>6</v>
      </c>
      <c r="AH362" s="46">
        <f>AD362*1000+AN362*100+AE362*10+AG362</f>
        <v>9596</v>
      </c>
      <c r="AI362" s="45">
        <f>MAX(IF(R362="",0,R362),IF(Y362="",0,Y362))</f>
        <v>0</v>
      </c>
      <c r="AJ362" s="43" t="str">
        <f ca="1">IF(AND(X362&lt;&gt;"",Y362="",X362&lt;TODAY()),"Overdue",IF(AND(X362&lt;&gt;"",Y362="",X362=TODAY()),"Due today",IF(Y362&lt;&gt;"","Follow-up sent","")))</f>
        <v/>
      </c>
      <c r="AK362" s="50" t="s">
        <v>734</v>
      </c>
      <c r="AL362" s="50" t="s">
        <v>735</v>
      </c>
      <c r="AM362" s="50" t="s">
        <v>736</v>
      </c>
      <c r="AN362" s="50">
        <v>5</v>
      </c>
      <c r="AO362" s="54" t="s">
        <v>1492</v>
      </c>
      <c r="AP362" s="57" t="s">
        <v>127</v>
      </c>
      <c r="AQ362" s="58"/>
      <c r="AR362" s="57"/>
    </row>
    <row r="363" spans="1:44" ht="54" customHeight="1" x14ac:dyDescent="0.25">
      <c r="A363" s="43" t="s">
        <v>1493</v>
      </c>
      <c r="B363" s="43" t="s">
        <v>790</v>
      </c>
      <c r="C363" s="43"/>
      <c r="D363" s="44" t="s">
        <v>1494</v>
      </c>
      <c r="E363" s="43"/>
      <c r="F363" s="43" t="s">
        <v>729</v>
      </c>
      <c r="G363" s="45"/>
      <c r="H363" s="45">
        <v>46161</v>
      </c>
      <c r="I363" s="43" t="s">
        <v>730</v>
      </c>
      <c r="J363" s="43" t="s">
        <v>731</v>
      </c>
      <c r="K363" s="43" t="str">
        <f>IF(LEN(D363)=10,"OK","Check")</f>
        <v>OK</v>
      </c>
      <c r="L363" s="43" t="s">
        <v>732</v>
      </c>
      <c r="M363" s="43" t="str">
        <f>IF(L363="Hold","Hold",IF(IFERROR(E363,0)&gt;=200,"High",IF(IFERROR(E363,0)&gt;=100,"Medium","Normal")))</f>
        <v>Hold</v>
      </c>
      <c r="N363" s="43" t="s">
        <v>90</v>
      </c>
      <c r="O363" s="43" t="s">
        <v>91</v>
      </c>
      <c r="P363" s="43" t="s">
        <v>92</v>
      </c>
      <c r="Q363" s="17" t="s">
        <v>93</v>
      </c>
      <c r="R363" s="45"/>
      <c r="S363" s="43"/>
      <c r="T363" s="43" t="s">
        <v>31</v>
      </c>
      <c r="U363" s="43" t="s">
        <v>94</v>
      </c>
      <c r="V363" s="43" t="s">
        <v>94</v>
      </c>
      <c r="W363" s="43" t="s">
        <v>95</v>
      </c>
      <c r="X363" s="45" t="str">
        <f>IF(AND(R363&lt;&gt;"",OR(U363="No reply",U363="Unknown")),R363+2,"")</f>
        <v/>
      </c>
      <c r="Y363" s="45"/>
      <c r="Z363" s="43" t="s">
        <v>96</v>
      </c>
      <c r="AA363" s="43" t="str">
        <f>IF(L363="Hold","Do not send",IF(T363="Not sent","Send WhatsApp",IF(U363="Demo booked","Prepare demo",IF(W363="Booked","Prepare demo",IF(AND(X363&lt;&gt;"",Y363=""),"Send follow-up","Review")))))</f>
        <v>Do not send</v>
      </c>
      <c r="AB363" s="43"/>
      <c r="AC363" s="43" t="s">
        <v>733</v>
      </c>
      <c r="AD363" s="43">
        <f>IF(AA363="Prepare demo",1,IF(AA363="Send follow-up",2,IF(AA363="Send WhatsApp",3,IF(AA363="Review",4,IF(AA363="Do not send",9,5)))))</f>
        <v>9</v>
      </c>
      <c r="AE363" s="43">
        <f>IF(M363="High",1,IF(M363="Medium",2,IF(M363="Normal",3,IF(M363="Hold",9,4))))</f>
        <v>9</v>
      </c>
      <c r="AF363" s="43">
        <f>IF(T363="Read",1,IF(T363="Delivered",2,IF(T363="Sent",3,IF(T363="Not sent",4,IF(T363="Failed",9,5)))))</f>
        <v>4</v>
      </c>
      <c r="AG363" s="43">
        <f>IF(U363="Demo booked",1,IF(U363="Interested",2,IF(U363="Replied",3,IF(U363="No reply",5,IF(U363="Not interested",8,IF(U363="Bad number",9,6))))))</f>
        <v>6</v>
      </c>
      <c r="AH363" s="46">
        <f>AD363*1000+AN363*100+AE363*10+AG363</f>
        <v>9596</v>
      </c>
      <c r="AI363" s="45">
        <f>MAX(IF(R363="",0,R363),IF(Y363="",0,Y363))</f>
        <v>0</v>
      </c>
      <c r="AJ363" s="43" t="str">
        <f ca="1">IF(AND(X363&lt;&gt;"",Y363="",X363&lt;TODAY()),"Overdue",IF(AND(X363&lt;&gt;"",Y363="",X363=TODAY()),"Due today",IF(Y363&lt;&gt;"","Follow-up sent","")))</f>
        <v/>
      </c>
      <c r="AK363" s="50" t="s">
        <v>734</v>
      </c>
      <c r="AL363" s="50" t="s">
        <v>735</v>
      </c>
      <c r="AM363" s="50" t="s">
        <v>736</v>
      </c>
      <c r="AN363" s="50">
        <v>5</v>
      </c>
      <c r="AO363" s="54" t="s">
        <v>1495</v>
      </c>
      <c r="AP363" s="57" t="s">
        <v>127</v>
      </c>
      <c r="AQ363" s="58"/>
      <c r="AR363" s="57"/>
    </row>
    <row r="364" spans="1:44" ht="54" customHeight="1" x14ac:dyDescent="0.25">
      <c r="A364" s="43" t="s">
        <v>1496</v>
      </c>
      <c r="B364" s="43" t="s">
        <v>790</v>
      </c>
      <c r="C364" s="43"/>
      <c r="D364" s="44" t="s">
        <v>1497</v>
      </c>
      <c r="E364" s="43"/>
      <c r="F364" s="43" t="s">
        <v>729</v>
      </c>
      <c r="G364" s="45"/>
      <c r="H364" s="45">
        <v>46161</v>
      </c>
      <c r="I364" s="43" t="s">
        <v>730</v>
      </c>
      <c r="J364" s="43" t="s">
        <v>731</v>
      </c>
      <c r="K364" s="43" t="str">
        <f>IF(LEN(D364)=10,"OK","Check")</f>
        <v>OK</v>
      </c>
      <c r="L364" s="43" t="s">
        <v>732</v>
      </c>
      <c r="M364" s="43" t="str">
        <f>IF(L364="Hold","Hold",IF(IFERROR(E364,0)&gt;=200,"High",IF(IFERROR(E364,0)&gt;=100,"Medium","Normal")))</f>
        <v>Hold</v>
      </c>
      <c r="N364" s="43" t="s">
        <v>90</v>
      </c>
      <c r="O364" s="43" t="s">
        <v>91</v>
      </c>
      <c r="P364" s="43" t="s">
        <v>92</v>
      </c>
      <c r="Q364" s="17" t="s">
        <v>93</v>
      </c>
      <c r="R364" s="45"/>
      <c r="S364" s="43"/>
      <c r="T364" s="43" t="s">
        <v>31</v>
      </c>
      <c r="U364" s="43" t="s">
        <v>94</v>
      </c>
      <c r="V364" s="43" t="s">
        <v>94</v>
      </c>
      <c r="W364" s="43" t="s">
        <v>95</v>
      </c>
      <c r="X364" s="45" t="str">
        <f>IF(AND(R364&lt;&gt;"",OR(U364="No reply",U364="Unknown")),R364+2,"")</f>
        <v/>
      </c>
      <c r="Y364" s="45"/>
      <c r="Z364" s="43" t="s">
        <v>96</v>
      </c>
      <c r="AA364" s="43" t="str">
        <f>IF(L364="Hold","Do not send",IF(T364="Not sent","Send WhatsApp",IF(U364="Demo booked","Prepare demo",IF(W364="Booked","Prepare demo",IF(AND(X364&lt;&gt;"",Y364=""),"Send follow-up","Review")))))</f>
        <v>Do not send</v>
      </c>
      <c r="AB364" s="43"/>
      <c r="AC364" s="43" t="s">
        <v>733</v>
      </c>
      <c r="AD364" s="43">
        <f>IF(AA364="Prepare demo",1,IF(AA364="Send follow-up",2,IF(AA364="Send WhatsApp",3,IF(AA364="Review",4,IF(AA364="Do not send",9,5)))))</f>
        <v>9</v>
      </c>
      <c r="AE364" s="43">
        <f>IF(M364="High",1,IF(M364="Medium",2,IF(M364="Normal",3,IF(M364="Hold",9,4))))</f>
        <v>9</v>
      </c>
      <c r="AF364" s="43">
        <f>IF(T364="Read",1,IF(T364="Delivered",2,IF(T364="Sent",3,IF(T364="Not sent",4,IF(T364="Failed",9,5)))))</f>
        <v>4</v>
      </c>
      <c r="AG364" s="43">
        <f>IF(U364="Demo booked",1,IF(U364="Interested",2,IF(U364="Replied",3,IF(U364="No reply",5,IF(U364="Not interested",8,IF(U364="Bad number",9,6))))))</f>
        <v>6</v>
      </c>
      <c r="AH364" s="46">
        <f>AD364*1000+AN364*100+AE364*10+AG364</f>
        <v>9596</v>
      </c>
      <c r="AI364" s="45">
        <f>MAX(IF(R364="",0,R364),IF(Y364="",0,Y364))</f>
        <v>0</v>
      </c>
      <c r="AJ364" s="43" t="str">
        <f ca="1">IF(AND(X364&lt;&gt;"",Y364="",X364&lt;TODAY()),"Overdue",IF(AND(X364&lt;&gt;"",Y364="",X364=TODAY()),"Due today",IF(Y364&lt;&gt;"","Follow-up sent","")))</f>
        <v/>
      </c>
      <c r="AK364" s="50" t="s">
        <v>734</v>
      </c>
      <c r="AL364" s="50" t="s">
        <v>735</v>
      </c>
      <c r="AM364" s="50" t="s">
        <v>736</v>
      </c>
      <c r="AN364" s="50">
        <v>5</v>
      </c>
      <c r="AO364" s="54" t="s">
        <v>1498</v>
      </c>
      <c r="AP364" s="57" t="s">
        <v>127</v>
      </c>
      <c r="AQ364" s="58"/>
      <c r="AR364" s="57"/>
    </row>
    <row r="365" spans="1:44" ht="54" customHeight="1" x14ac:dyDescent="0.25">
      <c r="A365" s="43" t="s">
        <v>1499</v>
      </c>
      <c r="B365" s="43" t="s">
        <v>790</v>
      </c>
      <c r="C365" s="43"/>
      <c r="D365" s="44" t="s">
        <v>1500</v>
      </c>
      <c r="E365" s="43"/>
      <c r="F365" s="43" t="s">
        <v>729</v>
      </c>
      <c r="G365" s="45"/>
      <c r="H365" s="45">
        <v>46161</v>
      </c>
      <c r="I365" s="43" t="s">
        <v>730</v>
      </c>
      <c r="J365" s="43" t="s">
        <v>731</v>
      </c>
      <c r="K365" s="43" t="str">
        <f>IF(LEN(D365)=10,"OK","Check")</f>
        <v>OK</v>
      </c>
      <c r="L365" s="43" t="s">
        <v>732</v>
      </c>
      <c r="M365" s="43" t="str">
        <f>IF(L365="Hold","Hold",IF(IFERROR(E365,0)&gt;=200,"High",IF(IFERROR(E365,0)&gt;=100,"Medium","Normal")))</f>
        <v>Hold</v>
      </c>
      <c r="N365" s="43" t="s">
        <v>90</v>
      </c>
      <c r="O365" s="43" t="s">
        <v>91</v>
      </c>
      <c r="P365" s="43" t="s">
        <v>92</v>
      </c>
      <c r="Q365" s="17" t="s">
        <v>93</v>
      </c>
      <c r="R365" s="45"/>
      <c r="S365" s="43"/>
      <c r="T365" s="43" t="s">
        <v>31</v>
      </c>
      <c r="U365" s="43" t="s">
        <v>94</v>
      </c>
      <c r="V365" s="43" t="s">
        <v>94</v>
      </c>
      <c r="W365" s="43" t="s">
        <v>95</v>
      </c>
      <c r="X365" s="45" t="str">
        <f>IF(AND(R365&lt;&gt;"",OR(U365="No reply",U365="Unknown")),R365+2,"")</f>
        <v/>
      </c>
      <c r="Y365" s="45"/>
      <c r="Z365" s="43" t="s">
        <v>96</v>
      </c>
      <c r="AA365" s="43" t="str">
        <f>IF(L365="Hold","Do not send",IF(T365="Not sent","Send WhatsApp",IF(U365="Demo booked","Prepare demo",IF(W365="Booked","Prepare demo",IF(AND(X365&lt;&gt;"",Y365=""),"Send follow-up","Review")))))</f>
        <v>Do not send</v>
      </c>
      <c r="AB365" s="43"/>
      <c r="AC365" s="43" t="s">
        <v>733</v>
      </c>
      <c r="AD365" s="43">
        <f>IF(AA365="Prepare demo",1,IF(AA365="Send follow-up",2,IF(AA365="Send WhatsApp",3,IF(AA365="Review",4,IF(AA365="Do not send",9,5)))))</f>
        <v>9</v>
      </c>
      <c r="AE365" s="43">
        <f>IF(M365="High",1,IF(M365="Medium",2,IF(M365="Normal",3,IF(M365="Hold",9,4))))</f>
        <v>9</v>
      </c>
      <c r="AF365" s="43">
        <f>IF(T365="Read",1,IF(T365="Delivered",2,IF(T365="Sent",3,IF(T365="Not sent",4,IF(T365="Failed",9,5)))))</f>
        <v>4</v>
      </c>
      <c r="AG365" s="43">
        <f>IF(U365="Demo booked",1,IF(U365="Interested",2,IF(U365="Replied",3,IF(U365="No reply",5,IF(U365="Not interested",8,IF(U365="Bad number",9,6))))))</f>
        <v>6</v>
      </c>
      <c r="AH365" s="46">
        <f>AD365*1000+AN365*100+AE365*10+AG365</f>
        <v>9596</v>
      </c>
      <c r="AI365" s="45">
        <f>MAX(IF(R365="",0,R365),IF(Y365="",0,Y365))</f>
        <v>0</v>
      </c>
      <c r="AJ365" s="43" t="str">
        <f ca="1">IF(AND(X365&lt;&gt;"",Y365="",X365&lt;TODAY()),"Overdue",IF(AND(X365&lt;&gt;"",Y365="",X365=TODAY()),"Due today",IF(Y365&lt;&gt;"","Follow-up sent","")))</f>
        <v/>
      </c>
      <c r="AK365" s="50" t="s">
        <v>734</v>
      </c>
      <c r="AL365" s="50" t="s">
        <v>735</v>
      </c>
      <c r="AM365" s="50" t="s">
        <v>736</v>
      </c>
      <c r="AN365" s="50">
        <v>5</v>
      </c>
      <c r="AO365" s="54" t="s">
        <v>1501</v>
      </c>
      <c r="AP365" s="57" t="s">
        <v>127</v>
      </c>
      <c r="AQ365" s="58"/>
      <c r="AR365" s="57"/>
    </row>
    <row r="366" spans="1:44" ht="54" customHeight="1" x14ac:dyDescent="0.25">
      <c r="A366" s="43" t="s">
        <v>1502</v>
      </c>
      <c r="B366" s="43" t="s">
        <v>790</v>
      </c>
      <c r="C366" s="43"/>
      <c r="D366" s="44" t="s">
        <v>1503</v>
      </c>
      <c r="E366" s="43"/>
      <c r="F366" s="43" t="s">
        <v>729</v>
      </c>
      <c r="G366" s="45"/>
      <c r="H366" s="45">
        <v>46161</v>
      </c>
      <c r="I366" s="43" t="s">
        <v>730</v>
      </c>
      <c r="J366" s="43" t="s">
        <v>731</v>
      </c>
      <c r="K366" s="43" t="str">
        <f>IF(LEN(D366)=10,"OK","Check")</f>
        <v>OK</v>
      </c>
      <c r="L366" s="43" t="s">
        <v>732</v>
      </c>
      <c r="M366" s="43" t="str">
        <f>IF(L366="Hold","Hold",IF(IFERROR(E366,0)&gt;=200,"High",IF(IFERROR(E366,0)&gt;=100,"Medium","Normal")))</f>
        <v>Hold</v>
      </c>
      <c r="N366" s="43" t="s">
        <v>90</v>
      </c>
      <c r="O366" s="43" t="s">
        <v>91</v>
      </c>
      <c r="P366" s="43" t="s">
        <v>92</v>
      </c>
      <c r="Q366" s="17" t="s">
        <v>93</v>
      </c>
      <c r="R366" s="45"/>
      <c r="S366" s="43"/>
      <c r="T366" s="43" t="s">
        <v>31</v>
      </c>
      <c r="U366" s="43" t="s">
        <v>94</v>
      </c>
      <c r="V366" s="43" t="s">
        <v>94</v>
      </c>
      <c r="W366" s="43" t="s">
        <v>95</v>
      </c>
      <c r="X366" s="45" t="str">
        <f>IF(AND(R366&lt;&gt;"",OR(U366="No reply",U366="Unknown")),R366+2,"")</f>
        <v/>
      </c>
      <c r="Y366" s="45"/>
      <c r="Z366" s="43" t="s">
        <v>96</v>
      </c>
      <c r="AA366" s="43" t="str">
        <f>IF(L366="Hold","Do not send",IF(T366="Not sent","Send WhatsApp",IF(U366="Demo booked","Prepare demo",IF(W366="Booked","Prepare demo",IF(AND(X366&lt;&gt;"",Y366=""),"Send follow-up","Review")))))</f>
        <v>Do not send</v>
      </c>
      <c r="AB366" s="43"/>
      <c r="AC366" s="43" t="s">
        <v>733</v>
      </c>
      <c r="AD366" s="43">
        <f>IF(AA366="Prepare demo",1,IF(AA366="Send follow-up",2,IF(AA366="Send WhatsApp",3,IF(AA366="Review",4,IF(AA366="Do not send",9,5)))))</f>
        <v>9</v>
      </c>
      <c r="AE366" s="43">
        <f>IF(M366="High",1,IF(M366="Medium",2,IF(M366="Normal",3,IF(M366="Hold",9,4))))</f>
        <v>9</v>
      </c>
      <c r="AF366" s="43">
        <f>IF(T366="Read",1,IF(T366="Delivered",2,IF(T366="Sent",3,IF(T366="Not sent",4,IF(T366="Failed",9,5)))))</f>
        <v>4</v>
      </c>
      <c r="AG366" s="43">
        <f>IF(U366="Demo booked",1,IF(U366="Interested",2,IF(U366="Replied",3,IF(U366="No reply",5,IF(U366="Not interested",8,IF(U366="Bad number",9,6))))))</f>
        <v>6</v>
      </c>
      <c r="AH366" s="46">
        <f>AD366*1000+AN366*100+AE366*10+AG366</f>
        <v>9596</v>
      </c>
      <c r="AI366" s="45">
        <f>MAX(IF(R366="",0,R366),IF(Y366="",0,Y366))</f>
        <v>0</v>
      </c>
      <c r="AJ366" s="43" t="str">
        <f ca="1">IF(AND(X366&lt;&gt;"",Y366="",X366&lt;TODAY()),"Overdue",IF(AND(X366&lt;&gt;"",Y366="",X366=TODAY()),"Due today",IF(Y366&lt;&gt;"","Follow-up sent","")))</f>
        <v/>
      </c>
      <c r="AK366" s="50" t="s">
        <v>734</v>
      </c>
      <c r="AL366" s="50" t="s">
        <v>735</v>
      </c>
      <c r="AM366" s="50" t="s">
        <v>736</v>
      </c>
      <c r="AN366" s="50">
        <v>5</v>
      </c>
      <c r="AO366" s="54" t="s">
        <v>1504</v>
      </c>
      <c r="AP366" s="57" t="s">
        <v>127</v>
      </c>
      <c r="AQ366" s="58"/>
      <c r="AR366" s="57"/>
    </row>
    <row r="367" spans="1:44" ht="54" customHeight="1" x14ac:dyDescent="0.25">
      <c r="A367" s="43" t="s">
        <v>1505</v>
      </c>
      <c r="B367" s="43" t="s">
        <v>790</v>
      </c>
      <c r="C367" s="43"/>
      <c r="D367" s="44" t="s">
        <v>1506</v>
      </c>
      <c r="E367" s="43"/>
      <c r="F367" s="43" t="s">
        <v>729</v>
      </c>
      <c r="G367" s="45"/>
      <c r="H367" s="45">
        <v>46161</v>
      </c>
      <c r="I367" s="43" t="s">
        <v>730</v>
      </c>
      <c r="J367" s="43" t="s">
        <v>731</v>
      </c>
      <c r="K367" s="43" t="str">
        <f>IF(LEN(D367)=10,"OK","Check")</f>
        <v>OK</v>
      </c>
      <c r="L367" s="43" t="s">
        <v>732</v>
      </c>
      <c r="M367" s="43" t="str">
        <f>IF(L367="Hold","Hold",IF(IFERROR(E367,0)&gt;=200,"High",IF(IFERROR(E367,0)&gt;=100,"Medium","Normal")))</f>
        <v>Hold</v>
      </c>
      <c r="N367" s="43" t="s">
        <v>90</v>
      </c>
      <c r="O367" s="43" t="s">
        <v>91</v>
      </c>
      <c r="P367" s="43" t="s">
        <v>92</v>
      </c>
      <c r="Q367" s="17" t="s">
        <v>93</v>
      </c>
      <c r="R367" s="45"/>
      <c r="S367" s="43"/>
      <c r="T367" s="43" t="s">
        <v>31</v>
      </c>
      <c r="U367" s="43" t="s">
        <v>94</v>
      </c>
      <c r="V367" s="43" t="s">
        <v>94</v>
      </c>
      <c r="W367" s="43" t="s">
        <v>95</v>
      </c>
      <c r="X367" s="45" t="str">
        <f>IF(AND(R367&lt;&gt;"",OR(U367="No reply",U367="Unknown")),R367+2,"")</f>
        <v/>
      </c>
      <c r="Y367" s="45"/>
      <c r="Z367" s="43" t="s">
        <v>96</v>
      </c>
      <c r="AA367" s="43" t="str">
        <f>IF(L367="Hold","Do not send",IF(T367="Not sent","Send WhatsApp",IF(U367="Demo booked","Prepare demo",IF(W367="Booked","Prepare demo",IF(AND(X367&lt;&gt;"",Y367=""),"Send follow-up","Review")))))</f>
        <v>Do not send</v>
      </c>
      <c r="AB367" s="43"/>
      <c r="AC367" s="43" t="s">
        <v>733</v>
      </c>
      <c r="AD367" s="43">
        <f>IF(AA367="Prepare demo",1,IF(AA367="Send follow-up",2,IF(AA367="Send WhatsApp",3,IF(AA367="Review",4,IF(AA367="Do not send",9,5)))))</f>
        <v>9</v>
      </c>
      <c r="AE367" s="43">
        <f>IF(M367="High",1,IF(M367="Medium",2,IF(M367="Normal",3,IF(M367="Hold",9,4))))</f>
        <v>9</v>
      </c>
      <c r="AF367" s="43">
        <f>IF(T367="Read",1,IF(T367="Delivered",2,IF(T367="Sent",3,IF(T367="Not sent",4,IF(T367="Failed",9,5)))))</f>
        <v>4</v>
      </c>
      <c r="AG367" s="43">
        <f>IF(U367="Demo booked",1,IF(U367="Interested",2,IF(U367="Replied",3,IF(U367="No reply",5,IF(U367="Not interested",8,IF(U367="Bad number",9,6))))))</f>
        <v>6</v>
      </c>
      <c r="AH367" s="46">
        <f>AD367*1000+AN367*100+AE367*10+AG367</f>
        <v>9596</v>
      </c>
      <c r="AI367" s="45">
        <f>MAX(IF(R367="",0,R367),IF(Y367="",0,Y367))</f>
        <v>0</v>
      </c>
      <c r="AJ367" s="43" t="str">
        <f ca="1">IF(AND(X367&lt;&gt;"",Y367="",X367&lt;TODAY()),"Overdue",IF(AND(X367&lt;&gt;"",Y367="",X367=TODAY()),"Due today",IF(Y367&lt;&gt;"","Follow-up sent","")))</f>
        <v/>
      </c>
      <c r="AK367" s="50" t="s">
        <v>734</v>
      </c>
      <c r="AL367" s="50" t="s">
        <v>735</v>
      </c>
      <c r="AM367" s="50" t="s">
        <v>736</v>
      </c>
      <c r="AN367" s="50">
        <v>5</v>
      </c>
      <c r="AO367" s="54" t="s">
        <v>1507</v>
      </c>
      <c r="AP367" s="57" t="s">
        <v>127</v>
      </c>
      <c r="AQ367" s="58"/>
      <c r="AR367" s="57"/>
    </row>
    <row r="368" spans="1:44" ht="54" customHeight="1" x14ac:dyDescent="0.25">
      <c r="A368" s="43" t="s">
        <v>1508</v>
      </c>
      <c r="B368" s="43" t="s">
        <v>1509</v>
      </c>
      <c r="C368" s="43" t="s">
        <v>1509</v>
      </c>
      <c r="D368" s="44" t="s">
        <v>1510</v>
      </c>
      <c r="E368" s="43"/>
      <c r="F368" s="43" t="s">
        <v>729</v>
      </c>
      <c r="G368" s="45"/>
      <c r="H368" s="45">
        <v>46161</v>
      </c>
      <c r="I368" s="43" t="s">
        <v>730</v>
      </c>
      <c r="J368" s="43" t="s">
        <v>731</v>
      </c>
      <c r="K368" s="43" t="str">
        <f>IF(LEN(D368)=10,"OK","Check")</f>
        <v>OK</v>
      </c>
      <c r="L368" s="43" t="s">
        <v>732</v>
      </c>
      <c r="M368" s="43" t="str">
        <f>IF(L368="Hold","Hold",IF(IFERROR(E368,0)&gt;=200,"High",IF(IFERROR(E368,0)&gt;=100,"Medium","Normal")))</f>
        <v>Hold</v>
      </c>
      <c r="N368" s="43" t="s">
        <v>90</v>
      </c>
      <c r="O368" s="43" t="s">
        <v>91</v>
      </c>
      <c r="P368" s="43" t="s">
        <v>92</v>
      </c>
      <c r="Q368" s="17" t="s">
        <v>93</v>
      </c>
      <c r="R368" s="45"/>
      <c r="S368" s="43"/>
      <c r="T368" s="43" t="s">
        <v>31</v>
      </c>
      <c r="U368" s="43" t="s">
        <v>94</v>
      </c>
      <c r="V368" s="43" t="s">
        <v>94</v>
      </c>
      <c r="W368" s="43" t="s">
        <v>95</v>
      </c>
      <c r="X368" s="45" t="str">
        <f>IF(AND(R368&lt;&gt;"",OR(U368="No reply",U368="Unknown")),R368+2,"")</f>
        <v/>
      </c>
      <c r="Y368" s="45"/>
      <c r="Z368" s="43" t="s">
        <v>96</v>
      </c>
      <c r="AA368" s="43" t="str">
        <f>IF(L368="Hold","Do not send",IF(T368="Not sent","Send WhatsApp",IF(U368="Demo booked","Prepare demo",IF(W368="Booked","Prepare demo",IF(AND(X368&lt;&gt;"",Y368=""),"Send follow-up","Review")))))</f>
        <v>Do not send</v>
      </c>
      <c r="AB368" s="43"/>
      <c r="AC368" s="43" t="s">
        <v>733</v>
      </c>
      <c r="AD368" s="43">
        <f>IF(AA368="Prepare demo",1,IF(AA368="Send follow-up",2,IF(AA368="Send WhatsApp",3,IF(AA368="Review",4,IF(AA368="Do not send",9,5)))))</f>
        <v>9</v>
      </c>
      <c r="AE368" s="43">
        <f>IF(M368="High",1,IF(M368="Medium",2,IF(M368="Normal",3,IF(M368="Hold",9,4))))</f>
        <v>9</v>
      </c>
      <c r="AF368" s="43">
        <f>IF(T368="Read",1,IF(T368="Delivered",2,IF(T368="Sent",3,IF(T368="Not sent",4,IF(T368="Failed",9,5)))))</f>
        <v>4</v>
      </c>
      <c r="AG368" s="43">
        <f>IF(U368="Demo booked",1,IF(U368="Interested",2,IF(U368="Replied",3,IF(U368="No reply",5,IF(U368="Not interested",8,IF(U368="Bad number",9,6))))))</f>
        <v>6</v>
      </c>
      <c r="AH368" s="46">
        <f>AD368*1000+AN368*100+AE368*10+AG368</f>
        <v>9596</v>
      </c>
      <c r="AI368" s="45">
        <f>MAX(IF(R368="",0,R368),IF(Y368="",0,Y368))</f>
        <v>0</v>
      </c>
      <c r="AJ368" s="43" t="str">
        <f ca="1">IF(AND(X368&lt;&gt;"",Y368="",X368&lt;TODAY()),"Overdue",IF(AND(X368&lt;&gt;"",Y368="",X368=TODAY()),"Due today",IF(Y368&lt;&gt;"","Follow-up sent","")))</f>
        <v/>
      </c>
      <c r="AK368" s="50" t="s">
        <v>734</v>
      </c>
      <c r="AL368" s="50" t="s">
        <v>735</v>
      </c>
      <c r="AM368" s="50" t="s">
        <v>736</v>
      </c>
      <c r="AN368" s="50">
        <v>5</v>
      </c>
      <c r="AO368" s="54" t="s">
        <v>1511</v>
      </c>
      <c r="AP368" s="57" t="s">
        <v>127</v>
      </c>
      <c r="AQ368" s="58"/>
      <c r="AR368" s="57"/>
    </row>
    <row r="369" spans="1:44" ht="54" customHeight="1" x14ac:dyDescent="0.25">
      <c r="A369" s="43" t="s">
        <v>1512</v>
      </c>
      <c r="B369" s="43" t="s">
        <v>790</v>
      </c>
      <c r="C369" s="43"/>
      <c r="D369" s="44" t="s">
        <v>1513</v>
      </c>
      <c r="E369" s="43"/>
      <c r="F369" s="43" t="s">
        <v>729</v>
      </c>
      <c r="G369" s="45"/>
      <c r="H369" s="45">
        <v>46161</v>
      </c>
      <c r="I369" s="43" t="s">
        <v>730</v>
      </c>
      <c r="J369" s="43" t="s">
        <v>731</v>
      </c>
      <c r="K369" s="43" t="str">
        <f>IF(LEN(D369)=10,"OK","Check")</f>
        <v>OK</v>
      </c>
      <c r="L369" s="43" t="s">
        <v>732</v>
      </c>
      <c r="M369" s="43" t="str">
        <f>IF(L369="Hold","Hold",IF(IFERROR(E369,0)&gt;=200,"High",IF(IFERROR(E369,0)&gt;=100,"Medium","Normal")))</f>
        <v>Hold</v>
      </c>
      <c r="N369" s="43" t="s">
        <v>90</v>
      </c>
      <c r="O369" s="43" t="s">
        <v>91</v>
      </c>
      <c r="P369" s="43" t="s">
        <v>92</v>
      </c>
      <c r="Q369" s="17" t="s">
        <v>93</v>
      </c>
      <c r="R369" s="45"/>
      <c r="S369" s="43"/>
      <c r="T369" s="43" t="s">
        <v>31</v>
      </c>
      <c r="U369" s="43" t="s">
        <v>94</v>
      </c>
      <c r="V369" s="43" t="s">
        <v>94</v>
      </c>
      <c r="W369" s="43" t="s">
        <v>95</v>
      </c>
      <c r="X369" s="45" t="str">
        <f>IF(AND(R369&lt;&gt;"",OR(U369="No reply",U369="Unknown")),R369+2,"")</f>
        <v/>
      </c>
      <c r="Y369" s="45"/>
      <c r="Z369" s="43" t="s">
        <v>96</v>
      </c>
      <c r="AA369" s="43" t="str">
        <f>IF(L369="Hold","Do not send",IF(T369="Not sent","Send WhatsApp",IF(U369="Demo booked","Prepare demo",IF(W369="Booked","Prepare demo",IF(AND(X369&lt;&gt;"",Y369=""),"Send follow-up","Review")))))</f>
        <v>Do not send</v>
      </c>
      <c r="AB369" s="43"/>
      <c r="AC369" s="43" t="s">
        <v>733</v>
      </c>
      <c r="AD369" s="43">
        <f>IF(AA369="Prepare demo",1,IF(AA369="Send follow-up",2,IF(AA369="Send WhatsApp",3,IF(AA369="Review",4,IF(AA369="Do not send",9,5)))))</f>
        <v>9</v>
      </c>
      <c r="AE369" s="43">
        <f>IF(M369="High",1,IF(M369="Medium",2,IF(M369="Normal",3,IF(M369="Hold",9,4))))</f>
        <v>9</v>
      </c>
      <c r="AF369" s="43">
        <f>IF(T369="Read",1,IF(T369="Delivered",2,IF(T369="Sent",3,IF(T369="Not sent",4,IF(T369="Failed",9,5)))))</f>
        <v>4</v>
      </c>
      <c r="AG369" s="43">
        <f>IF(U369="Demo booked",1,IF(U369="Interested",2,IF(U369="Replied",3,IF(U369="No reply",5,IF(U369="Not interested",8,IF(U369="Bad number",9,6))))))</f>
        <v>6</v>
      </c>
      <c r="AH369" s="46">
        <f>AD369*1000+AN369*100+AE369*10+AG369</f>
        <v>9596</v>
      </c>
      <c r="AI369" s="45">
        <f>MAX(IF(R369="",0,R369),IF(Y369="",0,Y369))</f>
        <v>0</v>
      </c>
      <c r="AJ369" s="43" t="str">
        <f ca="1">IF(AND(X369&lt;&gt;"",Y369="",X369&lt;TODAY()),"Overdue",IF(AND(X369&lt;&gt;"",Y369="",X369=TODAY()),"Due today",IF(Y369&lt;&gt;"","Follow-up sent","")))</f>
        <v/>
      </c>
      <c r="AK369" s="50" t="s">
        <v>734</v>
      </c>
      <c r="AL369" s="50" t="s">
        <v>735</v>
      </c>
      <c r="AM369" s="50" t="s">
        <v>736</v>
      </c>
      <c r="AN369" s="50">
        <v>5</v>
      </c>
      <c r="AO369" s="54" t="s">
        <v>1514</v>
      </c>
      <c r="AP369" s="57" t="s">
        <v>127</v>
      </c>
      <c r="AQ369" s="58"/>
      <c r="AR369" s="57"/>
    </row>
    <row r="370" spans="1:44" ht="54" customHeight="1" x14ac:dyDescent="0.25">
      <c r="A370" s="43" t="s">
        <v>1515</v>
      </c>
      <c r="B370" s="43" t="s">
        <v>790</v>
      </c>
      <c r="C370" s="43"/>
      <c r="D370" s="44" t="s">
        <v>1516</v>
      </c>
      <c r="E370" s="43"/>
      <c r="F370" s="43" t="s">
        <v>729</v>
      </c>
      <c r="G370" s="45"/>
      <c r="H370" s="45">
        <v>46161</v>
      </c>
      <c r="I370" s="43" t="s">
        <v>730</v>
      </c>
      <c r="J370" s="43" t="s">
        <v>731</v>
      </c>
      <c r="K370" s="43" t="str">
        <f>IF(LEN(D370)=10,"OK","Check")</f>
        <v>OK</v>
      </c>
      <c r="L370" s="43" t="s">
        <v>732</v>
      </c>
      <c r="M370" s="43" t="str">
        <f>IF(L370="Hold","Hold",IF(IFERROR(E370,0)&gt;=200,"High",IF(IFERROR(E370,0)&gt;=100,"Medium","Normal")))</f>
        <v>Hold</v>
      </c>
      <c r="N370" s="43" t="s">
        <v>90</v>
      </c>
      <c r="O370" s="43" t="s">
        <v>91</v>
      </c>
      <c r="P370" s="43" t="s">
        <v>92</v>
      </c>
      <c r="Q370" s="17" t="s">
        <v>93</v>
      </c>
      <c r="R370" s="45"/>
      <c r="S370" s="43"/>
      <c r="T370" s="43" t="s">
        <v>31</v>
      </c>
      <c r="U370" s="43" t="s">
        <v>94</v>
      </c>
      <c r="V370" s="43" t="s">
        <v>94</v>
      </c>
      <c r="W370" s="43" t="s">
        <v>95</v>
      </c>
      <c r="X370" s="45" t="str">
        <f>IF(AND(R370&lt;&gt;"",OR(U370="No reply",U370="Unknown")),R370+2,"")</f>
        <v/>
      </c>
      <c r="Y370" s="45"/>
      <c r="Z370" s="43" t="s">
        <v>96</v>
      </c>
      <c r="AA370" s="43" t="str">
        <f>IF(L370="Hold","Do not send",IF(T370="Not sent","Send WhatsApp",IF(U370="Demo booked","Prepare demo",IF(W370="Booked","Prepare demo",IF(AND(X370&lt;&gt;"",Y370=""),"Send follow-up","Review")))))</f>
        <v>Do not send</v>
      </c>
      <c r="AB370" s="43"/>
      <c r="AC370" s="43" t="s">
        <v>733</v>
      </c>
      <c r="AD370" s="43">
        <f>IF(AA370="Prepare demo",1,IF(AA370="Send follow-up",2,IF(AA370="Send WhatsApp",3,IF(AA370="Review",4,IF(AA370="Do not send",9,5)))))</f>
        <v>9</v>
      </c>
      <c r="AE370" s="43">
        <f>IF(M370="High",1,IF(M370="Medium",2,IF(M370="Normal",3,IF(M370="Hold",9,4))))</f>
        <v>9</v>
      </c>
      <c r="AF370" s="43">
        <f>IF(T370="Read",1,IF(T370="Delivered",2,IF(T370="Sent",3,IF(T370="Not sent",4,IF(T370="Failed",9,5)))))</f>
        <v>4</v>
      </c>
      <c r="AG370" s="43">
        <f>IF(U370="Demo booked",1,IF(U370="Interested",2,IF(U370="Replied",3,IF(U370="No reply",5,IF(U370="Not interested",8,IF(U370="Bad number",9,6))))))</f>
        <v>6</v>
      </c>
      <c r="AH370" s="46">
        <f>AD370*1000+AN370*100+AE370*10+AG370</f>
        <v>9596</v>
      </c>
      <c r="AI370" s="45">
        <f>MAX(IF(R370="",0,R370),IF(Y370="",0,Y370))</f>
        <v>0</v>
      </c>
      <c r="AJ370" s="43" t="str">
        <f ca="1">IF(AND(X370&lt;&gt;"",Y370="",X370&lt;TODAY()),"Overdue",IF(AND(X370&lt;&gt;"",Y370="",X370=TODAY()),"Due today",IF(Y370&lt;&gt;"","Follow-up sent","")))</f>
        <v/>
      </c>
      <c r="AK370" s="50" t="s">
        <v>734</v>
      </c>
      <c r="AL370" s="50" t="s">
        <v>735</v>
      </c>
      <c r="AM370" s="50" t="s">
        <v>736</v>
      </c>
      <c r="AN370" s="50">
        <v>5</v>
      </c>
      <c r="AO370" s="54" t="s">
        <v>1517</v>
      </c>
      <c r="AP370" s="57" t="s">
        <v>127</v>
      </c>
      <c r="AQ370" s="58"/>
      <c r="AR370" s="57"/>
    </row>
    <row r="371" spans="1:44" ht="54" customHeight="1" x14ac:dyDescent="0.25">
      <c r="A371" s="43" t="s">
        <v>1518</v>
      </c>
      <c r="B371" s="43" t="s">
        <v>790</v>
      </c>
      <c r="C371" s="43"/>
      <c r="D371" s="44" t="s">
        <v>1519</v>
      </c>
      <c r="E371" s="43"/>
      <c r="F371" s="43" t="s">
        <v>729</v>
      </c>
      <c r="G371" s="45"/>
      <c r="H371" s="45">
        <v>46161</v>
      </c>
      <c r="I371" s="43" t="s">
        <v>730</v>
      </c>
      <c r="J371" s="43" t="s">
        <v>731</v>
      </c>
      <c r="K371" s="43" t="str">
        <f>IF(LEN(D371)=10,"OK","Check")</f>
        <v>OK</v>
      </c>
      <c r="L371" s="43" t="s">
        <v>732</v>
      </c>
      <c r="M371" s="43" t="str">
        <f>IF(L371="Hold","Hold",IF(IFERROR(E371,0)&gt;=200,"High",IF(IFERROR(E371,0)&gt;=100,"Medium","Normal")))</f>
        <v>Hold</v>
      </c>
      <c r="N371" s="43" t="s">
        <v>90</v>
      </c>
      <c r="O371" s="43" t="s">
        <v>91</v>
      </c>
      <c r="P371" s="43" t="s">
        <v>92</v>
      </c>
      <c r="Q371" s="17" t="s">
        <v>93</v>
      </c>
      <c r="R371" s="45"/>
      <c r="S371" s="43"/>
      <c r="T371" s="43" t="s">
        <v>31</v>
      </c>
      <c r="U371" s="43" t="s">
        <v>94</v>
      </c>
      <c r="V371" s="43" t="s">
        <v>94</v>
      </c>
      <c r="W371" s="43" t="s">
        <v>95</v>
      </c>
      <c r="X371" s="45" t="str">
        <f>IF(AND(R371&lt;&gt;"",OR(U371="No reply",U371="Unknown")),R371+2,"")</f>
        <v/>
      </c>
      <c r="Y371" s="45"/>
      <c r="Z371" s="43" t="s">
        <v>96</v>
      </c>
      <c r="AA371" s="43" t="str">
        <f>IF(L371="Hold","Do not send",IF(T371="Not sent","Send WhatsApp",IF(U371="Demo booked","Prepare demo",IF(W371="Booked","Prepare demo",IF(AND(X371&lt;&gt;"",Y371=""),"Send follow-up","Review")))))</f>
        <v>Do not send</v>
      </c>
      <c r="AB371" s="43"/>
      <c r="AC371" s="43" t="s">
        <v>733</v>
      </c>
      <c r="AD371" s="43">
        <f>IF(AA371="Prepare demo",1,IF(AA371="Send follow-up",2,IF(AA371="Send WhatsApp",3,IF(AA371="Review",4,IF(AA371="Do not send",9,5)))))</f>
        <v>9</v>
      </c>
      <c r="AE371" s="43">
        <f>IF(M371="High",1,IF(M371="Medium",2,IF(M371="Normal",3,IF(M371="Hold",9,4))))</f>
        <v>9</v>
      </c>
      <c r="AF371" s="43">
        <f>IF(T371="Read",1,IF(T371="Delivered",2,IF(T371="Sent",3,IF(T371="Not sent",4,IF(T371="Failed",9,5)))))</f>
        <v>4</v>
      </c>
      <c r="AG371" s="43">
        <f>IF(U371="Demo booked",1,IF(U371="Interested",2,IF(U371="Replied",3,IF(U371="No reply",5,IF(U371="Not interested",8,IF(U371="Bad number",9,6))))))</f>
        <v>6</v>
      </c>
      <c r="AH371" s="46">
        <f>AD371*1000+AN371*100+AE371*10+AG371</f>
        <v>9596</v>
      </c>
      <c r="AI371" s="45">
        <f>MAX(IF(R371="",0,R371),IF(Y371="",0,Y371))</f>
        <v>0</v>
      </c>
      <c r="AJ371" s="43" t="str">
        <f ca="1">IF(AND(X371&lt;&gt;"",Y371="",X371&lt;TODAY()),"Overdue",IF(AND(X371&lt;&gt;"",Y371="",X371=TODAY()),"Due today",IF(Y371&lt;&gt;"","Follow-up sent","")))</f>
        <v/>
      </c>
      <c r="AK371" s="50" t="s">
        <v>734</v>
      </c>
      <c r="AL371" s="50" t="s">
        <v>735</v>
      </c>
      <c r="AM371" s="50" t="s">
        <v>736</v>
      </c>
      <c r="AN371" s="50">
        <v>5</v>
      </c>
      <c r="AO371" s="54" t="s">
        <v>1520</v>
      </c>
      <c r="AP371" s="57" t="s">
        <v>127</v>
      </c>
      <c r="AQ371" s="58"/>
      <c r="AR371" s="57"/>
    </row>
    <row r="372" spans="1:44" ht="54" customHeight="1" x14ac:dyDescent="0.25">
      <c r="A372" s="43" t="s">
        <v>1521</v>
      </c>
      <c r="B372" s="43" t="s">
        <v>790</v>
      </c>
      <c r="C372" s="43"/>
      <c r="D372" s="44" t="s">
        <v>1522</v>
      </c>
      <c r="E372" s="43"/>
      <c r="F372" s="43" t="s">
        <v>729</v>
      </c>
      <c r="G372" s="45"/>
      <c r="H372" s="45">
        <v>46161</v>
      </c>
      <c r="I372" s="43" t="s">
        <v>730</v>
      </c>
      <c r="J372" s="43" t="s">
        <v>731</v>
      </c>
      <c r="K372" s="43" t="str">
        <f>IF(LEN(D372)=10,"OK","Check")</f>
        <v>OK</v>
      </c>
      <c r="L372" s="43" t="s">
        <v>732</v>
      </c>
      <c r="M372" s="43" t="str">
        <f>IF(L372="Hold","Hold",IF(IFERROR(E372,0)&gt;=200,"High",IF(IFERROR(E372,0)&gt;=100,"Medium","Normal")))</f>
        <v>Hold</v>
      </c>
      <c r="N372" s="43" t="s">
        <v>90</v>
      </c>
      <c r="O372" s="43" t="s">
        <v>91</v>
      </c>
      <c r="P372" s="43" t="s">
        <v>92</v>
      </c>
      <c r="Q372" s="17" t="s">
        <v>93</v>
      </c>
      <c r="R372" s="45"/>
      <c r="S372" s="43"/>
      <c r="T372" s="43" t="s">
        <v>31</v>
      </c>
      <c r="U372" s="43" t="s">
        <v>94</v>
      </c>
      <c r="V372" s="43" t="s">
        <v>94</v>
      </c>
      <c r="W372" s="43" t="s">
        <v>95</v>
      </c>
      <c r="X372" s="45" t="str">
        <f>IF(AND(R372&lt;&gt;"",OR(U372="No reply",U372="Unknown")),R372+2,"")</f>
        <v/>
      </c>
      <c r="Y372" s="45"/>
      <c r="Z372" s="43" t="s">
        <v>96</v>
      </c>
      <c r="AA372" s="43" t="str">
        <f>IF(L372="Hold","Do not send",IF(T372="Not sent","Send WhatsApp",IF(U372="Demo booked","Prepare demo",IF(W372="Booked","Prepare demo",IF(AND(X372&lt;&gt;"",Y372=""),"Send follow-up","Review")))))</f>
        <v>Do not send</v>
      </c>
      <c r="AB372" s="43"/>
      <c r="AC372" s="43" t="s">
        <v>733</v>
      </c>
      <c r="AD372" s="43">
        <f>IF(AA372="Prepare demo",1,IF(AA372="Send follow-up",2,IF(AA372="Send WhatsApp",3,IF(AA372="Review",4,IF(AA372="Do not send",9,5)))))</f>
        <v>9</v>
      </c>
      <c r="AE372" s="43">
        <f>IF(M372="High",1,IF(M372="Medium",2,IF(M372="Normal",3,IF(M372="Hold",9,4))))</f>
        <v>9</v>
      </c>
      <c r="AF372" s="43">
        <f>IF(T372="Read",1,IF(T372="Delivered",2,IF(T372="Sent",3,IF(T372="Not sent",4,IF(T372="Failed",9,5)))))</f>
        <v>4</v>
      </c>
      <c r="AG372" s="43">
        <f>IF(U372="Demo booked",1,IF(U372="Interested",2,IF(U372="Replied",3,IF(U372="No reply",5,IF(U372="Not interested",8,IF(U372="Bad number",9,6))))))</f>
        <v>6</v>
      </c>
      <c r="AH372" s="46">
        <f>AD372*1000+AN372*100+AE372*10+AG372</f>
        <v>9596</v>
      </c>
      <c r="AI372" s="45">
        <f>MAX(IF(R372="",0,R372),IF(Y372="",0,Y372))</f>
        <v>0</v>
      </c>
      <c r="AJ372" s="43" t="str">
        <f ca="1">IF(AND(X372&lt;&gt;"",Y372="",X372&lt;TODAY()),"Overdue",IF(AND(X372&lt;&gt;"",Y372="",X372=TODAY()),"Due today",IF(Y372&lt;&gt;"","Follow-up sent","")))</f>
        <v/>
      </c>
      <c r="AK372" s="50" t="s">
        <v>734</v>
      </c>
      <c r="AL372" s="50" t="s">
        <v>735</v>
      </c>
      <c r="AM372" s="50" t="s">
        <v>736</v>
      </c>
      <c r="AN372" s="50">
        <v>5</v>
      </c>
      <c r="AO372" s="54" t="s">
        <v>1523</v>
      </c>
      <c r="AP372" s="57" t="s">
        <v>127</v>
      </c>
      <c r="AQ372" s="58"/>
      <c r="AR372" s="57"/>
    </row>
    <row r="373" spans="1:44" ht="54" customHeight="1" x14ac:dyDescent="0.25">
      <c r="A373" s="43" t="s">
        <v>1524</v>
      </c>
      <c r="B373" s="43" t="s">
        <v>790</v>
      </c>
      <c r="C373" s="43"/>
      <c r="D373" s="44" t="s">
        <v>1525</v>
      </c>
      <c r="E373" s="43"/>
      <c r="F373" s="43" t="s">
        <v>729</v>
      </c>
      <c r="G373" s="45"/>
      <c r="H373" s="45">
        <v>46161</v>
      </c>
      <c r="I373" s="43" t="s">
        <v>730</v>
      </c>
      <c r="J373" s="43" t="s">
        <v>731</v>
      </c>
      <c r="K373" s="43" t="str">
        <f>IF(LEN(D373)=10,"OK","Check")</f>
        <v>OK</v>
      </c>
      <c r="L373" s="43" t="s">
        <v>732</v>
      </c>
      <c r="M373" s="43" t="str">
        <f>IF(L373="Hold","Hold",IF(IFERROR(E373,0)&gt;=200,"High",IF(IFERROR(E373,0)&gt;=100,"Medium","Normal")))</f>
        <v>Hold</v>
      </c>
      <c r="N373" s="43" t="s">
        <v>90</v>
      </c>
      <c r="O373" s="43" t="s">
        <v>91</v>
      </c>
      <c r="P373" s="43" t="s">
        <v>92</v>
      </c>
      <c r="Q373" s="17" t="s">
        <v>93</v>
      </c>
      <c r="R373" s="45"/>
      <c r="S373" s="43"/>
      <c r="T373" s="43" t="s">
        <v>31</v>
      </c>
      <c r="U373" s="43" t="s">
        <v>94</v>
      </c>
      <c r="V373" s="43" t="s">
        <v>94</v>
      </c>
      <c r="W373" s="43" t="s">
        <v>95</v>
      </c>
      <c r="X373" s="45" t="str">
        <f>IF(AND(R373&lt;&gt;"",OR(U373="No reply",U373="Unknown")),R373+2,"")</f>
        <v/>
      </c>
      <c r="Y373" s="45"/>
      <c r="Z373" s="43" t="s">
        <v>96</v>
      </c>
      <c r="AA373" s="43" t="str">
        <f>IF(L373="Hold","Do not send",IF(T373="Not sent","Send WhatsApp",IF(U373="Demo booked","Prepare demo",IF(W373="Booked","Prepare demo",IF(AND(X373&lt;&gt;"",Y373=""),"Send follow-up","Review")))))</f>
        <v>Do not send</v>
      </c>
      <c r="AB373" s="43"/>
      <c r="AC373" s="43" t="s">
        <v>733</v>
      </c>
      <c r="AD373" s="43">
        <f>IF(AA373="Prepare demo",1,IF(AA373="Send follow-up",2,IF(AA373="Send WhatsApp",3,IF(AA373="Review",4,IF(AA373="Do not send",9,5)))))</f>
        <v>9</v>
      </c>
      <c r="AE373" s="43">
        <f>IF(M373="High",1,IF(M373="Medium",2,IF(M373="Normal",3,IF(M373="Hold",9,4))))</f>
        <v>9</v>
      </c>
      <c r="AF373" s="43">
        <f>IF(T373="Read",1,IF(T373="Delivered",2,IF(T373="Sent",3,IF(T373="Not sent",4,IF(T373="Failed",9,5)))))</f>
        <v>4</v>
      </c>
      <c r="AG373" s="43">
        <f>IF(U373="Demo booked",1,IF(U373="Interested",2,IF(U373="Replied",3,IF(U373="No reply",5,IF(U373="Not interested",8,IF(U373="Bad number",9,6))))))</f>
        <v>6</v>
      </c>
      <c r="AH373" s="46">
        <f>AD373*1000+AN373*100+AE373*10+AG373</f>
        <v>9596</v>
      </c>
      <c r="AI373" s="45">
        <f>MAX(IF(R373="",0,R373),IF(Y373="",0,Y373))</f>
        <v>0</v>
      </c>
      <c r="AJ373" s="43" t="str">
        <f ca="1">IF(AND(X373&lt;&gt;"",Y373="",X373&lt;TODAY()),"Overdue",IF(AND(X373&lt;&gt;"",Y373="",X373=TODAY()),"Due today",IF(Y373&lt;&gt;"","Follow-up sent","")))</f>
        <v/>
      </c>
      <c r="AK373" s="50" t="s">
        <v>734</v>
      </c>
      <c r="AL373" s="50" t="s">
        <v>735</v>
      </c>
      <c r="AM373" s="50" t="s">
        <v>736</v>
      </c>
      <c r="AN373" s="50">
        <v>5</v>
      </c>
      <c r="AO373" s="54" t="s">
        <v>1526</v>
      </c>
      <c r="AP373" s="57" t="s">
        <v>127</v>
      </c>
      <c r="AQ373" s="58"/>
      <c r="AR373" s="57"/>
    </row>
    <row r="374" spans="1:44" ht="54" customHeight="1" x14ac:dyDescent="0.25">
      <c r="A374" s="43" t="s">
        <v>1527</v>
      </c>
      <c r="B374" s="43" t="s">
        <v>790</v>
      </c>
      <c r="C374" s="43"/>
      <c r="D374" s="44" t="s">
        <v>1528</v>
      </c>
      <c r="E374" s="43"/>
      <c r="F374" s="43" t="s">
        <v>729</v>
      </c>
      <c r="G374" s="45"/>
      <c r="H374" s="45">
        <v>46161</v>
      </c>
      <c r="I374" s="43" t="s">
        <v>730</v>
      </c>
      <c r="J374" s="43" t="s">
        <v>731</v>
      </c>
      <c r="K374" s="43" t="str">
        <f>IF(LEN(D374)=10,"OK","Check")</f>
        <v>OK</v>
      </c>
      <c r="L374" s="43" t="s">
        <v>732</v>
      </c>
      <c r="M374" s="43" t="str">
        <f>IF(L374="Hold","Hold",IF(IFERROR(E374,0)&gt;=200,"High",IF(IFERROR(E374,0)&gt;=100,"Medium","Normal")))</f>
        <v>Hold</v>
      </c>
      <c r="N374" s="43" t="s">
        <v>90</v>
      </c>
      <c r="O374" s="43" t="s">
        <v>91</v>
      </c>
      <c r="P374" s="43" t="s">
        <v>92</v>
      </c>
      <c r="Q374" s="17" t="s">
        <v>93</v>
      </c>
      <c r="R374" s="45"/>
      <c r="S374" s="43"/>
      <c r="T374" s="43" t="s">
        <v>31</v>
      </c>
      <c r="U374" s="43" t="s">
        <v>94</v>
      </c>
      <c r="V374" s="43" t="s">
        <v>94</v>
      </c>
      <c r="W374" s="43" t="s">
        <v>95</v>
      </c>
      <c r="X374" s="45" t="str">
        <f>IF(AND(R374&lt;&gt;"",OR(U374="No reply",U374="Unknown")),R374+2,"")</f>
        <v/>
      </c>
      <c r="Y374" s="45"/>
      <c r="Z374" s="43" t="s">
        <v>96</v>
      </c>
      <c r="AA374" s="43" t="str">
        <f>IF(L374="Hold","Do not send",IF(T374="Not sent","Send WhatsApp",IF(U374="Demo booked","Prepare demo",IF(W374="Booked","Prepare demo",IF(AND(X374&lt;&gt;"",Y374=""),"Send follow-up","Review")))))</f>
        <v>Do not send</v>
      </c>
      <c r="AB374" s="43"/>
      <c r="AC374" s="43" t="s">
        <v>733</v>
      </c>
      <c r="AD374" s="43">
        <f>IF(AA374="Prepare demo",1,IF(AA374="Send follow-up",2,IF(AA374="Send WhatsApp",3,IF(AA374="Review",4,IF(AA374="Do not send",9,5)))))</f>
        <v>9</v>
      </c>
      <c r="AE374" s="43">
        <f>IF(M374="High",1,IF(M374="Medium",2,IF(M374="Normal",3,IF(M374="Hold",9,4))))</f>
        <v>9</v>
      </c>
      <c r="AF374" s="43">
        <f>IF(T374="Read",1,IF(T374="Delivered",2,IF(T374="Sent",3,IF(T374="Not sent",4,IF(T374="Failed",9,5)))))</f>
        <v>4</v>
      </c>
      <c r="AG374" s="43">
        <f>IF(U374="Demo booked",1,IF(U374="Interested",2,IF(U374="Replied",3,IF(U374="No reply",5,IF(U374="Not interested",8,IF(U374="Bad number",9,6))))))</f>
        <v>6</v>
      </c>
      <c r="AH374" s="46">
        <f>AD374*1000+AN374*100+AE374*10+AG374</f>
        <v>9596</v>
      </c>
      <c r="AI374" s="45">
        <f>MAX(IF(R374="",0,R374),IF(Y374="",0,Y374))</f>
        <v>0</v>
      </c>
      <c r="AJ374" s="43" t="str">
        <f ca="1">IF(AND(X374&lt;&gt;"",Y374="",X374&lt;TODAY()),"Overdue",IF(AND(X374&lt;&gt;"",Y374="",X374=TODAY()),"Due today",IF(Y374&lt;&gt;"","Follow-up sent","")))</f>
        <v/>
      </c>
      <c r="AK374" s="50" t="s">
        <v>734</v>
      </c>
      <c r="AL374" s="50" t="s">
        <v>735</v>
      </c>
      <c r="AM374" s="50" t="s">
        <v>736</v>
      </c>
      <c r="AN374" s="50">
        <v>5</v>
      </c>
      <c r="AO374" s="54" t="s">
        <v>1529</v>
      </c>
      <c r="AP374" s="57" t="s">
        <v>127</v>
      </c>
      <c r="AQ374" s="58"/>
      <c r="AR374" s="57"/>
    </row>
    <row r="375" spans="1:44" ht="54" customHeight="1" x14ac:dyDescent="0.25">
      <c r="A375" s="43" t="s">
        <v>1530</v>
      </c>
      <c r="B375" s="43" t="s">
        <v>790</v>
      </c>
      <c r="C375" s="43"/>
      <c r="D375" s="44" t="s">
        <v>1531</v>
      </c>
      <c r="E375" s="43"/>
      <c r="F375" s="43" t="s">
        <v>729</v>
      </c>
      <c r="G375" s="45"/>
      <c r="H375" s="45">
        <v>46161</v>
      </c>
      <c r="I375" s="43" t="s">
        <v>730</v>
      </c>
      <c r="J375" s="43" t="s">
        <v>731</v>
      </c>
      <c r="K375" s="43" t="str">
        <f>IF(LEN(D375)=10,"OK","Check")</f>
        <v>OK</v>
      </c>
      <c r="L375" s="43" t="s">
        <v>732</v>
      </c>
      <c r="M375" s="43" t="str">
        <f>IF(L375="Hold","Hold",IF(IFERROR(E375,0)&gt;=200,"High",IF(IFERROR(E375,0)&gt;=100,"Medium","Normal")))</f>
        <v>Hold</v>
      </c>
      <c r="N375" s="43" t="s">
        <v>90</v>
      </c>
      <c r="O375" s="43" t="s">
        <v>91</v>
      </c>
      <c r="P375" s="43" t="s">
        <v>92</v>
      </c>
      <c r="Q375" s="17" t="s">
        <v>93</v>
      </c>
      <c r="R375" s="45"/>
      <c r="S375" s="43"/>
      <c r="T375" s="43" t="s">
        <v>31</v>
      </c>
      <c r="U375" s="43" t="s">
        <v>94</v>
      </c>
      <c r="V375" s="43" t="s">
        <v>94</v>
      </c>
      <c r="W375" s="43" t="s">
        <v>95</v>
      </c>
      <c r="X375" s="45" t="str">
        <f>IF(AND(R375&lt;&gt;"",OR(U375="No reply",U375="Unknown")),R375+2,"")</f>
        <v/>
      </c>
      <c r="Y375" s="45"/>
      <c r="Z375" s="43" t="s">
        <v>96</v>
      </c>
      <c r="AA375" s="43" t="str">
        <f>IF(L375="Hold","Do not send",IF(T375="Not sent","Send WhatsApp",IF(U375="Demo booked","Prepare demo",IF(W375="Booked","Prepare demo",IF(AND(X375&lt;&gt;"",Y375=""),"Send follow-up","Review")))))</f>
        <v>Do not send</v>
      </c>
      <c r="AB375" s="43"/>
      <c r="AC375" s="43" t="s">
        <v>733</v>
      </c>
      <c r="AD375" s="43">
        <f>IF(AA375="Prepare demo",1,IF(AA375="Send follow-up",2,IF(AA375="Send WhatsApp",3,IF(AA375="Review",4,IF(AA375="Do not send",9,5)))))</f>
        <v>9</v>
      </c>
      <c r="AE375" s="43">
        <f>IF(M375="High",1,IF(M375="Medium",2,IF(M375="Normal",3,IF(M375="Hold",9,4))))</f>
        <v>9</v>
      </c>
      <c r="AF375" s="43">
        <f>IF(T375="Read",1,IF(T375="Delivered",2,IF(T375="Sent",3,IF(T375="Not sent",4,IF(T375="Failed",9,5)))))</f>
        <v>4</v>
      </c>
      <c r="AG375" s="43">
        <f>IF(U375="Demo booked",1,IF(U375="Interested",2,IF(U375="Replied",3,IF(U375="No reply",5,IF(U375="Not interested",8,IF(U375="Bad number",9,6))))))</f>
        <v>6</v>
      </c>
      <c r="AH375" s="46">
        <f>AD375*1000+AN375*100+AE375*10+AG375</f>
        <v>9596</v>
      </c>
      <c r="AI375" s="45">
        <f>MAX(IF(R375="",0,R375),IF(Y375="",0,Y375))</f>
        <v>0</v>
      </c>
      <c r="AJ375" s="43" t="str">
        <f ca="1">IF(AND(X375&lt;&gt;"",Y375="",X375&lt;TODAY()),"Overdue",IF(AND(X375&lt;&gt;"",Y375="",X375=TODAY()),"Due today",IF(Y375&lt;&gt;"","Follow-up sent","")))</f>
        <v/>
      </c>
      <c r="AK375" s="50" t="s">
        <v>734</v>
      </c>
      <c r="AL375" s="50" t="s">
        <v>735</v>
      </c>
      <c r="AM375" s="50" t="s">
        <v>736</v>
      </c>
      <c r="AN375" s="50">
        <v>5</v>
      </c>
      <c r="AO375" s="54" t="s">
        <v>1532</v>
      </c>
      <c r="AP375" s="57" t="s">
        <v>127</v>
      </c>
      <c r="AQ375" s="58"/>
      <c r="AR375" s="57"/>
    </row>
    <row r="376" spans="1:44" ht="54" customHeight="1" x14ac:dyDescent="0.25">
      <c r="A376" s="43" t="s">
        <v>1533</v>
      </c>
      <c r="B376" s="43" t="s">
        <v>790</v>
      </c>
      <c r="C376" s="43"/>
      <c r="D376" s="44" t="s">
        <v>1534</v>
      </c>
      <c r="E376" s="43"/>
      <c r="F376" s="43" t="s">
        <v>729</v>
      </c>
      <c r="G376" s="45"/>
      <c r="H376" s="45">
        <v>46161</v>
      </c>
      <c r="I376" s="43" t="s">
        <v>730</v>
      </c>
      <c r="J376" s="43" t="s">
        <v>731</v>
      </c>
      <c r="K376" s="43" t="str">
        <f>IF(LEN(D376)=10,"OK","Check")</f>
        <v>OK</v>
      </c>
      <c r="L376" s="43" t="s">
        <v>732</v>
      </c>
      <c r="M376" s="43" t="str">
        <f>IF(L376="Hold","Hold",IF(IFERROR(E376,0)&gt;=200,"High",IF(IFERROR(E376,0)&gt;=100,"Medium","Normal")))</f>
        <v>Hold</v>
      </c>
      <c r="N376" s="43" t="s">
        <v>90</v>
      </c>
      <c r="O376" s="43" t="s">
        <v>91</v>
      </c>
      <c r="P376" s="43" t="s">
        <v>92</v>
      </c>
      <c r="Q376" s="17" t="s">
        <v>93</v>
      </c>
      <c r="R376" s="45"/>
      <c r="S376" s="43"/>
      <c r="T376" s="43" t="s">
        <v>31</v>
      </c>
      <c r="U376" s="43" t="s">
        <v>94</v>
      </c>
      <c r="V376" s="43" t="s">
        <v>94</v>
      </c>
      <c r="W376" s="43" t="s">
        <v>95</v>
      </c>
      <c r="X376" s="45" t="str">
        <f>IF(AND(R376&lt;&gt;"",OR(U376="No reply",U376="Unknown")),R376+2,"")</f>
        <v/>
      </c>
      <c r="Y376" s="45"/>
      <c r="Z376" s="43" t="s">
        <v>96</v>
      </c>
      <c r="AA376" s="43" t="str">
        <f>IF(L376="Hold","Do not send",IF(T376="Not sent","Send WhatsApp",IF(U376="Demo booked","Prepare demo",IF(W376="Booked","Prepare demo",IF(AND(X376&lt;&gt;"",Y376=""),"Send follow-up","Review")))))</f>
        <v>Do not send</v>
      </c>
      <c r="AB376" s="43"/>
      <c r="AC376" s="43" t="s">
        <v>733</v>
      </c>
      <c r="AD376" s="43">
        <f>IF(AA376="Prepare demo",1,IF(AA376="Send follow-up",2,IF(AA376="Send WhatsApp",3,IF(AA376="Review",4,IF(AA376="Do not send",9,5)))))</f>
        <v>9</v>
      </c>
      <c r="AE376" s="43">
        <f>IF(M376="High",1,IF(M376="Medium",2,IF(M376="Normal",3,IF(M376="Hold",9,4))))</f>
        <v>9</v>
      </c>
      <c r="AF376" s="43">
        <f>IF(T376="Read",1,IF(T376="Delivered",2,IF(T376="Sent",3,IF(T376="Not sent",4,IF(T376="Failed",9,5)))))</f>
        <v>4</v>
      </c>
      <c r="AG376" s="43">
        <f>IF(U376="Demo booked",1,IF(U376="Interested",2,IF(U376="Replied",3,IF(U376="No reply",5,IF(U376="Not interested",8,IF(U376="Bad number",9,6))))))</f>
        <v>6</v>
      </c>
      <c r="AH376" s="46">
        <f>AD376*1000+AN376*100+AE376*10+AG376</f>
        <v>9596</v>
      </c>
      <c r="AI376" s="45">
        <f>MAX(IF(R376="",0,R376),IF(Y376="",0,Y376))</f>
        <v>0</v>
      </c>
      <c r="AJ376" s="43" t="str">
        <f ca="1">IF(AND(X376&lt;&gt;"",Y376="",X376&lt;TODAY()),"Overdue",IF(AND(X376&lt;&gt;"",Y376="",X376=TODAY()),"Due today",IF(Y376&lt;&gt;"","Follow-up sent","")))</f>
        <v/>
      </c>
      <c r="AK376" s="50" t="s">
        <v>734</v>
      </c>
      <c r="AL376" s="50" t="s">
        <v>735</v>
      </c>
      <c r="AM376" s="50" t="s">
        <v>736</v>
      </c>
      <c r="AN376" s="50">
        <v>5</v>
      </c>
      <c r="AO376" s="54" t="s">
        <v>1535</v>
      </c>
      <c r="AP376" s="57" t="s">
        <v>127</v>
      </c>
      <c r="AQ376" s="58"/>
      <c r="AR376" s="57"/>
    </row>
    <row r="377" spans="1:44" ht="54" customHeight="1" x14ac:dyDescent="0.25">
      <c r="A377" s="43" t="s">
        <v>1536</v>
      </c>
      <c r="B377" s="43" t="s">
        <v>790</v>
      </c>
      <c r="C377" s="43"/>
      <c r="D377" s="44" t="s">
        <v>1537</v>
      </c>
      <c r="E377" s="43"/>
      <c r="F377" s="43" t="s">
        <v>729</v>
      </c>
      <c r="G377" s="45"/>
      <c r="H377" s="45">
        <v>46161</v>
      </c>
      <c r="I377" s="43" t="s">
        <v>730</v>
      </c>
      <c r="J377" s="43" t="s">
        <v>731</v>
      </c>
      <c r="K377" s="43" t="str">
        <f>IF(LEN(D377)=10,"OK","Check")</f>
        <v>OK</v>
      </c>
      <c r="L377" s="43" t="s">
        <v>732</v>
      </c>
      <c r="M377" s="43" t="str">
        <f>IF(L377="Hold","Hold",IF(IFERROR(E377,0)&gt;=200,"High",IF(IFERROR(E377,0)&gt;=100,"Medium","Normal")))</f>
        <v>Hold</v>
      </c>
      <c r="N377" s="43" t="s">
        <v>90</v>
      </c>
      <c r="O377" s="43" t="s">
        <v>91</v>
      </c>
      <c r="P377" s="43" t="s">
        <v>92</v>
      </c>
      <c r="Q377" s="17" t="s">
        <v>93</v>
      </c>
      <c r="R377" s="45"/>
      <c r="S377" s="43"/>
      <c r="T377" s="43" t="s">
        <v>31</v>
      </c>
      <c r="U377" s="43" t="s">
        <v>94</v>
      </c>
      <c r="V377" s="43" t="s">
        <v>94</v>
      </c>
      <c r="W377" s="43" t="s">
        <v>95</v>
      </c>
      <c r="X377" s="45" t="str">
        <f>IF(AND(R377&lt;&gt;"",OR(U377="No reply",U377="Unknown")),R377+2,"")</f>
        <v/>
      </c>
      <c r="Y377" s="45"/>
      <c r="Z377" s="43" t="s">
        <v>96</v>
      </c>
      <c r="AA377" s="43" t="str">
        <f>IF(L377="Hold","Do not send",IF(T377="Not sent","Send WhatsApp",IF(U377="Demo booked","Prepare demo",IF(W377="Booked","Prepare demo",IF(AND(X377&lt;&gt;"",Y377=""),"Send follow-up","Review")))))</f>
        <v>Do not send</v>
      </c>
      <c r="AB377" s="43"/>
      <c r="AC377" s="43" t="s">
        <v>733</v>
      </c>
      <c r="AD377" s="43">
        <f>IF(AA377="Prepare demo",1,IF(AA377="Send follow-up",2,IF(AA377="Send WhatsApp",3,IF(AA377="Review",4,IF(AA377="Do not send",9,5)))))</f>
        <v>9</v>
      </c>
      <c r="AE377" s="43">
        <f>IF(M377="High",1,IF(M377="Medium",2,IF(M377="Normal",3,IF(M377="Hold",9,4))))</f>
        <v>9</v>
      </c>
      <c r="AF377" s="43">
        <f>IF(T377="Read",1,IF(T377="Delivered",2,IF(T377="Sent",3,IF(T377="Not sent",4,IF(T377="Failed",9,5)))))</f>
        <v>4</v>
      </c>
      <c r="AG377" s="43">
        <f>IF(U377="Demo booked",1,IF(U377="Interested",2,IF(U377="Replied",3,IF(U377="No reply",5,IF(U377="Not interested",8,IF(U377="Bad number",9,6))))))</f>
        <v>6</v>
      </c>
      <c r="AH377" s="46">
        <f>AD377*1000+AN377*100+AE377*10+AG377</f>
        <v>9596</v>
      </c>
      <c r="AI377" s="45">
        <f>MAX(IF(R377="",0,R377),IF(Y377="",0,Y377))</f>
        <v>0</v>
      </c>
      <c r="AJ377" s="43" t="str">
        <f ca="1">IF(AND(X377&lt;&gt;"",Y377="",X377&lt;TODAY()),"Overdue",IF(AND(X377&lt;&gt;"",Y377="",X377=TODAY()),"Due today",IF(Y377&lt;&gt;"","Follow-up sent","")))</f>
        <v/>
      </c>
      <c r="AK377" s="50" t="s">
        <v>734</v>
      </c>
      <c r="AL377" s="50" t="s">
        <v>735</v>
      </c>
      <c r="AM377" s="50" t="s">
        <v>736</v>
      </c>
      <c r="AN377" s="50">
        <v>5</v>
      </c>
      <c r="AO377" s="54" t="s">
        <v>1538</v>
      </c>
      <c r="AP377" s="57" t="s">
        <v>127</v>
      </c>
      <c r="AQ377" s="58"/>
      <c r="AR377" s="57"/>
    </row>
    <row r="378" spans="1:44" ht="54" customHeight="1" x14ac:dyDescent="0.25">
      <c r="A378" s="43" t="s">
        <v>1539</v>
      </c>
      <c r="B378" s="43" t="s">
        <v>790</v>
      </c>
      <c r="C378" s="43"/>
      <c r="D378" s="44" t="s">
        <v>1540</v>
      </c>
      <c r="E378" s="43"/>
      <c r="F378" s="43" t="s">
        <v>729</v>
      </c>
      <c r="G378" s="45"/>
      <c r="H378" s="45">
        <v>46161</v>
      </c>
      <c r="I378" s="43" t="s">
        <v>730</v>
      </c>
      <c r="J378" s="43" t="s">
        <v>731</v>
      </c>
      <c r="K378" s="43" t="str">
        <f>IF(LEN(D378)=10,"OK","Check")</f>
        <v>OK</v>
      </c>
      <c r="L378" s="43" t="s">
        <v>732</v>
      </c>
      <c r="M378" s="43" t="str">
        <f>IF(L378="Hold","Hold",IF(IFERROR(E378,0)&gt;=200,"High",IF(IFERROR(E378,0)&gt;=100,"Medium","Normal")))</f>
        <v>Hold</v>
      </c>
      <c r="N378" s="43" t="s">
        <v>90</v>
      </c>
      <c r="O378" s="43" t="s">
        <v>91</v>
      </c>
      <c r="P378" s="43" t="s">
        <v>92</v>
      </c>
      <c r="Q378" s="17" t="s">
        <v>93</v>
      </c>
      <c r="R378" s="45"/>
      <c r="S378" s="43"/>
      <c r="T378" s="43" t="s">
        <v>31</v>
      </c>
      <c r="U378" s="43" t="s">
        <v>94</v>
      </c>
      <c r="V378" s="43" t="s">
        <v>94</v>
      </c>
      <c r="W378" s="43" t="s">
        <v>95</v>
      </c>
      <c r="X378" s="45" t="str">
        <f>IF(AND(R378&lt;&gt;"",OR(U378="No reply",U378="Unknown")),R378+2,"")</f>
        <v/>
      </c>
      <c r="Y378" s="45"/>
      <c r="Z378" s="43" t="s">
        <v>96</v>
      </c>
      <c r="AA378" s="43" t="str">
        <f>IF(L378="Hold","Do not send",IF(T378="Not sent","Send WhatsApp",IF(U378="Demo booked","Prepare demo",IF(W378="Booked","Prepare demo",IF(AND(X378&lt;&gt;"",Y378=""),"Send follow-up","Review")))))</f>
        <v>Do not send</v>
      </c>
      <c r="AB378" s="43"/>
      <c r="AC378" s="43" t="s">
        <v>733</v>
      </c>
      <c r="AD378" s="43">
        <f>IF(AA378="Prepare demo",1,IF(AA378="Send follow-up",2,IF(AA378="Send WhatsApp",3,IF(AA378="Review",4,IF(AA378="Do not send",9,5)))))</f>
        <v>9</v>
      </c>
      <c r="AE378" s="43">
        <f>IF(M378="High",1,IF(M378="Medium",2,IF(M378="Normal",3,IF(M378="Hold",9,4))))</f>
        <v>9</v>
      </c>
      <c r="AF378" s="43">
        <f>IF(T378="Read",1,IF(T378="Delivered",2,IF(T378="Sent",3,IF(T378="Not sent",4,IF(T378="Failed",9,5)))))</f>
        <v>4</v>
      </c>
      <c r="AG378" s="43">
        <f>IF(U378="Demo booked",1,IF(U378="Interested",2,IF(U378="Replied",3,IF(U378="No reply",5,IF(U378="Not interested",8,IF(U378="Bad number",9,6))))))</f>
        <v>6</v>
      </c>
      <c r="AH378" s="46">
        <f>AD378*1000+AN378*100+AE378*10+AG378</f>
        <v>9596</v>
      </c>
      <c r="AI378" s="45">
        <f>MAX(IF(R378="",0,R378),IF(Y378="",0,Y378))</f>
        <v>0</v>
      </c>
      <c r="AJ378" s="43" t="str">
        <f ca="1">IF(AND(X378&lt;&gt;"",Y378="",X378&lt;TODAY()),"Overdue",IF(AND(X378&lt;&gt;"",Y378="",X378=TODAY()),"Due today",IF(Y378&lt;&gt;"","Follow-up sent","")))</f>
        <v/>
      </c>
      <c r="AK378" s="50" t="s">
        <v>734</v>
      </c>
      <c r="AL378" s="50" t="s">
        <v>735</v>
      </c>
      <c r="AM378" s="50" t="s">
        <v>736</v>
      </c>
      <c r="AN378" s="50">
        <v>5</v>
      </c>
      <c r="AO378" s="54" t="s">
        <v>1541</v>
      </c>
      <c r="AP378" s="57" t="s">
        <v>127</v>
      </c>
      <c r="AQ378" s="58"/>
      <c r="AR378" s="57"/>
    </row>
    <row r="379" spans="1:44" ht="54" customHeight="1" x14ac:dyDescent="0.25">
      <c r="A379" s="43" t="s">
        <v>1542</v>
      </c>
      <c r="B379" s="43" t="s">
        <v>790</v>
      </c>
      <c r="C379" s="43"/>
      <c r="D379" s="44" t="s">
        <v>1543</v>
      </c>
      <c r="E379" s="43"/>
      <c r="F379" s="43" t="s">
        <v>729</v>
      </c>
      <c r="G379" s="45"/>
      <c r="H379" s="45">
        <v>46161</v>
      </c>
      <c r="I379" s="43" t="s">
        <v>730</v>
      </c>
      <c r="J379" s="43" t="s">
        <v>731</v>
      </c>
      <c r="K379" s="43" t="str">
        <f>IF(LEN(D379)=10,"OK","Check")</f>
        <v>OK</v>
      </c>
      <c r="L379" s="43" t="s">
        <v>732</v>
      </c>
      <c r="M379" s="43" t="str">
        <f>IF(L379="Hold","Hold",IF(IFERROR(E379,0)&gt;=200,"High",IF(IFERROR(E379,0)&gt;=100,"Medium","Normal")))</f>
        <v>Hold</v>
      </c>
      <c r="N379" s="43" t="s">
        <v>90</v>
      </c>
      <c r="O379" s="43" t="s">
        <v>91</v>
      </c>
      <c r="P379" s="43" t="s">
        <v>92</v>
      </c>
      <c r="Q379" s="17" t="s">
        <v>93</v>
      </c>
      <c r="R379" s="45"/>
      <c r="S379" s="43"/>
      <c r="T379" s="43" t="s">
        <v>31</v>
      </c>
      <c r="U379" s="43" t="s">
        <v>94</v>
      </c>
      <c r="V379" s="43" t="s">
        <v>94</v>
      </c>
      <c r="W379" s="43" t="s">
        <v>95</v>
      </c>
      <c r="X379" s="45" t="str">
        <f>IF(AND(R379&lt;&gt;"",OR(U379="No reply",U379="Unknown")),R379+2,"")</f>
        <v/>
      </c>
      <c r="Y379" s="45"/>
      <c r="Z379" s="43" t="s">
        <v>96</v>
      </c>
      <c r="AA379" s="43" t="str">
        <f>IF(L379="Hold","Do not send",IF(T379="Not sent","Send WhatsApp",IF(U379="Demo booked","Prepare demo",IF(W379="Booked","Prepare demo",IF(AND(X379&lt;&gt;"",Y379=""),"Send follow-up","Review")))))</f>
        <v>Do not send</v>
      </c>
      <c r="AB379" s="43"/>
      <c r="AC379" s="43" t="s">
        <v>733</v>
      </c>
      <c r="AD379" s="43">
        <f>IF(AA379="Prepare demo",1,IF(AA379="Send follow-up",2,IF(AA379="Send WhatsApp",3,IF(AA379="Review",4,IF(AA379="Do not send",9,5)))))</f>
        <v>9</v>
      </c>
      <c r="AE379" s="43">
        <f>IF(M379="High",1,IF(M379="Medium",2,IF(M379="Normal",3,IF(M379="Hold",9,4))))</f>
        <v>9</v>
      </c>
      <c r="AF379" s="43">
        <f>IF(T379="Read",1,IF(T379="Delivered",2,IF(T379="Sent",3,IF(T379="Not sent",4,IF(T379="Failed",9,5)))))</f>
        <v>4</v>
      </c>
      <c r="AG379" s="43">
        <f>IF(U379="Demo booked",1,IF(U379="Interested",2,IF(U379="Replied",3,IF(U379="No reply",5,IF(U379="Not interested",8,IF(U379="Bad number",9,6))))))</f>
        <v>6</v>
      </c>
      <c r="AH379" s="46">
        <f>AD379*1000+AN379*100+AE379*10+AG379</f>
        <v>9596</v>
      </c>
      <c r="AI379" s="45">
        <f>MAX(IF(R379="",0,R379),IF(Y379="",0,Y379))</f>
        <v>0</v>
      </c>
      <c r="AJ379" s="43" t="str">
        <f ca="1">IF(AND(X379&lt;&gt;"",Y379="",X379&lt;TODAY()),"Overdue",IF(AND(X379&lt;&gt;"",Y379="",X379=TODAY()),"Due today",IF(Y379&lt;&gt;"","Follow-up sent","")))</f>
        <v/>
      </c>
      <c r="AK379" s="50" t="s">
        <v>734</v>
      </c>
      <c r="AL379" s="50" t="s">
        <v>735</v>
      </c>
      <c r="AM379" s="50" t="s">
        <v>736</v>
      </c>
      <c r="AN379" s="50">
        <v>5</v>
      </c>
      <c r="AO379" s="54" t="s">
        <v>1544</v>
      </c>
      <c r="AP379" s="57" t="s">
        <v>127</v>
      </c>
      <c r="AQ379" s="58"/>
      <c r="AR379" s="57"/>
    </row>
    <row r="380" spans="1:44" ht="54" customHeight="1" x14ac:dyDescent="0.25">
      <c r="A380" s="43" t="s">
        <v>1545</v>
      </c>
      <c r="B380" s="43" t="s">
        <v>790</v>
      </c>
      <c r="C380" s="43"/>
      <c r="D380" s="44" t="s">
        <v>1546</v>
      </c>
      <c r="E380" s="43"/>
      <c r="F380" s="43" t="s">
        <v>729</v>
      </c>
      <c r="G380" s="45"/>
      <c r="H380" s="45">
        <v>46161</v>
      </c>
      <c r="I380" s="43" t="s">
        <v>730</v>
      </c>
      <c r="J380" s="43" t="s">
        <v>731</v>
      </c>
      <c r="K380" s="43" t="str">
        <f>IF(LEN(D380)=10,"OK","Check")</f>
        <v>OK</v>
      </c>
      <c r="L380" s="43" t="s">
        <v>732</v>
      </c>
      <c r="M380" s="43" t="str">
        <f>IF(L380="Hold","Hold",IF(IFERROR(E380,0)&gt;=200,"High",IF(IFERROR(E380,0)&gt;=100,"Medium","Normal")))</f>
        <v>Hold</v>
      </c>
      <c r="N380" s="43" t="s">
        <v>90</v>
      </c>
      <c r="O380" s="43" t="s">
        <v>91</v>
      </c>
      <c r="P380" s="43" t="s">
        <v>92</v>
      </c>
      <c r="Q380" s="17" t="s">
        <v>93</v>
      </c>
      <c r="R380" s="45"/>
      <c r="S380" s="43"/>
      <c r="T380" s="43" t="s">
        <v>31</v>
      </c>
      <c r="U380" s="43" t="s">
        <v>94</v>
      </c>
      <c r="V380" s="43" t="s">
        <v>94</v>
      </c>
      <c r="W380" s="43" t="s">
        <v>95</v>
      </c>
      <c r="X380" s="45" t="str">
        <f>IF(AND(R380&lt;&gt;"",OR(U380="No reply",U380="Unknown")),R380+2,"")</f>
        <v/>
      </c>
      <c r="Y380" s="45"/>
      <c r="Z380" s="43" t="s">
        <v>96</v>
      </c>
      <c r="AA380" s="43" t="str">
        <f>IF(L380="Hold","Do not send",IF(T380="Not sent","Send WhatsApp",IF(U380="Demo booked","Prepare demo",IF(W380="Booked","Prepare demo",IF(AND(X380&lt;&gt;"",Y380=""),"Send follow-up","Review")))))</f>
        <v>Do not send</v>
      </c>
      <c r="AB380" s="43"/>
      <c r="AC380" s="43" t="s">
        <v>733</v>
      </c>
      <c r="AD380" s="43">
        <f>IF(AA380="Prepare demo",1,IF(AA380="Send follow-up",2,IF(AA380="Send WhatsApp",3,IF(AA380="Review",4,IF(AA380="Do not send",9,5)))))</f>
        <v>9</v>
      </c>
      <c r="AE380" s="43">
        <f>IF(M380="High",1,IF(M380="Medium",2,IF(M380="Normal",3,IF(M380="Hold",9,4))))</f>
        <v>9</v>
      </c>
      <c r="AF380" s="43">
        <f>IF(T380="Read",1,IF(T380="Delivered",2,IF(T380="Sent",3,IF(T380="Not sent",4,IF(T380="Failed",9,5)))))</f>
        <v>4</v>
      </c>
      <c r="AG380" s="43">
        <f>IF(U380="Demo booked",1,IF(U380="Interested",2,IF(U380="Replied",3,IF(U380="No reply",5,IF(U380="Not interested",8,IF(U380="Bad number",9,6))))))</f>
        <v>6</v>
      </c>
      <c r="AH380" s="46">
        <f>AD380*1000+AN380*100+AE380*10+AG380</f>
        <v>9596</v>
      </c>
      <c r="AI380" s="45">
        <f>MAX(IF(R380="",0,R380),IF(Y380="",0,Y380))</f>
        <v>0</v>
      </c>
      <c r="AJ380" s="43" t="str">
        <f ca="1">IF(AND(X380&lt;&gt;"",Y380="",X380&lt;TODAY()),"Overdue",IF(AND(X380&lt;&gt;"",Y380="",X380=TODAY()),"Due today",IF(Y380&lt;&gt;"","Follow-up sent","")))</f>
        <v/>
      </c>
      <c r="AK380" s="50" t="s">
        <v>734</v>
      </c>
      <c r="AL380" s="50" t="s">
        <v>735</v>
      </c>
      <c r="AM380" s="50" t="s">
        <v>736</v>
      </c>
      <c r="AN380" s="50">
        <v>5</v>
      </c>
      <c r="AO380" s="54" t="s">
        <v>1547</v>
      </c>
      <c r="AP380" s="57" t="s">
        <v>127</v>
      </c>
      <c r="AQ380" s="58"/>
      <c r="AR380" s="57"/>
    </row>
    <row r="381" spans="1:44" ht="54" customHeight="1" x14ac:dyDescent="0.25">
      <c r="A381" s="43" t="s">
        <v>1548</v>
      </c>
      <c r="B381" s="43" t="s">
        <v>790</v>
      </c>
      <c r="C381" s="43"/>
      <c r="D381" s="44" t="s">
        <v>1549</v>
      </c>
      <c r="E381" s="43"/>
      <c r="F381" s="43" t="s">
        <v>729</v>
      </c>
      <c r="G381" s="45"/>
      <c r="H381" s="45">
        <v>46161</v>
      </c>
      <c r="I381" s="43" t="s">
        <v>730</v>
      </c>
      <c r="J381" s="43" t="s">
        <v>731</v>
      </c>
      <c r="K381" s="43" t="str">
        <f>IF(LEN(D381)=10,"OK","Check")</f>
        <v>OK</v>
      </c>
      <c r="L381" s="43" t="s">
        <v>732</v>
      </c>
      <c r="M381" s="43" t="str">
        <f>IF(L381="Hold","Hold",IF(IFERROR(E381,0)&gt;=200,"High",IF(IFERROR(E381,0)&gt;=100,"Medium","Normal")))</f>
        <v>Hold</v>
      </c>
      <c r="N381" s="43" t="s">
        <v>90</v>
      </c>
      <c r="O381" s="43" t="s">
        <v>91</v>
      </c>
      <c r="P381" s="43" t="s">
        <v>92</v>
      </c>
      <c r="Q381" s="17" t="s">
        <v>93</v>
      </c>
      <c r="R381" s="45"/>
      <c r="S381" s="43"/>
      <c r="T381" s="43" t="s">
        <v>31</v>
      </c>
      <c r="U381" s="43" t="s">
        <v>94</v>
      </c>
      <c r="V381" s="43" t="s">
        <v>94</v>
      </c>
      <c r="W381" s="43" t="s">
        <v>95</v>
      </c>
      <c r="X381" s="45" t="str">
        <f>IF(AND(R381&lt;&gt;"",OR(U381="No reply",U381="Unknown")),R381+2,"")</f>
        <v/>
      </c>
      <c r="Y381" s="45"/>
      <c r="Z381" s="43" t="s">
        <v>96</v>
      </c>
      <c r="AA381" s="43" t="str">
        <f>IF(L381="Hold","Do not send",IF(T381="Not sent","Send WhatsApp",IF(U381="Demo booked","Prepare demo",IF(W381="Booked","Prepare demo",IF(AND(X381&lt;&gt;"",Y381=""),"Send follow-up","Review")))))</f>
        <v>Do not send</v>
      </c>
      <c r="AB381" s="43"/>
      <c r="AC381" s="43" t="s">
        <v>733</v>
      </c>
      <c r="AD381" s="43">
        <f>IF(AA381="Prepare demo",1,IF(AA381="Send follow-up",2,IF(AA381="Send WhatsApp",3,IF(AA381="Review",4,IF(AA381="Do not send",9,5)))))</f>
        <v>9</v>
      </c>
      <c r="AE381" s="43">
        <f>IF(M381="High",1,IF(M381="Medium",2,IF(M381="Normal",3,IF(M381="Hold",9,4))))</f>
        <v>9</v>
      </c>
      <c r="AF381" s="43">
        <f>IF(T381="Read",1,IF(T381="Delivered",2,IF(T381="Sent",3,IF(T381="Not sent",4,IF(T381="Failed",9,5)))))</f>
        <v>4</v>
      </c>
      <c r="AG381" s="43">
        <f>IF(U381="Demo booked",1,IF(U381="Interested",2,IF(U381="Replied",3,IF(U381="No reply",5,IF(U381="Not interested",8,IF(U381="Bad number",9,6))))))</f>
        <v>6</v>
      </c>
      <c r="AH381" s="46">
        <f>AD381*1000+AN381*100+AE381*10+AG381</f>
        <v>9596</v>
      </c>
      <c r="AI381" s="45">
        <f>MAX(IF(R381="",0,R381),IF(Y381="",0,Y381))</f>
        <v>0</v>
      </c>
      <c r="AJ381" s="43" t="str">
        <f ca="1">IF(AND(X381&lt;&gt;"",Y381="",X381&lt;TODAY()),"Overdue",IF(AND(X381&lt;&gt;"",Y381="",X381=TODAY()),"Due today",IF(Y381&lt;&gt;"","Follow-up sent","")))</f>
        <v/>
      </c>
      <c r="AK381" s="50" t="s">
        <v>734</v>
      </c>
      <c r="AL381" s="50" t="s">
        <v>735</v>
      </c>
      <c r="AM381" s="50" t="s">
        <v>736</v>
      </c>
      <c r="AN381" s="50">
        <v>5</v>
      </c>
      <c r="AO381" s="54" t="s">
        <v>1550</v>
      </c>
      <c r="AP381" s="57" t="s">
        <v>127</v>
      </c>
      <c r="AQ381" s="58"/>
      <c r="AR381" s="57"/>
    </row>
    <row r="382" spans="1:44" ht="54" customHeight="1" x14ac:dyDescent="0.25">
      <c r="A382" s="43" t="s">
        <v>1551</v>
      </c>
      <c r="B382" s="43" t="s">
        <v>790</v>
      </c>
      <c r="C382" s="43"/>
      <c r="D382" s="44" t="s">
        <v>1552</v>
      </c>
      <c r="E382" s="43"/>
      <c r="F382" s="43" t="s">
        <v>729</v>
      </c>
      <c r="G382" s="45"/>
      <c r="H382" s="45">
        <v>46161</v>
      </c>
      <c r="I382" s="43" t="s">
        <v>730</v>
      </c>
      <c r="J382" s="43" t="s">
        <v>731</v>
      </c>
      <c r="K382" s="43" t="str">
        <f>IF(LEN(D382)=10,"OK","Check")</f>
        <v>OK</v>
      </c>
      <c r="L382" s="43" t="s">
        <v>732</v>
      </c>
      <c r="M382" s="43" t="str">
        <f>IF(L382="Hold","Hold",IF(IFERROR(E382,0)&gt;=200,"High",IF(IFERROR(E382,0)&gt;=100,"Medium","Normal")))</f>
        <v>Hold</v>
      </c>
      <c r="N382" s="43" t="s">
        <v>90</v>
      </c>
      <c r="O382" s="43" t="s">
        <v>91</v>
      </c>
      <c r="P382" s="43" t="s">
        <v>92</v>
      </c>
      <c r="Q382" s="17" t="s">
        <v>93</v>
      </c>
      <c r="R382" s="45"/>
      <c r="S382" s="43"/>
      <c r="T382" s="43" t="s">
        <v>31</v>
      </c>
      <c r="U382" s="43" t="s">
        <v>94</v>
      </c>
      <c r="V382" s="43" t="s">
        <v>94</v>
      </c>
      <c r="W382" s="43" t="s">
        <v>95</v>
      </c>
      <c r="X382" s="45" t="str">
        <f>IF(AND(R382&lt;&gt;"",OR(U382="No reply",U382="Unknown")),R382+2,"")</f>
        <v/>
      </c>
      <c r="Y382" s="45"/>
      <c r="Z382" s="43" t="s">
        <v>96</v>
      </c>
      <c r="AA382" s="43" t="str">
        <f>IF(L382="Hold","Do not send",IF(T382="Not sent","Send WhatsApp",IF(U382="Demo booked","Prepare demo",IF(W382="Booked","Prepare demo",IF(AND(X382&lt;&gt;"",Y382=""),"Send follow-up","Review")))))</f>
        <v>Do not send</v>
      </c>
      <c r="AB382" s="43"/>
      <c r="AC382" s="43" t="s">
        <v>733</v>
      </c>
      <c r="AD382" s="43">
        <f>IF(AA382="Prepare demo",1,IF(AA382="Send follow-up",2,IF(AA382="Send WhatsApp",3,IF(AA382="Review",4,IF(AA382="Do not send",9,5)))))</f>
        <v>9</v>
      </c>
      <c r="AE382" s="43">
        <f>IF(M382="High",1,IF(M382="Medium",2,IF(M382="Normal",3,IF(M382="Hold",9,4))))</f>
        <v>9</v>
      </c>
      <c r="AF382" s="43">
        <f>IF(T382="Read",1,IF(T382="Delivered",2,IF(T382="Sent",3,IF(T382="Not sent",4,IF(T382="Failed",9,5)))))</f>
        <v>4</v>
      </c>
      <c r="AG382" s="43">
        <f>IF(U382="Demo booked",1,IF(U382="Interested",2,IF(U382="Replied",3,IF(U382="No reply",5,IF(U382="Not interested",8,IF(U382="Bad number",9,6))))))</f>
        <v>6</v>
      </c>
      <c r="AH382" s="46">
        <f>AD382*1000+AN382*100+AE382*10+AG382</f>
        <v>9596</v>
      </c>
      <c r="AI382" s="45">
        <f>MAX(IF(R382="",0,R382),IF(Y382="",0,Y382))</f>
        <v>0</v>
      </c>
      <c r="AJ382" s="43" t="str">
        <f ca="1">IF(AND(X382&lt;&gt;"",Y382="",X382&lt;TODAY()),"Overdue",IF(AND(X382&lt;&gt;"",Y382="",X382=TODAY()),"Due today",IF(Y382&lt;&gt;"","Follow-up sent","")))</f>
        <v/>
      </c>
      <c r="AK382" s="50" t="s">
        <v>734</v>
      </c>
      <c r="AL382" s="50" t="s">
        <v>735</v>
      </c>
      <c r="AM382" s="50" t="s">
        <v>736</v>
      </c>
      <c r="AN382" s="50">
        <v>5</v>
      </c>
      <c r="AO382" s="54" t="s">
        <v>1553</v>
      </c>
      <c r="AP382" s="57" t="s">
        <v>127</v>
      </c>
      <c r="AQ382" s="58"/>
      <c r="AR382" s="57"/>
    </row>
    <row r="383" spans="1:44" ht="54" customHeight="1" x14ac:dyDescent="0.25">
      <c r="A383" s="43" t="s">
        <v>1554</v>
      </c>
      <c r="B383" s="43" t="s">
        <v>790</v>
      </c>
      <c r="C383" s="43"/>
      <c r="D383" s="44" t="s">
        <v>1555</v>
      </c>
      <c r="E383" s="43"/>
      <c r="F383" s="43" t="s">
        <v>729</v>
      </c>
      <c r="G383" s="45"/>
      <c r="H383" s="45">
        <v>46161</v>
      </c>
      <c r="I383" s="43" t="s">
        <v>730</v>
      </c>
      <c r="J383" s="43" t="s">
        <v>731</v>
      </c>
      <c r="K383" s="43" t="str">
        <f>IF(LEN(D383)=10,"OK","Check")</f>
        <v>OK</v>
      </c>
      <c r="L383" s="43" t="s">
        <v>732</v>
      </c>
      <c r="M383" s="43" t="str">
        <f>IF(L383="Hold","Hold",IF(IFERROR(E383,0)&gt;=200,"High",IF(IFERROR(E383,0)&gt;=100,"Medium","Normal")))</f>
        <v>Hold</v>
      </c>
      <c r="N383" s="43" t="s">
        <v>90</v>
      </c>
      <c r="O383" s="43" t="s">
        <v>91</v>
      </c>
      <c r="P383" s="43" t="s">
        <v>92</v>
      </c>
      <c r="Q383" s="17" t="s">
        <v>93</v>
      </c>
      <c r="R383" s="45"/>
      <c r="S383" s="43"/>
      <c r="T383" s="43" t="s">
        <v>31</v>
      </c>
      <c r="U383" s="43" t="s">
        <v>94</v>
      </c>
      <c r="V383" s="43" t="s">
        <v>94</v>
      </c>
      <c r="W383" s="43" t="s">
        <v>95</v>
      </c>
      <c r="X383" s="45" t="str">
        <f>IF(AND(R383&lt;&gt;"",OR(U383="No reply",U383="Unknown")),R383+2,"")</f>
        <v/>
      </c>
      <c r="Y383" s="45"/>
      <c r="Z383" s="43" t="s">
        <v>96</v>
      </c>
      <c r="AA383" s="43" t="str">
        <f>IF(L383="Hold","Do not send",IF(T383="Not sent","Send WhatsApp",IF(U383="Demo booked","Prepare demo",IF(W383="Booked","Prepare demo",IF(AND(X383&lt;&gt;"",Y383=""),"Send follow-up","Review")))))</f>
        <v>Do not send</v>
      </c>
      <c r="AB383" s="43"/>
      <c r="AC383" s="43" t="s">
        <v>733</v>
      </c>
      <c r="AD383" s="43">
        <f>IF(AA383="Prepare demo",1,IF(AA383="Send follow-up",2,IF(AA383="Send WhatsApp",3,IF(AA383="Review",4,IF(AA383="Do not send",9,5)))))</f>
        <v>9</v>
      </c>
      <c r="AE383" s="43">
        <f>IF(M383="High",1,IF(M383="Medium",2,IF(M383="Normal",3,IF(M383="Hold",9,4))))</f>
        <v>9</v>
      </c>
      <c r="AF383" s="43">
        <f>IF(T383="Read",1,IF(T383="Delivered",2,IF(T383="Sent",3,IF(T383="Not sent",4,IF(T383="Failed",9,5)))))</f>
        <v>4</v>
      </c>
      <c r="AG383" s="43">
        <f>IF(U383="Demo booked",1,IF(U383="Interested",2,IF(U383="Replied",3,IF(U383="No reply",5,IF(U383="Not interested",8,IF(U383="Bad number",9,6))))))</f>
        <v>6</v>
      </c>
      <c r="AH383" s="46">
        <f>AD383*1000+AN383*100+AE383*10+AG383</f>
        <v>9596</v>
      </c>
      <c r="AI383" s="45">
        <f>MAX(IF(R383="",0,R383),IF(Y383="",0,Y383))</f>
        <v>0</v>
      </c>
      <c r="AJ383" s="43" t="str">
        <f ca="1">IF(AND(X383&lt;&gt;"",Y383="",X383&lt;TODAY()),"Overdue",IF(AND(X383&lt;&gt;"",Y383="",X383=TODAY()),"Due today",IF(Y383&lt;&gt;"","Follow-up sent","")))</f>
        <v/>
      </c>
      <c r="AK383" s="50" t="s">
        <v>734</v>
      </c>
      <c r="AL383" s="50" t="s">
        <v>735</v>
      </c>
      <c r="AM383" s="50" t="s">
        <v>736</v>
      </c>
      <c r="AN383" s="50">
        <v>5</v>
      </c>
      <c r="AO383" s="54" t="s">
        <v>1556</v>
      </c>
      <c r="AP383" s="57" t="s">
        <v>127</v>
      </c>
      <c r="AQ383" s="58"/>
      <c r="AR383" s="57"/>
    </row>
    <row r="384" spans="1:44" ht="54" customHeight="1" x14ac:dyDescent="0.25">
      <c r="A384" s="43" t="s">
        <v>1557</v>
      </c>
      <c r="B384" s="43" t="s">
        <v>790</v>
      </c>
      <c r="C384" s="43"/>
      <c r="D384" s="44" t="s">
        <v>1558</v>
      </c>
      <c r="E384" s="43"/>
      <c r="F384" s="43" t="s">
        <v>729</v>
      </c>
      <c r="G384" s="45"/>
      <c r="H384" s="45">
        <v>46161</v>
      </c>
      <c r="I384" s="43" t="s">
        <v>730</v>
      </c>
      <c r="J384" s="43" t="s">
        <v>731</v>
      </c>
      <c r="K384" s="43" t="str">
        <f>IF(LEN(D384)=10,"OK","Check")</f>
        <v>OK</v>
      </c>
      <c r="L384" s="43" t="s">
        <v>732</v>
      </c>
      <c r="M384" s="43" t="str">
        <f>IF(L384="Hold","Hold",IF(IFERROR(E384,0)&gt;=200,"High",IF(IFERROR(E384,0)&gt;=100,"Medium","Normal")))</f>
        <v>Hold</v>
      </c>
      <c r="N384" s="43" t="s">
        <v>90</v>
      </c>
      <c r="O384" s="43" t="s">
        <v>91</v>
      </c>
      <c r="P384" s="43" t="s">
        <v>92</v>
      </c>
      <c r="Q384" s="17" t="s">
        <v>93</v>
      </c>
      <c r="R384" s="45"/>
      <c r="S384" s="43"/>
      <c r="T384" s="43" t="s">
        <v>31</v>
      </c>
      <c r="U384" s="43" t="s">
        <v>94</v>
      </c>
      <c r="V384" s="43" t="s">
        <v>94</v>
      </c>
      <c r="W384" s="43" t="s">
        <v>95</v>
      </c>
      <c r="X384" s="45" t="str">
        <f>IF(AND(R384&lt;&gt;"",OR(U384="No reply",U384="Unknown")),R384+2,"")</f>
        <v/>
      </c>
      <c r="Y384" s="45"/>
      <c r="Z384" s="43" t="s">
        <v>96</v>
      </c>
      <c r="AA384" s="43" t="str">
        <f>IF(L384="Hold","Do not send",IF(T384="Not sent","Send WhatsApp",IF(U384="Demo booked","Prepare demo",IF(W384="Booked","Prepare demo",IF(AND(X384&lt;&gt;"",Y384=""),"Send follow-up","Review")))))</f>
        <v>Do not send</v>
      </c>
      <c r="AB384" s="43"/>
      <c r="AC384" s="43" t="s">
        <v>733</v>
      </c>
      <c r="AD384" s="43">
        <f>IF(AA384="Prepare demo",1,IF(AA384="Send follow-up",2,IF(AA384="Send WhatsApp",3,IF(AA384="Review",4,IF(AA384="Do not send",9,5)))))</f>
        <v>9</v>
      </c>
      <c r="AE384" s="43">
        <f>IF(M384="High",1,IF(M384="Medium",2,IF(M384="Normal",3,IF(M384="Hold",9,4))))</f>
        <v>9</v>
      </c>
      <c r="AF384" s="43">
        <f>IF(T384="Read",1,IF(T384="Delivered",2,IF(T384="Sent",3,IF(T384="Not sent",4,IF(T384="Failed",9,5)))))</f>
        <v>4</v>
      </c>
      <c r="AG384" s="43">
        <f>IF(U384="Demo booked",1,IF(U384="Interested",2,IF(U384="Replied",3,IF(U384="No reply",5,IF(U384="Not interested",8,IF(U384="Bad number",9,6))))))</f>
        <v>6</v>
      </c>
      <c r="AH384" s="46">
        <f>AD384*1000+AN384*100+AE384*10+AG384</f>
        <v>9596</v>
      </c>
      <c r="AI384" s="45">
        <f>MAX(IF(R384="",0,R384),IF(Y384="",0,Y384))</f>
        <v>0</v>
      </c>
      <c r="AJ384" s="43" t="str">
        <f ca="1">IF(AND(X384&lt;&gt;"",Y384="",X384&lt;TODAY()),"Overdue",IF(AND(X384&lt;&gt;"",Y384="",X384=TODAY()),"Due today",IF(Y384&lt;&gt;"","Follow-up sent","")))</f>
        <v/>
      </c>
      <c r="AK384" s="50" t="s">
        <v>734</v>
      </c>
      <c r="AL384" s="50" t="s">
        <v>735</v>
      </c>
      <c r="AM384" s="50" t="s">
        <v>736</v>
      </c>
      <c r="AN384" s="50">
        <v>5</v>
      </c>
      <c r="AO384" s="54" t="s">
        <v>1559</v>
      </c>
      <c r="AP384" s="57" t="s">
        <v>127</v>
      </c>
      <c r="AQ384" s="58"/>
      <c r="AR384" s="57"/>
    </row>
    <row r="385" spans="1:44" ht="54" customHeight="1" x14ac:dyDescent="0.25">
      <c r="A385" s="43" t="s">
        <v>1560</v>
      </c>
      <c r="B385" s="43" t="s">
        <v>790</v>
      </c>
      <c r="C385" s="43"/>
      <c r="D385" s="44" t="s">
        <v>1561</v>
      </c>
      <c r="E385" s="43"/>
      <c r="F385" s="43" t="s">
        <v>729</v>
      </c>
      <c r="G385" s="45"/>
      <c r="H385" s="45">
        <v>46161</v>
      </c>
      <c r="I385" s="43" t="s">
        <v>730</v>
      </c>
      <c r="J385" s="43" t="s">
        <v>731</v>
      </c>
      <c r="K385" s="43" t="str">
        <f>IF(LEN(D385)=10,"OK","Check")</f>
        <v>OK</v>
      </c>
      <c r="L385" s="43" t="s">
        <v>732</v>
      </c>
      <c r="M385" s="43" t="str">
        <f>IF(L385="Hold","Hold",IF(IFERROR(E385,0)&gt;=200,"High",IF(IFERROR(E385,0)&gt;=100,"Medium","Normal")))</f>
        <v>Hold</v>
      </c>
      <c r="N385" s="43" t="s">
        <v>90</v>
      </c>
      <c r="O385" s="43" t="s">
        <v>91</v>
      </c>
      <c r="P385" s="43" t="s">
        <v>92</v>
      </c>
      <c r="Q385" s="17" t="s">
        <v>93</v>
      </c>
      <c r="R385" s="45"/>
      <c r="S385" s="43"/>
      <c r="T385" s="43" t="s">
        <v>31</v>
      </c>
      <c r="U385" s="43" t="s">
        <v>94</v>
      </c>
      <c r="V385" s="43" t="s">
        <v>94</v>
      </c>
      <c r="W385" s="43" t="s">
        <v>95</v>
      </c>
      <c r="X385" s="45" t="str">
        <f>IF(AND(R385&lt;&gt;"",OR(U385="No reply",U385="Unknown")),R385+2,"")</f>
        <v/>
      </c>
      <c r="Y385" s="45"/>
      <c r="Z385" s="43" t="s">
        <v>96</v>
      </c>
      <c r="AA385" s="43" t="str">
        <f>IF(L385="Hold","Do not send",IF(T385="Not sent","Send WhatsApp",IF(U385="Demo booked","Prepare demo",IF(W385="Booked","Prepare demo",IF(AND(X385&lt;&gt;"",Y385=""),"Send follow-up","Review")))))</f>
        <v>Do not send</v>
      </c>
      <c r="AB385" s="43"/>
      <c r="AC385" s="43" t="s">
        <v>733</v>
      </c>
      <c r="AD385" s="43">
        <f>IF(AA385="Prepare demo",1,IF(AA385="Send follow-up",2,IF(AA385="Send WhatsApp",3,IF(AA385="Review",4,IF(AA385="Do not send",9,5)))))</f>
        <v>9</v>
      </c>
      <c r="AE385" s="43">
        <f>IF(M385="High",1,IF(M385="Medium",2,IF(M385="Normal",3,IF(M385="Hold",9,4))))</f>
        <v>9</v>
      </c>
      <c r="AF385" s="43">
        <f>IF(T385="Read",1,IF(T385="Delivered",2,IF(T385="Sent",3,IF(T385="Not sent",4,IF(T385="Failed",9,5)))))</f>
        <v>4</v>
      </c>
      <c r="AG385" s="43">
        <f>IF(U385="Demo booked",1,IF(U385="Interested",2,IF(U385="Replied",3,IF(U385="No reply",5,IF(U385="Not interested",8,IF(U385="Bad number",9,6))))))</f>
        <v>6</v>
      </c>
      <c r="AH385" s="46">
        <f>AD385*1000+AN385*100+AE385*10+AG385</f>
        <v>9596</v>
      </c>
      <c r="AI385" s="45">
        <f>MAX(IF(R385="",0,R385),IF(Y385="",0,Y385))</f>
        <v>0</v>
      </c>
      <c r="AJ385" s="43" t="str">
        <f ca="1">IF(AND(X385&lt;&gt;"",Y385="",X385&lt;TODAY()),"Overdue",IF(AND(X385&lt;&gt;"",Y385="",X385=TODAY()),"Due today",IF(Y385&lt;&gt;"","Follow-up sent","")))</f>
        <v/>
      </c>
      <c r="AK385" s="50" t="s">
        <v>734</v>
      </c>
      <c r="AL385" s="50" t="s">
        <v>735</v>
      </c>
      <c r="AM385" s="50" t="s">
        <v>736</v>
      </c>
      <c r="AN385" s="50">
        <v>5</v>
      </c>
      <c r="AO385" s="54" t="s">
        <v>1562</v>
      </c>
      <c r="AP385" s="57" t="s">
        <v>127</v>
      </c>
      <c r="AQ385" s="58"/>
      <c r="AR385" s="57"/>
    </row>
    <row r="386" spans="1:44" ht="54" customHeight="1" x14ac:dyDescent="0.25">
      <c r="A386" s="43" t="s">
        <v>1563</v>
      </c>
      <c r="B386" s="43" t="s">
        <v>790</v>
      </c>
      <c r="C386" s="43"/>
      <c r="D386" s="44" t="s">
        <v>1564</v>
      </c>
      <c r="E386" s="43"/>
      <c r="F386" s="43" t="s">
        <v>729</v>
      </c>
      <c r="G386" s="45"/>
      <c r="H386" s="45">
        <v>46161</v>
      </c>
      <c r="I386" s="43" t="s">
        <v>730</v>
      </c>
      <c r="J386" s="43" t="s">
        <v>731</v>
      </c>
      <c r="K386" s="43" t="str">
        <f>IF(LEN(D386)=10,"OK","Check")</f>
        <v>OK</v>
      </c>
      <c r="L386" s="43" t="s">
        <v>732</v>
      </c>
      <c r="M386" s="43" t="str">
        <f>IF(L386="Hold","Hold",IF(IFERROR(E386,0)&gt;=200,"High",IF(IFERROR(E386,0)&gt;=100,"Medium","Normal")))</f>
        <v>Hold</v>
      </c>
      <c r="N386" s="43" t="s">
        <v>90</v>
      </c>
      <c r="O386" s="43" t="s">
        <v>91</v>
      </c>
      <c r="P386" s="43" t="s">
        <v>92</v>
      </c>
      <c r="Q386" s="17" t="s">
        <v>93</v>
      </c>
      <c r="R386" s="45"/>
      <c r="S386" s="43"/>
      <c r="T386" s="43" t="s">
        <v>31</v>
      </c>
      <c r="U386" s="43" t="s">
        <v>94</v>
      </c>
      <c r="V386" s="43" t="s">
        <v>94</v>
      </c>
      <c r="W386" s="43" t="s">
        <v>95</v>
      </c>
      <c r="X386" s="45" t="str">
        <f>IF(AND(R386&lt;&gt;"",OR(U386="No reply",U386="Unknown")),R386+2,"")</f>
        <v/>
      </c>
      <c r="Y386" s="45"/>
      <c r="Z386" s="43" t="s">
        <v>96</v>
      </c>
      <c r="AA386" s="43" t="str">
        <f>IF(L386="Hold","Do not send",IF(T386="Not sent","Send WhatsApp",IF(U386="Demo booked","Prepare demo",IF(W386="Booked","Prepare demo",IF(AND(X386&lt;&gt;"",Y386=""),"Send follow-up","Review")))))</f>
        <v>Do not send</v>
      </c>
      <c r="AB386" s="43"/>
      <c r="AC386" s="43" t="s">
        <v>733</v>
      </c>
      <c r="AD386" s="43">
        <f>IF(AA386="Prepare demo",1,IF(AA386="Send follow-up",2,IF(AA386="Send WhatsApp",3,IF(AA386="Review",4,IF(AA386="Do not send",9,5)))))</f>
        <v>9</v>
      </c>
      <c r="AE386" s="43">
        <f>IF(M386="High",1,IF(M386="Medium",2,IF(M386="Normal",3,IF(M386="Hold",9,4))))</f>
        <v>9</v>
      </c>
      <c r="AF386" s="43">
        <f>IF(T386="Read",1,IF(T386="Delivered",2,IF(T386="Sent",3,IF(T386="Not sent",4,IF(T386="Failed",9,5)))))</f>
        <v>4</v>
      </c>
      <c r="AG386" s="43">
        <f>IF(U386="Demo booked",1,IF(U386="Interested",2,IF(U386="Replied",3,IF(U386="No reply",5,IF(U386="Not interested",8,IF(U386="Bad number",9,6))))))</f>
        <v>6</v>
      </c>
      <c r="AH386" s="46">
        <f>AD386*1000+AN386*100+AE386*10+AG386</f>
        <v>9596</v>
      </c>
      <c r="AI386" s="45">
        <f>MAX(IF(R386="",0,R386),IF(Y386="",0,Y386))</f>
        <v>0</v>
      </c>
      <c r="AJ386" s="43" t="str">
        <f ca="1">IF(AND(X386&lt;&gt;"",Y386="",X386&lt;TODAY()),"Overdue",IF(AND(X386&lt;&gt;"",Y386="",X386=TODAY()),"Due today",IF(Y386&lt;&gt;"","Follow-up sent","")))</f>
        <v/>
      </c>
      <c r="AK386" s="50" t="s">
        <v>734</v>
      </c>
      <c r="AL386" s="50" t="s">
        <v>735</v>
      </c>
      <c r="AM386" s="50" t="s">
        <v>736</v>
      </c>
      <c r="AN386" s="50">
        <v>5</v>
      </c>
      <c r="AO386" s="54" t="s">
        <v>1565</v>
      </c>
      <c r="AP386" s="57" t="s">
        <v>127</v>
      </c>
      <c r="AQ386" s="58"/>
      <c r="AR386" s="57"/>
    </row>
    <row r="387" spans="1:44" ht="54" customHeight="1" x14ac:dyDescent="0.25">
      <c r="A387" s="43" t="s">
        <v>1566</v>
      </c>
      <c r="B387" s="43" t="s">
        <v>790</v>
      </c>
      <c r="C387" s="43"/>
      <c r="D387" s="44" t="s">
        <v>1567</v>
      </c>
      <c r="E387" s="43"/>
      <c r="F387" s="43" t="s">
        <v>729</v>
      </c>
      <c r="G387" s="45"/>
      <c r="H387" s="45">
        <v>46161</v>
      </c>
      <c r="I387" s="43" t="s">
        <v>730</v>
      </c>
      <c r="J387" s="43" t="s">
        <v>731</v>
      </c>
      <c r="K387" s="43" t="str">
        <f>IF(LEN(D387)=10,"OK","Check")</f>
        <v>OK</v>
      </c>
      <c r="L387" s="43" t="s">
        <v>732</v>
      </c>
      <c r="M387" s="43" t="str">
        <f>IF(L387="Hold","Hold",IF(IFERROR(E387,0)&gt;=200,"High",IF(IFERROR(E387,0)&gt;=100,"Medium","Normal")))</f>
        <v>Hold</v>
      </c>
      <c r="N387" s="43" t="s">
        <v>90</v>
      </c>
      <c r="O387" s="43" t="s">
        <v>91</v>
      </c>
      <c r="P387" s="43" t="s">
        <v>92</v>
      </c>
      <c r="Q387" s="17" t="s">
        <v>93</v>
      </c>
      <c r="R387" s="45"/>
      <c r="S387" s="43"/>
      <c r="T387" s="43" t="s">
        <v>31</v>
      </c>
      <c r="U387" s="43" t="s">
        <v>94</v>
      </c>
      <c r="V387" s="43" t="s">
        <v>94</v>
      </c>
      <c r="W387" s="43" t="s">
        <v>95</v>
      </c>
      <c r="X387" s="45" t="str">
        <f>IF(AND(R387&lt;&gt;"",OR(U387="No reply",U387="Unknown")),R387+2,"")</f>
        <v/>
      </c>
      <c r="Y387" s="45"/>
      <c r="Z387" s="43" t="s">
        <v>96</v>
      </c>
      <c r="AA387" s="43" t="str">
        <f>IF(L387="Hold","Do not send",IF(T387="Not sent","Send WhatsApp",IF(U387="Demo booked","Prepare demo",IF(W387="Booked","Prepare demo",IF(AND(X387&lt;&gt;"",Y387=""),"Send follow-up","Review")))))</f>
        <v>Do not send</v>
      </c>
      <c r="AB387" s="43"/>
      <c r="AC387" s="43" t="s">
        <v>733</v>
      </c>
      <c r="AD387" s="43">
        <f>IF(AA387="Prepare demo",1,IF(AA387="Send follow-up",2,IF(AA387="Send WhatsApp",3,IF(AA387="Review",4,IF(AA387="Do not send",9,5)))))</f>
        <v>9</v>
      </c>
      <c r="AE387" s="43">
        <f>IF(M387="High",1,IF(M387="Medium",2,IF(M387="Normal",3,IF(M387="Hold",9,4))))</f>
        <v>9</v>
      </c>
      <c r="AF387" s="43">
        <f>IF(T387="Read",1,IF(T387="Delivered",2,IF(T387="Sent",3,IF(T387="Not sent",4,IF(T387="Failed",9,5)))))</f>
        <v>4</v>
      </c>
      <c r="AG387" s="43">
        <f>IF(U387="Demo booked",1,IF(U387="Interested",2,IF(U387="Replied",3,IF(U387="No reply",5,IF(U387="Not interested",8,IF(U387="Bad number",9,6))))))</f>
        <v>6</v>
      </c>
      <c r="AH387" s="46">
        <f>AD387*1000+AN387*100+AE387*10+AG387</f>
        <v>9596</v>
      </c>
      <c r="AI387" s="45">
        <f>MAX(IF(R387="",0,R387),IF(Y387="",0,Y387))</f>
        <v>0</v>
      </c>
      <c r="AJ387" s="43" t="str">
        <f ca="1">IF(AND(X387&lt;&gt;"",Y387="",X387&lt;TODAY()),"Overdue",IF(AND(X387&lt;&gt;"",Y387="",X387=TODAY()),"Due today",IF(Y387&lt;&gt;"","Follow-up sent","")))</f>
        <v/>
      </c>
      <c r="AK387" s="50" t="s">
        <v>734</v>
      </c>
      <c r="AL387" s="50" t="s">
        <v>735</v>
      </c>
      <c r="AM387" s="50" t="s">
        <v>736</v>
      </c>
      <c r="AN387" s="50">
        <v>5</v>
      </c>
      <c r="AO387" s="54" t="s">
        <v>1568</v>
      </c>
      <c r="AP387" s="57" t="s">
        <v>127</v>
      </c>
      <c r="AQ387" s="58"/>
      <c r="AR387" s="57"/>
    </row>
    <row r="388" spans="1:44" ht="54" customHeight="1" x14ac:dyDescent="0.25">
      <c r="A388" s="43" t="s">
        <v>1569</v>
      </c>
      <c r="B388" s="43" t="s">
        <v>790</v>
      </c>
      <c r="C388" s="43"/>
      <c r="D388" s="44" t="s">
        <v>1570</v>
      </c>
      <c r="E388" s="43"/>
      <c r="F388" s="43" t="s">
        <v>729</v>
      </c>
      <c r="G388" s="45"/>
      <c r="H388" s="45">
        <v>46161</v>
      </c>
      <c r="I388" s="43" t="s">
        <v>730</v>
      </c>
      <c r="J388" s="43" t="s">
        <v>731</v>
      </c>
      <c r="K388" s="43" t="str">
        <f>IF(LEN(D388)=10,"OK","Check")</f>
        <v>OK</v>
      </c>
      <c r="L388" s="43" t="s">
        <v>732</v>
      </c>
      <c r="M388" s="43" t="str">
        <f>IF(L388="Hold","Hold",IF(IFERROR(E388,0)&gt;=200,"High",IF(IFERROR(E388,0)&gt;=100,"Medium","Normal")))</f>
        <v>Hold</v>
      </c>
      <c r="N388" s="43" t="s">
        <v>90</v>
      </c>
      <c r="O388" s="43" t="s">
        <v>91</v>
      </c>
      <c r="P388" s="43" t="s">
        <v>92</v>
      </c>
      <c r="Q388" s="17" t="s">
        <v>93</v>
      </c>
      <c r="R388" s="45"/>
      <c r="S388" s="43"/>
      <c r="T388" s="43" t="s">
        <v>31</v>
      </c>
      <c r="U388" s="43" t="s">
        <v>94</v>
      </c>
      <c r="V388" s="43" t="s">
        <v>94</v>
      </c>
      <c r="W388" s="43" t="s">
        <v>95</v>
      </c>
      <c r="X388" s="45" t="str">
        <f>IF(AND(R388&lt;&gt;"",OR(U388="No reply",U388="Unknown")),R388+2,"")</f>
        <v/>
      </c>
      <c r="Y388" s="45"/>
      <c r="Z388" s="43" t="s">
        <v>96</v>
      </c>
      <c r="AA388" s="43" t="str">
        <f>IF(L388="Hold","Do not send",IF(T388="Not sent","Send WhatsApp",IF(U388="Demo booked","Prepare demo",IF(W388="Booked","Prepare demo",IF(AND(X388&lt;&gt;"",Y388=""),"Send follow-up","Review")))))</f>
        <v>Do not send</v>
      </c>
      <c r="AB388" s="43"/>
      <c r="AC388" s="43" t="s">
        <v>733</v>
      </c>
      <c r="AD388" s="43">
        <f>IF(AA388="Prepare demo",1,IF(AA388="Send follow-up",2,IF(AA388="Send WhatsApp",3,IF(AA388="Review",4,IF(AA388="Do not send",9,5)))))</f>
        <v>9</v>
      </c>
      <c r="AE388" s="43">
        <f>IF(M388="High",1,IF(M388="Medium",2,IF(M388="Normal",3,IF(M388="Hold",9,4))))</f>
        <v>9</v>
      </c>
      <c r="AF388" s="43">
        <f>IF(T388="Read",1,IF(T388="Delivered",2,IF(T388="Sent",3,IF(T388="Not sent",4,IF(T388="Failed",9,5)))))</f>
        <v>4</v>
      </c>
      <c r="AG388" s="43">
        <f>IF(U388="Demo booked",1,IF(U388="Interested",2,IF(U388="Replied",3,IF(U388="No reply",5,IF(U388="Not interested",8,IF(U388="Bad number",9,6))))))</f>
        <v>6</v>
      </c>
      <c r="AH388" s="46">
        <f>AD388*1000+AN388*100+AE388*10+AG388</f>
        <v>9596</v>
      </c>
      <c r="AI388" s="45">
        <f>MAX(IF(R388="",0,R388),IF(Y388="",0,Y388))</f>
        <v>0</v>
      </c>
      <c r="AJ388" s="43" t="str">
        <f ca="1">IF(AND(X388&lt;&gt;"",Y388="",X388&lt;TODAY()),"Overdue",IF(AND(X388&lt;&gt;"",Y388="",X388=TODAY()),"Due today",IF(Y388&lt;&gt;"","Follow-up sent","")))</f>
        <v/>
      </c>
      <c r="AK388" s="50" t="s">
        <v>734</v>
      </c>
      <c r="AL388" s="50" t="s">
        <v>735</v>
      </c>
      <c r="AM388" s="50" t="s">
        <v>736</v>
      </c>
      <c r="AN388" s="50">
        <v>5</v>
      </c>
      <c r="AO388" s="54" t="s">
        <v>1571</v>
      </c>
      <c r="AP388" s="57" t="s">
        <v>127</v>
      </c>
      <c r="AQ388" s="58"/>
      <c r="AR388" s="57"/>
    </row>
    <row r="389" spans="1:44" ht="54" customHeight="1" x14ac:dyDescent="0.25">
      <c r="A389" s="43" t="s">
        <v>1572</v>
      </c>
      <c r="B389" s="43" t="s">
        <v>790</v>
      </c>
      <c r="C389" s="43"/>
      <c r="D389" s="44" t="s">
        <v>1573</v>
      </c>
      <c r="E389" s="43"/>
      <c r="F389" s="43" t="s">
        <v>729</v>
      </c>
      <c r="G389" s="45"/>
      <c r="H389" s="45">
        <v>46161</v>
      </c>
      <c r="I389" s="43" t="s">
        <v>730</v>
      </c>
      <c r="J389" s="43" t="s">
        <v>731</v>
      </c>
      <c r="K389" s="43" t="str">
        <f>IF(LEN(D389)=10,"OK","Check")</f>
        <v>OK</v>
      </c>
      <c r="L389" s="43" t="s">
        <v>732</v>
      </c>
      <c r="M389" s="43" t="str">
        <f>IF(L389="Hold","Hold",IF(IFERROR(E389,0)&gt;=200,"High",IF(IFERROR(E389,0)&gt;=100,"Medium","Normal")))</f>
        <v>Hold</v>
      </c>
      <c r="N389" s="43" t="s">
        <v>90</v>
      </c>
      <c r="O389" s="43" t="s">
        <v>91</v>
      </c>
      <c r="P389" s="43" t="s">
        <v>92</v>
      </c>
      <c r="Q389" s="17" t="s">
        <v>93</v>
      </c>
      <c r="R389" s="45"/>
      <c r="S389" s="43"/>
      <c r="T389" s="43" t="s">
        <v>31</v>
      </c>
      <c r="U389" s="43" t="s">
        <v>94</v>
      </c>
      <c r="V389" s="43" t="s">
        <v>94</v>
      </c>
      <c r="W389" s="43" t="s">
        <v>95</v>
      </c>
      <c r="X389" s="45" t="str">
        <f>IF(AND(R389&lt;&gt;"",OR(U389="No reply",U389="Unknown")),R389+2,"")</f>
        <v/>
      </c>
      <c r="Y389" s="45"/>
      <c r="Z389" s="43" t="s">
        <v>96</v>
      </c>
      <c r="AA389" s="43" t="str">
        <f>IF(L389="Hold","Do not send",IF(T389="Not sent","Send WhatsApp",IF(U389="Demo booked","Prepare demo",IF(W389="Booked","Prepare demo",IF(AND(X389&lt;&gt;"",Y389=""),"Send follow-up","Review")))))</f>
        <v>Do not send</v>
      </c>
      <c r="AB389" s="43"/>
      <c r="AC389" s="43" t="s">
        <v>733</v>
      </c>
      <c r="AD389" s="43">
        <f>IF(AA389="Prepare demo",1,IF(AA389="Send follow-up",2,IF(AA389="Send WhatsApp",3,IF(AA389="Review",4,IF(AA389="Do not send",9,5)))))</f>
        <v>9</v>
      </c>
      <c r="AE389" s="43">
        <f>IF(M389="High",1,IF(M389="Medium",2,IF(M389="Normal",3,IF(M389="Hold",9,4))))</f>
        <v>9</v>
      </c>
      <c r="AF389" s="43">
        <f>IF(T389="Read",1,IF(T389="Delivered",2,IF(T389="Sent",3,IF(T389="Not sent",4,IF(T389="Failed",9,5)))))</f>
        <v>4</v>
      </c>
      <c r="AG389" s="43">
        <f>IF(U389="Demo booked",1,IF(U389="Interested",2,IF(U389="Replied",3,IF(U389="No reply",5,IF(U389="Not interested",8,IF(U389="Bad number",9,6))))))</f>
        <v>6</v>
      </c>
      <c r="AH389" s="46">
        <f>AD389*1000+AN389*100+AE389*10+AG389</f>
        <v>9596</v>
      </c>
      <c r="AI389" s="45">
        <f>MAX(IF(R389="",0,R389),IF(Y389="",0,Y389))</f>
        <v>0</v>
      </c>
      <c r="AJ389" s="43" t="str">
        <f ca="1">IF(AND(X389&lt;&gt;"",Y389="",X389&lt;TODAY()),"Overdue",IF(AND(X389&lt;&gt;"",Y389="",X389=TODAY()),"Due today",IF(Y389&lt;&gt;"","Follow-up sent","")))</f>
        <v/>
      </c>
      <c r="AK389" s="50" t="s">
        <v>734</v>
      </c>
      <c r="AL389" s="50" t="s">
        <v>735</v>
      </c>
      <c r="AM389" s="50" t="s">
        <v>736</v>
      </c>
      <c r="AN389" s="50">
        <v>5</v>
      </c>
      <c r="AO389" s="54" t="s">
        <v>1574</v>
      </c>
      <c r="AP389" s="57" t="s">
        <v>127</v>
      </c>
      <c r="AQ389" s="58"/>
      <c r="AR389" s="57"/>
    </row>
    <row r="390" spans="1:44" ht="54" customHeight="1" x14ac:dyDescent="0.25">
      <c r="A390" s="43" t="s">
        <v>1575</v>
      </c>
      <c r="B390" s="43" t="s">
        <v>790</v>
      </c>
      <c r="C390" s="43"/>
      <c r="D390" s="44" t="s">
        <v>1576</v>
      </c>
      <c r="E390" s="43"/>
      <c r="F390" s="43" t="s">
        <v>729</v>
      </c>
      <c r="G390" s="45"/>
      <c r="H390" s="45">
        <v>46161</v>
      </c>
      <c r="I390" s="43" t="s">
        <v>730</v>
      </c>
      <c r="J390" s="43" t="s">
        <v>731</v>
      </c>
      <c r="K390" s="43" t="str">
        <f>IF(LEN(D390)=10,"OK","Check")</f>
        <v>OK</v>
      </c>
      <c r="L390" s="43" t="s">
        <v>732</v>
      </c>
      <c r="M390" s="43" t="str">
        <f>IF(L390="Hold","Hold",IF(IFERROR(E390,0)&gt;=200,"High",IF(IFERROR(E390,0)&gt;=100,"Medium","Normal")))</f>
        <v>Hold</v>
      </c>
      <c r="N390" s="43" t="s">
        <v>90</v>
      </c>
      <c r="O390" s="43" t="s">
        <v>91</v>
      </c>
      <c r="P390" s="43" t="s">
        <v>92</v>
      </c>
      <c r="Q390" s="17" t="s">
        <v>93</v>
      </c>
      <c r="R390" s="45"/>
      <c r="S390" s="43"/>
      <c r="T390" s="43" t="s">
        <v>31</v>
      </c>
      <c r="U390" s="43" t="s">
        <v>94</v>
      </c>
      <c r="V390" s="43" t="s">
        <v>94</v>
      </c>
      <c r="W390" s="43" t="s">
        <v>95</v>
      </c>
      <c r="X390" s="45" t="str">
        <f>IF(AND(R390&lt;&gt;"",OR(U390="No reply",U390="Unknown")),R390+2,"")</f>
        <v/>
      </c>
      <c r="Y390" s="45"/>
      <c r="Z390" s="43" t="s">
        <v>96</v>
      </c>
      <c r="AA390" s="43" t="str">
        <f>IF(L390="Hold","Do not send",IF(T390="Not sent","Send WhatsApp",IF(U390="Demo booked","Prepare demo",IF(W390="Booked","Prepare demo",IF(AND(X390&lt;&gt;"",Y390=""),"Send follow-up","Review")))))</f>
        <v>Do not send</v>
      </c>
      <c r="AB390" s="43"/>
      <c r="AC390" s="43" t="s">
        <v>733</v>
      </c>
      <c r="AD390" s="43">
        <f>IF(AA390="Prepare demo",1,IF(AA390="Send follow-up",2,IF(AA390="Send WhatsApp",3,IF(AA390="Review",4,IF(AA390="Do not send",9,5)))))</f>
        <v>9</v>
      </c>
      <c r="AE390" s="43">
        <f>IF(M390="High",1,IF(M390="Medium",2,IF(M390="Normal",3,IF(M390="Hold",9,4))))</f>
        <v>9</v>
      </c>
      <c r="AF390" s="43">
        <f>IF(T390="Read",1,IF(T390="Delivered",2,IF(T390="Sent",3,IF(T390="Not sent",4,IF(T390="Failed",9,5)))))</f>
        <v>4</v>
      </c>
      <c r="AG390" s="43">
        <f>IF(U390="Demo booked",1,IF(U390="Interested",2,IF(U390="Replied",3,IF(U390="No reply",5,IF(U390="Not interested",8,IF(U390="Bad number",9,6))))))</f>
        <v>6</v>
      </c>
      <c r="AH390" s="46">
        <f>AD390*1000+AN390*100+AE390*10+AG390</f>
        <v>9596</v>
      </c>
      <c r="AI390" s="45">
        <f>MAX(IF(R390="",0,R390),IF(Y390="",0,Y390))</f>
        <v>0</v>
      </c>
      <c r="AJ390" s="43" t="str">
        <f ca="1">IF(AND(X390&lt;&gt;"",Y390="",X390&lt;TODAY()),"Overdue",IF(AND(X390&lt;&gt;"",Y390="",X390=TODAY()),"Due today",IF(Y390&lt;&gt;"","Follow-up sent","")))</f>
        <v/>
      </c>
      <c r="AK390" s="50" t="s">
        <v>734</v>
      </c>
      <c r="AL390" s="50" t="s">
        <v>735</v>
      </c>
      <c r="AM390" s="50" t="s">
        <v>736</v>
      </c>
      <c r="AN390" s="50">
        <v>5</v>
      </c>
      <c r="AO390" s="54" t="s">
        <v>1577</v>
      </c>
      <c r="AP390" s="57" t="s">
        <v>127</v>
      </c>
      <c r="AQ390" s="58"/>
      <c r="AR390" s="57"/>
    </row>
    <row r="391" spans="1:44" ht="54" customHeight="1" x14ac:dyDescent="0.25">
      <c r="A391" s="43" t="s">
        <v>1578</v>
      </c>
      <c r="B391" s="43" t="s">
        <v>824</v>
      </c>
      <c r="C391" s="43" t="s">
        <v>824</v>
      </c>
      <c r="D391" s="44" t="s">
        <v>1579</v>
      </c>
      <c r="E391" s="43"/>
      <c r="F391" s="43" t="s">
        <v>729</v>
      </c>
      <c r="G391" s="45"/>
      <c r="H391" s="45">
        <v>46161</v>
      </c>
      <c r="I391" s="43" t="s">
        <v>730</v>
      </c>
      <c r="J391" s="43" t="s">
        <v>731</v>
      </c>
      <c r="K391" s="43" t="str">
        <f>IF(LEN(D391)=10,"OK","Check")</f>
        <v>OK</v>
      </c>
      <c r="L391" s="43" t="s">
        <v>732</v>
      </c>
      <c r="M391" s="43" t="str">
        <f>IF(L391="Hold","Hold",IF(IFERROR(E391,0)&gt;=200,"High",IF(IFERROR(E391,0)&gt;=100,"Medium","Normal")))</f>
        <v>Hold</v>
      </c>
      <c r="N391" s="43" t="s">
        <v>90</v>
      </c>
      <c r="O391" s="43" t="s">
        <v>91</v>
      </c>
      <c r="P391" s="43" t="s">
        <v>92</v>
      </c>
      <c r="Q391" s="17" t="s">
        <v>93</v>
      </c>
      <c r="R391" s="45"/>
      <c r="S391" s="43"/>
      <c r="T391" s="43" t="s">
        <v>31</v>
      </c>
      <c r="U391" s="43" t="s">
        <v>94</v>
      </c>
      <c r="V391" s="43" t="s">
        <v>94</v>
      </c>
      <c r="W391" s="43" t="s">
        <v>95</v>
      </c>
      <c r="X391" s="45" t="str">
        <f>IF(AND(R391&lt;&gt;"",OR(U391="No reply",U391="Unknown")),R391+2,"")</f>
        <v/>
      </c>
      <c r="Y391" s="45"/>
      <c r="Z391" s="43" t="s">
        <v>96</v>
      </c>
      <c r="AA391" s="43" t="str">
        <f>IF(L391="Hold","Do not send",IF(T391="Not sent","Send WhatsApp",IF(U391="Demo booked","Prepare demo",IF(W391="Booked","Prepare demo",IF(AND(X391&lt;&gt;"",Y391=""),"Send follow-up","Review")))))</f>
        <v>Do not send</v>
      </c>
      <c r="AB391" s="43"/>
      <c r="AC391" s="43" t="s">
        <v>733</v>
      </c>
      <c r="AD391" s="43">
        <f>IF(AA391="Prepare demo",1,IF(AA391="Send follow-up",2,IF(AA391="Send WhatsApp",3,IF(AA391="Review",4,IF(AA391="Do not send",9,5)))))</f>
        <v>9</v>
      </c>
      <c r="AE391" s="43">
        <f>IF(M391="High",1,IF(M391="Medium",2,IF(M391="Normal",3,IF(M391="Hold",9,4))))</f>
        <v>9</v>
      </c>
      <c r="AF391" s="43">
        <f>IF(T391="Read",1,IF(T391="Delivered",2,IF(T391="Sent",3,IF(T391="Not sent",4,IF(T391="Failed",9,5)))))</f>
        <v>4</v>
      </c>
      <c r="AG391" s="43">
        <f>IF(U391="Demo booked",1,IF(U391="Interested",2,IF(U391="Replied",3,IF(U391="No reply",5,IF(U391="Not interested",8,IF(U391="Bad number",9,6))))))</f>
        <v>6</v>
      </c>
      <c r="AH391" s="46">
        <f>AD391*1000+AN391*100+AE391*10+AG391</f>
        <v>9596</v>
      </c>
      <c r="AI391" s="45">
        <f>MAX(IF(R391="",0,R391),IF(Y391="",0,Y391))</f>
        <v>0</v>
      </c>
      <c r="AJ391" s="43" t="str">
        <f ca="1">IF(AND(X391&lt;&gt;"",Y391="",X391&lt;TODAY()),"Overdue",IF(AND(X391&lt;&gt;"",Y391="",X391=TODAY()),"Due today",IF(Y391&lt;&gt;"","Follow-up sent","")))</f>
        <v/>
      </c>
      <c r="AK391" s="50" t="s">
        <v>734</v>
      </c>
      <c r="AL391" s="50" t="s">
        <v>735</v>
      </c>
      <c r="AM391" s="50" t="s">
        <v>736</v>
      </c>
      <c r="AN391" s="50">
        <v>5</v>
      </c>
      <c r="AO391" s="54" t="s">
        <v>1580</v>
      </c>
      <c r="AP391" s="57" t="s">
        <v>127</v>
      </c>
      <c r="AQ391" s="58"/>
      <c r="AR391" s="57"/>
    </row>
    <row r="392" spans="1:44" ht="54" customHeight="1" x14ac:dyDescent="0.25">
      <c r="A392" s="43" t="s">
        <v>1581</v>
      </c>
      <c r="B392" s="43" t="s">
        <v>790</v>
      </c>
      <c r="C392" s="43"/>
      <c r="D392" s="44" t="s">
        <v>1582</v>
      </c>
      <c r="E392" s="43"/>
      <c r="F392" s="43" t="s">
        <v>729</v>
      </c>
      <c r="G392" s="45"/>
      <c r="H392" s="45">
        <v>46161</v>
      </c>
      <c r="I392" s="43" t="s">
        <v>730</v>
      </c>
      <c r="J392" s="43" t="s">
        <v>731</v>
      </c>
      <c r="K392" s="43" t="str">
        <f>IF(LEN(D392)=10,"OK","Check")</f>
        <v>OK</v>
      </c>
      <c r="L392" s="43" t="s">
        <v>732</v>
      </c>
      <c r="M392" s="43" t="str">
        <f>IF(L392="Hold","Hold",IF(IFERROR(E392,0)&gt;=200,"High",IF(IFERROR(E392,0)&gt;=100,"Medium","Normal")))</f>
        <v>Hold</v>
      </c>
      <c r="N392" s="43" t="s">
        <v>90</v>
      </c>
      <c r="O392" s="43" t="s">
        <v>91</v>
      </c>
      <c r="P392" s="43" t="s">
        <v>92</v>
      </c>
      <c r="Q392" s="17" t="s">
        <v>93</v>
      </c>
      <c r="R392" s="45"/>
      <c r="S392" s="43"/>
      <c r="T392" s="43" t="s">
        <v>31</v>
      </c>
      <c r="U392" s="43" t="s">
        <v>94</v>
      </c>
      <c r="V392" s="43" t="s">
        <v>94</v>
      </c>
      <c r="W392" s="43" t="s">
        <v>95</v>
      </c>
      <c r="X392" s="45" t="str">
        <f>IF(AND(R392&lt;&gt;"",OR(U392="No reply",U392="Unknown")),R392+2,"")</f>
        <v/>
      </c>
      <c r="Y392" s="45"/>
      <c r="Z392" s="43" t="s">
        <v>96</v>
      </c>
      <c r="AA392" s="43" t="str">
        <f>IF(L392="Hold","Do not send",IF(T392="Not sent","Send WhatsApp",IF(U392="Demo booked","Prepare demo",IF(W392="Booked","Prepare demo",IF(AND(X392&lt;&gt;"",Y392=""),"Send follow-up","Review")))))</f>
        <v>Do not send</v>
      </c>
      <c r="AB392" s="43"/>
      <c r="AC392" s="43" t="s">
        <v>733</v>
      </c>
      <c r="AD392" s="43">
        <f>IF(AA392="Prepare demo",1,IF(AA392="Send follow-up",2,IF(AA392="Send WhatsApp",3,IF(AA392="Review",4,IF(AA392="Do not send",9,5)))))</f>
        <v>9</v>
      </c>
      <c r="AE392" s="43">
        <f>IF(M392="High",1,IF(M392="Medium",2,IF(M392="Normal",3,IF(M392="Hold",9,4))))</f>
        <v>9</v>
      </c>
      <c r="AF392" s="43">
        <f>IF(T392="Read",1,IF(T392="Delivered",2,IF(T392="Sent",3,IF(T392="Not sent",4,IF(T392="Failed",9,5)))))</f>
        <v>4</v>
      </c>
      <c r="AG392" s="43">
        <f>IF(U392="Demo booked",1,IF(U392="Interested",2,IF(U392="Replied",3,IF(U392="No reply",5,IF(U392="Not interested",8,IF(U392="Bad number",9,6))))))</f>
        <v>6</v>
      </c>
      <c r="AH392" s="46">
        <f>AD392*1000+AN392*100+AE392*10+AG392</f>
        <v>9596</v>
      </c>
      <c r="AI392" s="45">
        <f>MAX(IF(R392="",0,R392),IF(Y392="",0,Y392))</f>
        <v>0</v>
      </c>
      <c r="AJ392" s="43" t="str">
        <f ca="1">IF(AND(X392&lt;&gt;"",Y392="",X392&lt;TODAY()),"Overdue",IF(AND(X392&lt;&gt;"",Y392="",X392=TODAY()),"Due today",IF(Y392&lt;&gt;"","Follow-up sent","")))</f>
        <v/>
      </c>
      <c r="AK392" s="50" t="s">
        <v>734</v>
      </c>
      <c r="AL392" s="50" t="s">
        <v>735</v>
      </c>
      <c r="AM392" s="50" t="s">
        <v>736</v>
      </c>
      <c r="AN392" s="50">
        <v>5</v>
      </c>
      <c r="AO392" s="54" t="s">
        <v>1583</v>
      </c>
      <c r="AP392" s="57" t="s">
        <v>127</v>
      </c>
      <c r="AQ392" s="58"/>
      <c r="AR392" s="57"/>
    </row>
    <row r="393" spans="1:44" ht="54" customHeight="1" x14ac:dyDescent="0.25">
      <c r="A393" s="43" t="s">
        <v>1584</v>
      </c>
      <c r="B393" s="43" t="s">
        <v>790</v>
      </c>
      <c r="C393" s="43"/>
      <c r="D393" s="44" t="s">
        <v>1585</v>
      </c>
      <c r="E393" s="43"/>
      <c r="F393" s="43" t="s">
        <v>729</v>
      </c>
      <c r="G393" s="45"/>
      <c r="H393" s="45">
        <v>46161</v>
      </c>
      <c r="I393" s="43" t="s">
        <v>730</v>
      </c>
      <c r="J393" s="43" t="s">
        <v>731</v>
      </c>
      <c r="K393" s="43" t="str">
        <f>IF(LEN(D393)=10,"OK","Check")</f>
        <v>OK</v>
      </c>
      <c r="L393" s="43" t="s">
        <v>732</v>
      </c>
      <c r="M393" s="43" t="str">
        <f>IF(L393="Hold","Hold",IF(IFERROR(E393,0)&gt;=200,"High",IF(IFERROR(E393,0)&gt;=100,"Medium","Normal")))</f>
        <v>Hold</v>
      </c>
      <c r="N393" s="43" t="s">
        <v>90</v>
      </c>
      <c r="O393" s="43" t="s">
        <v>91</v>
      </c>
      <c r="P393" s="43" t="s">
        <v>92</v>
      </c>
      <c r="Q393" s="17" t="s">
        <v>93</v>
      </c>
      <c r="R393" s="45"/>
      <c r="S393" s="43"/>
      <c r="T393" s="43" t="s">
        <v>31</v>
      </c>
      <c r="U393" s="43" t="s">
        <v>94</v>
      </c>
      <c r="V393" s="43" t="s">
        <v>94</v>
      </c>
      <c r="W393" s="43" t="s">
        <v>95</v>
      </c>
      <c r="X393" s="45" t="str">
        <f>IF(AND(R393&lt;&gt;"",OR(U393="No reply",U393="Unknown")),R393+2,"")</f>
        <v/>
      </c>
      <c r="Y393" s="45"/>
      <c r="Z393" s="43" t="s">
        <v>96</v>
      </c>
      <c r="AA393" s="43" t="str">
        <f>IF(L393="Hold","Do not send",IF(T393="Not sent","Send WhatsApp",IF(U393="Demo booked","Prepare demo",IF(W393="Booked","Prepare demo",IF(AND(X393&lt;&gt;"",Y393=""),"Send follow-up","Review")))))</f>
        <v>Do not send</v>
      </c>
      <c r="AB393" s="43"/>
      <c r="AC393" s="43" t="s">
        <v>733</v>
      </c>
      <c r="AD393" s="43">
        <f>IF(AA393="Prepare demo",1,IF(AA393="Send follow-up",2,IF(AA393="Send WhatsApp",3,IF(AA393="Review",4,IF(AA393="Do not send",9,5)))))</f>
        <v>9</v>
      </c>
      <c r="AE393" s="43">
        <f>IF(M393="High",1,IF(M393="Medium",2,IF(M393="Normal",3,IF(M393="Hold",9,4))))</f>
        <v>9</v>
      </c>
      <c r="AF393" s="43">
        <f>IF(T393="Read",1,IF(T393="Delivered",2,IF(T393="Sent",3,IF(T393="Not sent",4,IF(T393="Failed",9,5)))))</f>
        <v>4</v>
      </c>
      <c r="AG393" s="43">
        <f>IF(U393="Demo booked",1,IF(U393="Interested",2,IF(U393="Replied",3,IF(U393="No reply",5,IF(U393="Not interested",8,IF(U393="Bad number",9,6))))))</f>
        <v>6</v>
      </c>
      <c r="AH393" s="46">
        <f>AD393*1000+AN393*100+AE393*10+AG393</f>
        <v>9596</v>
      </c>
      <c r="AI393" s="45">
        <f>MAX(IF(R393="",0,R393),IF(Y393="",0,Y393))</f>
        <v>0</v>
      </c>
      <c r="AJ393" s="43" t="str">
        <f ca="1">IF(AND(X393&lt;&gt;"",Y393="",X393&lt;TODAY()),"Overdue",IF(AND(X393&lt;&gt;"",Y393="",X393=TODAY()),"Due today",IF(Y393&lt;&gt;"","Follow-up sent","")))</f>
        <v/>
      </c>
      <c r="AK393" s="50" t="s">
        <v>734</v>
      </c>
      <c r="AL393" s="50" t="s">
        <v>735</v>
      </c>
      <c r="AM393" s="50" t="s">
        <v>736</v>
      </c>
      <c r="AN393" s="50">
        <v>5</v>
      </c>
      <c r="AO393" s="54" t="s">
        <v>1586</v>
      </c>
      <c r="AP393" s="57" t="s">
        <v>127</v>
      </c>
      <c r="AQ393" s="58"/>
      <c r="AR393" s="57"/>
    </row>
    <row r="394" spans="1:44" ht="54" customHeight="1" x14ac:dyDescent="0.25">
      <c r="A394" s="43" t="s">
        <v>1587</v>
      </c>
      <c r="B394" s="43" t="s">
        <v>790</v>
      </c>
      <c r="C394" s="43"/>
      <c r="D394" s="44" t="s">
        <v>1588</v>
      </c>
      <c r="E394" s="43"/>
      <c r="F394" s="43" t="s">
        <v>729</v>
      </c>
      <c r="G394" s="45"/>
      <c r="H394" s="45">
        <v>46161</v>
      </c>
      <c r="I394" s="43" t="s">
        <v>730</v>
      </c>
      <c r="J394" s="43" t="s">
        <v>731</v>
      </c>
      <c r="K394" s="43" t="str">
        <f>IF(LEN(D394)=10,"OK","Check")</f>
        <v>OK</v>
      </c>
      <c r="L394" s="43" t="s">
        <v>732</v>
      </c>
      <c r="M394" s="43" t="str">
        <f>IF(L394="Hold","Hold",IF(IFERROR(E394,0)&gt;=200,"High",IF(IFERROR(E394,0)&gt;=100,"Medium","Normal")))</f>
        <v>Hold</v>
      </c>
      <c r="N394" s="43" t="s">
        <v>90</v>
      </c>
      <c r="O394" s="43" t="s">
        <v>91</v>
      </c>
      <c r="P394" s="43" t="s">
        <v>92</v>
      </c>
      <c r="Q394" s="17" t="s">
        <v>93</v>
      </c>
      <c r="R394" s="45"/>
      <c r="S394" s="43"/>
      <c r="T394" s="43" t="s">
        <v>31</v>
      </c>
      <c r="U394" s="43" t="s">
        <v>94</v>
      </c>
      <c r="V394" s="43" t="s">
        <v>94</v>
      </c>
      <c r="W394" s="43" t="s">
        <v>95</v>
      </c>
      <c r="X394" s="45" t="str">
        <f>IF(AND(R394&lt;&gt;"",OR(U394="No reply",U394="Unknown")),R394+2,"")</f>
        <v/>
      </c>
      <c r="Y394" s="45"/>
      <c r="Z394" s="43" t="s">
        <v>96</v>
      </c>
      <c r="AA394" s="43" t="str">
        <f>IF(L394="Hold","Do not send",IF(T394="Not sent","Send WhatsApp",IF(U394="Demo booked","Prepare demo",IF(W394="Booked","Prepare demo",IF(AND(X394&lt;&gt;"",Y394=""),"Send follow-up","Review")))))</f>
        <v>Do not send</v>
      </c>
      <c r="AB394" s="43"/>
      <c r="AC394" s="43" t="s">
        <v>733</v>
      </c>
      <c r="AD394" s="43">
        <f>IF(AA394="Prepare demo",1,IF(AA394="Send follow-up",2,IF(AA394="Send WhatsApp",3,IF(AA394="Review",4,IF(AA394="Do not send",9,5)))))</f>
        <v>9</v>
      </c>
      <c r="AE394" s="43">
        <f>IF(M394="High",1,IF(M394="Medium",2,IF(M394="Normal",3,IF(M394="Hold",9,4))))</f>
        <v>9</v>
      </c>
      <c r="AF394" s="43">
        <f>IF(T394="Read",1,IF(T394="Delivered",2,IF(T394="Sent",3,IF(T394="Not sent",4,IF(T394="Failed",9,5)))))</f>
        <v>4</v>
      </c>
      <c r="AG394" s="43">
        <f>IF(U394="Demo booked",1,IF(U394="Interested",2,IF(U394="Replied",3,IF(U394="No reply",5,IF(U394="Not interested",8,IF(U394="Bad number",9,6))))))</f>
        <v>6</v>
      </c>
      <c r="AH394" s="46">
        <f>AD394*1000+AN394*100+AE394*10+AG394</f>
        <v>9596</v>
      </c>
      <c r="AI394" s="45">
        <f>MAX(IF(R394="",0,R394),IF(Y394="",0,Y394))</f>
        <v>0</v>
      </c>
      <c r="AJ394" s="43" t="str">
        <f ca="1">IF(AND(X394&lt;&gt;"",Y394="",X394&lt;TODAY()),"Overdue",IF(AND(X394&lt;&gt;"",Y394="",X394=TODAY()),"Due today",IF(Y394&lt;&gt;"","Follow-up sent","")))</f>
        <v/>
      </c>
      <c r="AK394" s="50" t="s">
        <v>734</v>
      </c>
      <c r="AL394" s="50" t="s">
        <v>735</v>
      </c>
      <c r="AM394" s="50" t="s">
        <v>736</v>
      </c>
      <c r="AN394" s="50">
        <v>5</v>
      </c>
      <c r="AO394" s="54" t="s">
        <v>1589</v>
      </c>
      <c r="AP394" s="57" t="s">
        <v>127</v>
      </c>
      <c r="AQ394" s="58"/>
      <c r="AR394" s="57"/>
    </row>
    <row r="395" spans="1:44" ht="54" customHeight="1" x14ac:dyDescent="0.25">
      <c r="A395" s="43" t="s">
        <v>1590</v>
      </c>
      <c r="B395" s="43" t="s">
        <v>790</v>
      </c>
      <c r="C395" s="43"/>
      <c r="D395" s="44" t="s">
        <v>1591</v>
      </c>
      <c r="E395" s="43"/>
      <c r="F395" s="43" t="s">
        <v>729</v>
      </c>
      <c r="G395" s="45"/>
      <c r="H395" s="45">
        <v>46161</v>
      </c>
      <c r="I395" s="43" t="s">
        <v>730</v>
      </c>
      <c r="J395" s="43" t="s">
        <v>731</v>
      </c>
      <c r="K395" s="43" t="str">
        <f>IF(LEN(D395)=10,"OK","Check")</f>
        <v>OK</v>
      </c>
      <c r="L395" s="43" t="s">
        <v>732</v>
      </c>
      <c r="M395" s="43" t="str">
        <f>IF(L395="Hold","Hold",IF(IFERROR(E395,0)&gt;=200,"High",IF(IFERROR(E395,0)&gt;=100,"Medium","Normal")))</f>
        <v>Hold</v>
      </c>
      <c r="N395" s="43" t="s">
        <v>90</v>
      </c>
      <c r="O395" s="43" t="s">
        <v>91</v>
      </c>
      <c r="P395" s="43" t="s">
        <v>92</v>
      </c>
      <c r="Q395" s="17" t="s">
        <v>93</v>
      </c>
      <c r="R395" s="45"/>
      <c r="S395" s="43"/>
      <c r="T395" s="43" t="s">
        <v>31</v>
      </c>
      <c r="U395" s="43" t="s">
        <v>94</v>
      </c>
      <c r="V395" s="43" t="s">
        <v>94</v>
      </c>
      <c r="W395" s="43" t="s">
        <v>95</v>
      </c>
      <c r="X395" s="45" t="str">
        <f>IF(AND(R395&lt;&gt;"",OR(U395="No reply",U395="Unknown")),R395+2,"")</f>
        <v/>
      </c>
      <c r="Y395" s="45"/>
      <c r="Z395" s="43" t="s">
        <v>96</v>
      </c>
      <c r="AA395" s="43" t="str">
        <f>IF(L395="Hold","Do not send",IF(T395="Not sent","Send WhatsApp",IF(U395="Demo booked","Prepare demo",IF(W395="Booked","Prepare demo",IF(AND(X395&lt;&gt;"",Y395=""),"Send follow-up","Review")))))</f>
        <v>Do not send</v>
      </c>
      <c r="AB395" s="43"/>
      <c r="AC395" s="43" t="s">
        <v>733</v>
      </c>
      <c r="AD395" s="43">
        <f>IF(AA395="Prepare demo",1,IF(AA395="Send follow-up",2,IF(AA395="Send WhatsApp",3,IF(AA395="Review",4,IF(AA395="Do not send",9,5)))))</f>
        <v>9</v>
      </c>
      <c r="AE395" s="43">
        <f>IF(M395="High",1,IF(M395="Medium",2,IF(M395="Normal",3,IF(M395="Hold",9,4))))</f>
        <v>9</v>
      </c>
      <c r="AF395" s="43">
        <f>IF(T395="Read",1,IF(T395="Delivered",2,IF(T395="Sent",3,IF(T395="Not sent",4,IF(T395="Failed",9,5)))))</f>
        <v>4</v>
      </c>
      <c r="AG395" s="43">
        <f>IF(U395="Demo booked",1,IF(U395="Interested",2,IF(U395="Replied",3,IF(U395="No reply",5,IF(U395="Not interested",8,IF(U395="Bad number",9,6))))))</f>
        <v>6</v>
      </c>
      <c r="AH395" s="46">
        <f>AD395*1000+AN395*100+AE395*10+AG395</f>
        <v>9596</v>
      </c>
      <c r="AI395" s="45">
        <f>MAX(IF(R395="",0,R395),IF(Y395="",0,Y395))</f>
        <v>0</v>
      </c>
      <c r="AJ395" s="43" t="str">
        <f ca="1">IF(AND(X395&lt;&gt;"",Y395="",X395&lt;TODAY()),"Overdue",IF(AND(X395&lt;&gt;"",Y395="",X395=TODAY()),"Due today",IF(Y395&lt;&gt;"","Follow-up sent","")))</f>
        <v/>
      </c>
      <c r="AK395" s="50" t="s">
        <v>734</v>
      </c>
      <c r="AL395" s="50" t="s">
        <v>735</v>
      </c>
      <c r="AM395" s="50" t="s">
        <v>736</v>
      </c>
      <c r="AN395" s="50">
        <v>5</v>
      </c>
      <c r="AO395" s="54" t="s">
        <v>1592</v>
      </c>
      <c r="AP395" s="57" t="s">
        <v>127</v>
      </c>
      <c r="AQ395" s="58"/>
      <c r="AR395" s="57"/>
    </row>
    <row r="396" spans="1:44" ht="54" customHeight="1" x14ac:dyDescent="0.25">
      <c r="A396" s="43" t="s">
        <v>1593</v>
      </c>
      <c r="B396" s="43" t="s">
        <v>790</v>
      </c>
      <c r="C396" s="43"/>
      <c r="D396" s="44" t="s">
        <v>1594</v>
      </c>
      <c r="E396" s="43"/>
      <c r="F396" s="43" t="s">
        <v>729</v>
      </c>
      <c r="G396" s="45"/>
      <c r="H396" s="45">
        <v>46161</v>
      </c>
      <c r="I396" s="43" t="s">
        <v>730</v>
      </c>
      <c r="J396" s="43" t="s">
        <v>731</v>
      </c>
      <c r="K396" s="43" t="str">
        <f>IF(LEN(D396)=10,"OK","Check")</f>
        <v>OK</v>
      </c>
      <c r="L396" s="43" t="s">
        <v>732</v>
      </c>
      <c r="M396" s="43" t="str">
        <f>IF(L396="Hold","Hold",IF(IFERROR(E396,0)&gt;=200,"High",IF(IFERROR(E396,0)&gt;=100,"Medium","Normal")))</f>
        <v>Hold</v>
      </c>
      <c r="N396" s="43" t="s">
        <v>90</v>
      </c>
      <c r="O396" s="43" t="s">
        <v>91</v>
      </c>
      <c r="P396" s="43" t="s">
        <v>92</v>
      </c>
      <c r="Q396" s="17" t="s">
        <v>93</v>
      </c>
      <c r="R396" s="45"/>
      <c r="S396" s="43"/>
      <c r="T396" s="43" t="s">
        <v>31</v>
      </c>
      <c r="U396" s="43" t="s">
        <v>94</v>
      </c>
      <c r="V396" s="43" t="s">
        <v>94</v>
      </c>
      <c r="W396" s="43" t="s">
        <v>95</v>
      </c>
      <c r="X396" s="45" t="str">
        <f>IF(AND(R396&lt;&gt;"",OR(U396="No reply",U396="Unknown")),R396+2,"")</f>
        <v/>
      </c>
      <c r="Y396" s="45"/>
      <c r="Z396" s="43" t="s">
        <v>96</v>
      </c>
      <c r="AA396" s="43" t="str">
        <f>IF(L396="Hold","Do not send",IF(T396="Not sent","Send WhatsApp",IF(U396="Demo booked","Prepare demo",IF(W396="Booked","Prepare demo",IF(AND(X396&lt;&gt;"",Y396=""),"Send follow-up","Review")))))</f>
        <v>Do not send</v>
      </c>
      <c r="AB396" s="43"/>
      <c r="AC396" s="43" t="s">
        <v>733</v>
      </c>
      <c r="AD396" s="43">
        <f>IF(AA396="Prepare demo",1,IF(AA396="Send follow-up",2,IF(AA396="Send WhatsApp",3,IF(AA396="Review",4,IF(AA396="Do not send",9,5)))))</f>
        <v>9</v>
      </c>
      <c r="AE396" s="43">
        <f>IF(M396="High",1,IF(M396="Medium",2,IF(M396="Normal",3,IF(M396="Hold",9,4))))</f>
        <v>9</v>
      </c>
      <c r="AF396" s="43">
        <f>IF(T396="Read",1,IF(T396="Delivered",2,IF(T396="Sent",3,IF(T396="Not sent",4,IF(T396="Failed",9,5)))))</f>
        <v>4</v>
      </c>
      <c r="AG396" s="43">
        <f>IF(U396="Demo booked",1,IF(U396="Interested",2,IF(U396="Replied",3,IF(U396="No reply",5,IF(U396="Not interested",8,IF(U396="Bad number",9,6))))))</f>
        <v>6</v>
      </c>
      <c r="AH396" s="46">
        <f>AD396*1000+AN396*100+AE396*10+AG396</f>
        <v>9596</v>
      </c>
      <c r="AI396" s="45">
        <f>MAX(IF(R396="",0,R396),IF(Y396="",0,Y396))</f>
        <v>0</v>
      </c>
      <c r="AJ396" s="43" t="str">
        <f ca="1">IF(AND(X396&lt;&gt;"",Y396="",X396&lt;TODAY()),"Overdue",IF(AND(X396&lt;&gt;"",Y396="",X396=TODAY()),"Due today",IF(Y396&lt;&gt;"","Follow-up sent","")))</f>
        <v/>
      </c>
      <c r="AK396" s="50" t="s">
        <v>734</v>
      </c>
      <c r="AL396" s="50" t="s">
        <v>735</v>
      </c>
      <c r="AM396" s="50" t="s">
        <v>736</v>
      </c>
      <c r="AN396" s="50">
        <v>5</v>
      </c>
      <c r="AO396" s="54" t="s">
        <v>1595</v>
      </c>
      <c r="AP396" s="57" t="s">
        <v>127</v>
      </c>
      <c r="AQ396" s="58"/>
      <c r="AR396" s="57"/>
    </row>
    <row r="397" spans="1:44" ht="54" customHeight="1" x14ac:dyDescent="0.25">
      <c r="A397" s="43" t="s">
        <v>1596</v>
      </c>
      <c r="B397" s="43" t="s">
        <v>790</v>
      </c>
      <c r="C397" s="43"/>
      <c r="D397" s="44" t="s">
        <v>1597</v>
      </c>
      <c r="E397" s="43"/>
      <c r="F397" s="43" t="s">
        <v>729</v>
      </c>
      <c r="G397" s="45"/>
      <c r="H397" s="45">
        <v>46161</v>
      </c>
      <c r="I397" s="43" t="s">
        <v>730</v>
      </c>
      <c r="J397" s="43" t="s">
        <v>731</v>
      </c>
      <c r="K397" s="43" t="str">
        <f>IF(LEN(D397)=10,"OK","Check")</f>
        <v>OK</v>
      </c>
      <c r="L397" s="43" t="s">
        <v>732</v>
      </c>
      <c r="M397" s="43" t="str">
        <f>IF(L397="Hold","Hold",IF(IFERROR(E397,0)&gt;=200,"High",IF(IFERROR(E397,0)&gt;=100,"Medium","Normal")))</f>
        <v>Hold</v>
      </c>
      <c r="N397" s="43" t="s">
        <v>90</v>
      </c>
      <c r="O397" s="43" t="s">
        <v>91</v>
      </c>
      <c r="P397" s="43" t="s">
        <v>92</v>
      </c>
      <c r="Q397" s="17" t="s">
        <v>93</v>
      </c>
      <c r="R397" s="45"/>
      <c r="S397" s="43"/>
      <c r="T397" s="43" t="s">
        <v>31</v>
      </c>
      <c r="U397" s="43" t="s">
        <v>94</v>
      </c>
      <c r="V397" s="43" t="s">
        <v>94</v>
      </c>
      <c r="W397" s="43" t="s">
        <v>95</v>
      </c>
      <c r="X397" s="45" t="str">
        <f>IF(AND(R397&lt;&gt;"",OR(U397="No reply",U397="Unknown")),R397+2,"")</f>
        <v/>
      </c>
      <c r="Y397" s="45"/>
      <c r="Z397" s="43" t="s">
        <v>96</v>
      </c>
      <c r="AA397" s="43" t="str">
        <f>IF(L397="Hold","Do not send",IF(T397="Not sent","Send WhatsApp",IF(U397="Demo booked","Prepare demo",IF(W397="Booked","Prepare demo",IF(AND(X397&lt;&gt;"",Y397=""),"Send follow-up","Review")))))</f>
        <v>Do not send</v>
      </c>
      <c r="AB397" s="43"/>
      <c r="AC397" s="43" t="s">
        <v>733</v>
      </c>
      <c r="AD397" s="43">
        <f>IF(AA397="Prepare demo",1,IF(AA397="Send follow-up",2,IF(AA397="Send WhatsApp",3,IF(AA397="Review",4,IF(AA397="Do not send",9,5)))))</f>
        <v>9</v>
      </c>
      <c r="AE397" s="43">
        <f>IF(M397="High",1,IF(M397="Medium",2,IF(M397="Normal",3,IF(M397="Hold",9,4))))</f>
        <v>9</v>
      </c>
      <c r="AF397" s="43">
        <f>IF(T397="Read",1,IF(T397="Delivered",2,IF(T397="Sent",3,IF(T397="Not sent",4,IF(T397="Failed",9,5)))))</f>
        <v>4</v>
      </c>
      <c r="AG397" s="43">
        <f>IF(U397="Demo booked",1,IF(U397="Interested",2,IF(U397="Replied",3,IF(U397="No reply",5,IF(U397="Not interested",8,IF(U397="Bad number",9,6))))))</f>
        <v>6</v>
      </c>
      <c r="AH397" s="46">
        <f>AD397*1000+AN397*100+AE397*10+AG397</f>
        <v>9596</v>
      </c>
      <c r="AI397" s="45">
        <f>MAX(IF(R397="",0,R397),IF(Y397="",0,Y397))</f>
        <v>0</v>
      </c>
      <c r="AJ397" s="43" t="str">
        <f ca="1">IF(AND(X397&lt;&gt;"",Y397="",X397&lt;TODAY()),"Overdue",IF(AND(X397&lt;&gt;"",Y397="",X397=TODAY()),"Due today",IF(Y397&lt;&gt;"","Follow-up sent","")))</f>
        <v/>
      </c>
      <c r="AK397" s="50" t="s">
        <v>734</v>
      </c>
      <c r="AL397" s="50" t="s">
        <v>735</v>
      </c>
      <c r="AM397" s="50" t="s">
        <v>736</v>
      </c>
      <c r="AN397" s="50">
        <v>5</v>
      </c>
      <c r="AO397" s="54" t="s">
        <v>1598</v>
      </c>
      <c r="AP397" s="57" t="s">
        <v>127</v>
      </c>
      <c r="AQ397" s="58"/>
      <c r="AR397" s="57"/>
    </row>
    <row r="398" spans="1:44" ht="54" customHeight="1" x14ac:dyDescent="0.25">
      <c r="A398" s="43" t="s">
        <v>1599</v>
      </c>
      <c r="B398" s="43" t="s">
        <v>790</v>
      </c>
      <c r="C398" s="43"/>
      <c r="D398" s="44" t="s">
        <v>1600</v>
      </c>
      <c r="E398" s="43"/>
      <c r="F398" s="43" t="s">
        <v>729</v>
      </c>
      <c r="G398" s="45"/>
      <c r="H398" s="45">
        <v>46161</v>
      </c>
      <c r="I398" s="43" t="s">
        <v>730</v>
      </c>
      <c r="J398" s="43" t="s">
        <v>731</v>
      </c>
      <c r="K398" s="43" t="str">
        <f>IF(LEN(D398)=10,"OK","Check")</f>
        <v>OK</v>
      </c>
      <c r="L398" s="43" t="s">
        <v>732</v>
      </c>
      <c r="M398" s="43" t="str">
        <f>IF(L398="Hold","Hold",IF(IFERROR(E398,0)&gt;=200,"High",IF(IFERROR(E398,0)&gt;=100,"Medium","Normal")))</f>
        <v>Hold</v>
      </c>
      <c r="N398" s="43" t="s">
        <v>90</v>
      </c>
      <c r="O398" s="43" t="s">
        <v>91</v>
      </c>
      <c r="P398" s="43" t="s">
        <v>92</v>
      </c>
      <c r="Q398" s="17" t="s">
        <v>93</v>
      </c>
      <c r="R398" s="45"/>
      <c r="S398" s="43"/>
      <c r="T398" s="43" t="s">
        <v>31</v>
      </c>
      <c r="U398" s="43" t="s">
        <v>94</v>
      </c>
      <c r="V398" s="43" t="s">
        <v>94</v>
      </c>
      <c r="W398" s="43" t="s">
        <v>95</v>
      </c>
      <c r="X398" s="45" t="str">
        <f>IF(AND(R398&lt;&gt;"",OR(U398="No reply",U398="Unknown")),R398+2,"")</f>
        <v/>
      </c>
      <c r="Y398" s="45"/>
      <c r="Z398" s="43" t="s">
        <v>96</v>
      </c>
      <c r="AA398" s="43" t="str">
        <f>IF(L398="Hold","Do not send",IF(T398="Not sent","Send WhatsApp",IF(U398="Demo booked","Prepare demo",IF(W398="Booked","Prepare demo",IF(AND(X398&lt;&gt;"",Y398=""),"Send follow-up","Review")))))</f>
        <v>Do not send</v>
      </c>
      <c r="AB398" s="43"/>
      <c r="AC398" s="43" t="s">
        <v>733</v>
      </c>
      <c r="AD398" s="43">
        <f>IF(AA398="Prepare demo",1,IF(AA398="Send follow-up",2,IF(AA398="Send WhatsApp",3,IF(AA398="Review",4,IF(AA398="Do not send",9,5)))))</f>
        <v>9</v>
      </c>
      <c r="AE398" s="43">
        <f>IF(M398="High",1,IF(M398="Medium",2,IF(M398="Normal",3,IF(M398="Hold",9,4))))</f>
        <v>9</v>
      </c>
      <c r="AF398" s="43">
        <f>IF(T398="Read",1,IF(T398="Delivered",2,IF(T398="Sent",3,IF(T398="Not sent",4,IF(T398="Failed",9,5)))))</f>
        <v>4</v>
      </c>
      <c r="AG398" s="43">
        <f>IF(U398="Demo booked",1,IF(U398="Interested",2,IF(U398="Replied",3,IF(U398="No reply",5,IF(U398="Not interested",8,IF(U398="Bad number",9,6))))))</f>
        <v>6</v>
      </c>
      <c r="AH398" s="46">
        <f>AD398*1000+AN398*100+AE398*10+AG398</f>
        <v>9596</v>
      </c>
      <c r="AI398" s="45">
        <f>MAX(IF(R398="",0,R398),IF(Y398="",0,Y398))</f>
        <v>0</v>
      </c>
      <c r="AJ398" s="43" t="str">
        <f ca="1">IF(AND(X398&lt;&gt;"",Y398="",X398&lt;TODAY()),"Overdue",IF(AND(X398&lt;&gt;"",Y398="",X398=TODAY()),"Due today",IF(Y398&lt;&gt;"","Follow-up sent","")))</f>
        <v/>
      </c>
      <c r="AK398" s="50" t="s">
        <v>734</v>
      </c>
      <c r="AL398" s="50" t="s">
        <v>735</v>
      </c>
      <c r="AM398" s="50" t="s">
        <v>736</v>
      </c>
      <c r="AN398" s="50">
        <v>5</v>
      </c>
      <c r="AO398" s="54" t="s">
        <v>1601</v>
      </c>
      <c r="AP398" s="57" t="s">
        <v>127</v>
      </c>
      <c r="AQ398" s="58"/>
      <c r="AR398" s="57"/>
    </row>
    <row r="399" spans="1:44" ht="54" customHeight="1" x14ac:dyDescent="0.25">
      <c r="A399" s="43" t="s">
        <v>1602</v>
      </c>
      <c r="B399" s="43" t="s">
        <v>790</v>
      </c>
      <c r="C399" s="43"/>
      <c r="D399" s="44" t="s">
        <v>1603</v>
      </c>
      <c r="E399" s="43"/>
      <c r="F399" s="43" t="s">
        <v>729</v>
      </c>
      <c r="G399" s="45"/>
      <c r="H399" s="45">
        <v>46161</v>
      </c>
      <c r="I399" s="43" t="s">
        <v>730</v>
      </c>
      <c r="J399" s="43" t="s">
        <v>731</v>
      </c>
      <c r="K399" s="43" t="str">
        <f>IF(LEN(D399)=10,"OK","Check")</f>
        <v>OK</v>
      </c>
      <c r="L399" s="43" t="s">
        <v>732</v>
      </c>
      <c r="M399" s="43" t="str">
        <f>IF(L399="Hold","Hold",IF(IFERROR(E399,0)&gt;=200,"High",IF(IFERROR(E399,0)&gt;=100,"Medium","Normal")))</f>
        <v>Hold</v>
      </c>
      <c r="N399" s="43" t="s">
        <v>90</v>
      </c>
      <c r="O399" s="43" t="s">
        <v>91</v>
      </c>
      <c r="P399" s="43" t="s">
        <v>92</v>
      </c>
      <c r="Q399" s="17" t="s">
        <v>93</v>
      </c>
      <c r="R399" s="45"/>
      <c r="S399" s="43"/>
      <c r="T399" s="43" t="s">
        <v>31</v>
      </c>
      <c r="U399" s="43" t="s">
        <v>94</v>
      </c>
      <c r="V399" s="43" t="s">
        <v>94</v>
      </c>
      <c r="W399" s="43" t="s">
        <v>95</v>
      </c>
      <c r="X399" s="45" t="str">
        <f>IF(AND(R399&lt;&gt;"",OR(U399="No reply",U399="Unknown")),R399+2,"")</f>
        <v/>
      </c>
      <c r="Y399" s="45"/>
      <c r="Z399" s="43" t="s">
        <v>96</v>
      </c>
      <c r="AA399" s="43" t="str">
        <f>IF(L399="Hold","Do not send",IF(T399="Not sent","Send WhatsApp",IF(U399="Demo booked","Prepare demo",IF(W399="Booked","Prepare demo",IF(AND(X399&lt;&gt;"",Y399=""),"Send follow-up","Review")))))</f>
        <v>Do not send</v>
      </c>
      <c r="AB399" s="43"/>
      <c r="AC399" s="43" t="s">
        <v>733</v>
      </c>
      <c r="AD399" s="43">
        <f>IF(AA399="Prepare demo",1,IF(AA399="Send follow-up",2,IF(AA399="Send WhatsApp",3,IF(AA399="Review",4,IF(AA399="Do not send",9,5)))))</f>
        <v>9</v>
      </c>
      <c r="AE399" s="43">
        <f>IF(M399="High",1,IF(M399="Medium",2,IF(M399="Normal",3,IF(M399="Hold",9,4))))</f>
        <v>9</v>
      </c>
      <c r="AF399" s="43">
        <f>IF(T399="Read",1,IF(T399="Delivered",2,IF(T399="Sent",3,IF(T399="Not sent",4,IF(T399="Failed",9,5)))))</f>
        <v>4</v>
      </c>
      <c r="AG399" s="43">
        <f>IF(U399="Demo booked",1,IF(U399="Interested",2,IF(U399="Replied",3,IF(U399="No reply",5,IF(U399="Not interested",8,IF(U399="Bad number",9,6))))))</f>
        <v>6</v>
      </c>
      <c r="AH399" s="46">
        <f>AD399*1000+AN399*100+AE399*10+AG399</f>
        <v>9596</v>
      </c>
      <c r="AI399" s="45">
        <f>MAX(IF(R399="",0,R399),IF(Y399="",0,Y399))</f>
        <v>0</v>
      </c>
      <c r="AJ399" s="43" t="str">
        <f ca="1">IF(AND(X399&lt;&gt;"",Y399="",X399&lt;TODAY()),"Overdue",IF(AND(X399&lt;&gt;"",Y399="",X399=TODAY()),"Due today",IF(Y399&lt;&gt;"","Follow-up sent","")))</f>
        <v/>
      </c>
      <c r="AK399" s="50" t="s">
        <v>734</v>
      </c>
      <c r="AL399" s="50" t="s">
        <v>735</v>
      </c>
      <c r="AM399" s="50" t="s">
        <v>736</v>
      </c>
      <c r="AN399" s="50">
        <v>5</v>
      </c>
      <c r="AO399" s="54" t="s">
        <v>1604</v>
      </c>
      <c r="AP399" s="57" t="s">
        <v>127</v>
      </c>
      <c r="AQ399" s="58"/>
      <c r="AR399" s="57"/>
    </row>
    <row r="400" spans="1:44" ht="54" customHeight="1" x14ac:dyDescent="0.25">
      <c r="A400" s="43" t="s">
        <v>1605</v>
      </c>
      <c r="B400" s="43" t="s">
        <v>790</v>
      </c>
      <c r="C400" s="43"/>
      <c r="D400" s="44" t="s">
        <v>1606</v>
      </c>
      <c r="E400" s="43"/>
      <c r="F400" s="43" t="s">
        <v>729</v>
      </c>
      <c r="G400" s="45"/>
      <c r="H400" s="45">
        <v>46161</v>
      </c>
      <c r="I400" s="43" t="s">
        <v>730</v>
      </c>
      <c r="J400" s="43" t="s">
        <v>731</v>
      </c>
      <c r="K400" s="43" t="str">
        <f>IF(LEN(D400)=10,"OK","Check")</f>
        <v>OK</v>
      </c>
      <c r="L400" s="43" t="s">
        <v>732</v>
      </c>
      <c r="M400" s="43" t="str">
        <f>IF(L400="Hold","Hold",IF(IFERROR(E400,0)&gt;=200,"High",IF(IFERROR(E400,0)&gt;=100,"Medium","Normal")))</f>
        <v>Hold</v>
      </c>
      <c r="N400" s="43" t="s">
        <v>90</v>
      </c>
      <c r="O400" s="43" t="s">
        <v>91</v>
      </c>
      <c r="P400" s="43" t="s">
        <v>92</v>
      </c>
      <c r="Q400" s="17" t="s">
        <v>93</v>
      </c>
      <c r="R400" s="45"/>
      <c r="S400" s="43"/>
      <c r="T400" s="43" t="s">
        <v>31</v>
      </c>
      <c r="U400" s="43" t="s">
        <v>94</v>
      </c>
      <c r="V400" s="43" t="s">
        <v>94</v>
      </c>
      <c r="W400" s="43" t="s">
        <v>95</v>
      </c>
      <c r="X400" s="45" t="str">
        <f>IF(AND(R400&lt;&gt;"",OR(U400="No reply",U400="Unknown")),R400+2,"")</f>
        <v/>
      </c>
      <c r="Y400" s="45"/>
      <c r="Z400" s="43" t="s">
        <v>96</v>
      </c>
      <c r="AA400" s="43" t="str">
        <f>IF(L400="Hold","Do not send",IF(T400="Not sent","Send WhatsApp",IF(U400="Demo booked","Prepare demo",IF(W400="Booked","Prepare demo",IF(AND(X400&lt;&gt;"",Y400=""),"Send follow-up","Review")))))</f>
        <v>Do not send</v>
      </c>
      <c r="AB400" s="43"/>
      <c r="AC400" s="43" t="s">
        <v>733</v>
      </c>
      <c r="AD400" s="43">
        <f>IF(AA400="Prepare demo",1,IF(AA400="Send follow-up",2,IF(AA400="Send WhatsApp",3,IF(AA400="Review",4,IF(AA400="Do not send",9,5)))))</f>
        <v>9</v>
      </c>
      <c r="AE400" s="43">
        <f>IF(M400="High",1,IF(M400="Medium",2,IF(M400="Normal",3,IF(M400="Hold",9,4))))</f>
        <v>9</v>
      </c>
      <c r="AF400" s="43">
        <f>IF(T400="Read",1,IF(T400="Delivered",2,IF(T400="Sent",3,IF(T400="Not sent",4,IF(T400="Failed",9,5)))))</f>
        <v>4</v>
      </c>
      <c r="AG400" s="43">
        <f>IF(U400="Demo booked",1,IF(U400="Interested",2,IF(U400="Replied",3,IF(U400="No reply",5,IF(U400="Not interested",8,IF(U400="Bad number",9,6))))))</f>
        <v>6</v>
      </c>
      <c r="AH400" s="46">
        <f>AD400*1000+AN400*100+AE400*10+AG400</f>
        <v>9596</v>
      </c>
      <c r="AI400" s="45">
        <f>MAX(IF(R400="",0,R400),IF(Y400="",0,Y400))</f>
        <v>0</v>
      </c>
      <c r="AJ400" s="43" t="str">
        <f ca="1">IF(AND(X400&lt;&gt;"",Y400="",X400&lt;TODAY()),"Overdue",IF(AND(X400&lt;&gt;"",Y400="",X400=TODAY()),"Due today",IF(Y400&lt;&gt;"","Follow-up sent","")))</f>
        <v/>
      </c>
      <c r="AK400" s="50" t="s">
        <v>734</v>
      </c>
      <c r="AL400" s="50" t="s">
        <v>735</v>
      </c>
      <c r="AM400" s="50" t="s">
        <v>736</v>
      </c>
      <c r="AN400" s="50">
        <v>5</v>
      </c>
      <c r="AO400" s="54" t="s">
        <v>1607</v>
      </c>
      <c r="AP400" s="57" t="s">
        <v>127</v>
      </c>
      <c r="AQ400" s="58"/>
      <c r="AR400" s="57"/>
    </row>
    <row r="401" spans="1:44" ht="54" customHeight="1" x14ac:dyDescent="0.25">
      <c r="A401" s="43" t="s">
        <v>1608</v>
      </c>
      <c r="B401" s="43" t="s">
        <v>790</v>
      </c>
      <c r="C401" s="43"/>
      <c r="D401" s="44" t="s">
        <v>1609</v>
      </c>
      <c r="E401" s="43"/>
      <c r="F401" s="43" t="s">
        <v>729</v>
      </c>
      <c r="G401" s="45"/>
      <c r="H401" s="45">
        <v>46161</v>
      </c>
      <c r="I401" s="43" t="s">
        <v>730</v>
      </c>
      <c r="J401" s="43" t="s">
        <v>731</v>
      </c>
      <c r="K401" s="43" t="str">
        <f>IF(LEN(D401)=10,"OK","Check")</f>
        <v>OK</v>
      </c>
      <c r="L401" s="43" t="s">
        <v>732</v>
      </c>
      <c r="M401" s="43" t="str">
        <f>IF(L401="Hold","Hold",IF(IFERROR(E401,0)&gt;=200,"High",IF(IFERROR(E401,0)&gt;=100,"Medium","Normal")))</f>
        <v>Hold</v>
      </c>
      <c r="N401" s="43" t="s">
        <v>90</v>
      </c>
      <c r="O401" s="43" t="s">
        <v>91</v>
      </c>
      <c r="P401" s="43" t="s">
        <v>92</v>
      </c>
      <c r="Q401" s="17" t="s">
        <v>93</v>
      </c>
      <c r="R401" s="45"/>
      <c r="S401" s="43"/>
      <c r="T401" s="43" t="s">
        <v>31</v>
      </c>
      <c r="U401" s="43" t="s">
        <v>94</v>
      </c>
      <c r="V401" s="43" t="s">
        <v>94</v>
      </c>
      <c r="W401" s="43" t="s">
        <v>95</v>
      </c>
      <c r="X401" s="45" t="str">
        <f>IF(AND(R401&lt;&gt;"",OR(U401="No reply",U401="Unknown")),R401+2,"")</f>
        <v/>
      </c>
      <c r="Y401" s="45"/>
      <c r="Z401" s="43" t="s">
        <v>96</v>
      </c>
      <c r="AA401" s="43" t="str">
        <f>IF(L401="Hold","Do not send",IF(T401="Not sent","Send WhatsApp",IF(U401="Demo booked","Prepare demo",IF(W401="Booked","Prepare demo",IF(AND(X401&lt;&gt;"",Y401=""),"Send follow-up","Review")))))</f>
        <v>Do not send</v>
      </c>
      <c r="AB401" s="43"/>
      <c r="AC401" s="43" t="s">
        <v>733</v>
      </c>
      <c r="AD401" s="43">
        <f>IF(AA401="Prepare demo",1,IF(AA401="Send follow-up",2,IF(AA401="Send WhatsApp",3,IF(AA401="Review",4,IF(AA401="Do not send",9,5)))))</f>
        <v>9</v>
      </c>
      <c r="AE401" s="43">
        <f>IF(M401="High",1,IF(M401="Medium",2,IF(M401="Normal",3,IF(M401="Hold",9,4))))</f>
        <v>9</v>
      </c>
      <c r="AF401" s="43">
        <f>IF(T401="Read",1,IF(T401="Delivered",2,IF(T401="Sent",3,IF(T401="Not sent",4,IF(T401="Failed",9,5)))))</f>
        <v>4</v>
      </c>
      <c r="AG401" s="43">
        <f>IF(U401="Demo booked",1,IF(U401="Interested",2,IF(U401="Replied",3,IF(U401="No reply",5,IF(U401="Not interested",8,IF(U401="Bad number",9,6))))))</f>
        <v>6</v>
      </c>
      <c r="AH401" s="46">
        <f>AD401*1000+AN401*100+AE401*10+AG401</f>
        <v>9596</v>
      </c>
      <c r="AI401" s="45">
        <f>MAX(IF(R401="",0,R401),IF(Y401="",0,Y401))</f>
        <v>0</v>
      </c>
      <c r="AJ401" s="43" t="str">
        <f ca="1">IF(AND(X401&lt;&gt;"",Y401="",X401&lt;TODAY()),"Overdue",IF(AND(X401&lt;&gt;"",Y401="",X401=TODAY()),"Due today",IF(Y401&lt;&gt;"","Follow-up sent","")))</f>
        <v/>
      </c>
      <c r="AK401" s="50" t="s">
        <v>734</v>
      </c>
      <c r="AL401" s="50" t="s">
        <v>735</v>
      </c>
      <c r="AM401" s="50" t="s">
        <v>736</v>
      </c>
      <c r="AN401" s="50">
        <v>5</v>
      </c>
      <c r="AO401" s="54" t="s">
        <v>1610</v>
      </c>
      <c r="AP401" s="57" t="s">
        <v>127</v>
      </c>
      <c r="AQ401" s="58"/>
      <c r="AR401" s="57"/>
    </row>
    <row r="402" spans="1:44" ht="54" customHeight="1" x14ac:dyDescent="0.25">
      <c r="A402" s="43" t="s">
        <v>1611</v>
      </c>
      <c r="B402" s="43" t="s">
        <v>790</v>
      </c>
      <c r="C402" s="43"/>
      <c r="D402" s="44" t="s">
        <v>1612</v>
      </c>
      <c r="E402" s="43"/>
      <c r="F402" s="43" t="s">
        <v>729</v>
      </c>
      <c r="G402" s="45"/>
      <c r="H402" s="45">
        <v>46161</v>
      </c>
      <c r="I402" s="43" t="s">
        <v>730</v>
      </c>
      <c r="J402" s="43" t="s">
        <v>731</v>
      </c>
      <c r="K402" s="43" t="str">
        <f>IF(LEN(D402)=10,"OK","Check")</f>
        <v>OK</v>
      </c>
      <c r="L402" s="43" t="s">
        <v>732</v>
      </c>
      <c r="M402" s="43" t="str">
        <f>IF(L402="Hold","Hold",IF(IFERROR(E402,0)&gt;=200,"High",IF(IFERROR(E402,0)&gt;=100,"Medium","Normal")))</f>
        <v>Hold</v>
      </c>
      <c r="N402" s="43" t="s">
        <v>90</v>
      </c>
      <c r="O402" s="43" t="s">
        <v>91</v>
      </c>
      <c r="P402" s="43" t="s">
        <v>92</v>
      </c>
      <c r="Q402" s="17" t="s">
        <v>93</v>
      </c>
      <c r="R402" s="45"/>
      <c r="S402" s="43"/>
      <c r="T402" s="43" t="s">
        <v>31</v>
      </c>
      <c r="U402" s="43" t="s">
        <v>94</v>
      </c>
      <c r="V402" s="43" t="s">
        <v>94</v>
      </c>
      <c r="W402" s="43" t="s">
        <v>95</v>
      </c>
      <c r="X402" s="45" t="str">
        <f>IF(AND(R402&lt;&gt;"",OR(U402="No reply",U402="Unknown")),R402+2,"")</f>
        <v/>
      </c>
      <c r="Y402" s="45"/>
      <c r="Z402" s="43" t="s">
        <v>96</v>
      </c>
      <c r="AA402" s="43" t="str">
        <f>IF(L402="Hold","Do not send",IF(T402="Not sent","Send WhatsApp",IF(U402="Demo booked","Prepare demo",IF(W402="Booked","Prepare demo",IF(AND(X402&lt;&gt;"",Y402=""),"Send follow-up","Review")))))</f>
        <v>Do not send</v>
      </c>
      <c r="AB402" s="43"/>
      <c r="AC402" s="43" t="s">
        <v>733</v>
      </c>
      <c r="AD402" s="43">
        <f>IF(AA402="Prepare demo",1,IF(AA402="Send follow-up",2,IF(AA402="Send WhatsApp",3,IF(AA402="Review",4,IF(AA402="Do not send",9,5)))))</f>
        <v>9</v>
      </c>
      <c r="AE402" s="43">
        <f>IF(M402="High",1,IF(M402="Medium",2,IF(M402="Normal",3,IF(M402="Hold",9,4))))</f>
        <v>9</v>
      </c>
      <c r="AF402" s="43">
        <f>IF(T402="Read",1,IF(T402="Delivered",2,IF(T402="Sent",3,IF(T402="Not sent",4,IF(T402="Failed",9,5)))))</f>
        <v>4</v>
      </c>
      <c r="AG402" s="43">
        <f>IF(U402="Demo booked",1,IF(U402="Interested",2,IF(U402="Replied",3,IF(U402="No reply",5,IF(U402="Not interested",8,IF(U402="Bad number",9,6))))))</f>
        <v>6</v>
      </c>
      <c r="AH402" s="46">
        <f>AD402*1000+AN402*100+AE402*10+AG402</f>
        <v>9596</v>
      </c>
      <c r="AI402" s="45">
        <f>MAX(IF(R402="",0,R402),IF(Y402="",0,Y402))</f>
        <v>0</v>
      </c>
      <c r="AJ402" s="43" t="str">
        <f ca="1">IF(AND(X402&lt;&gt;"",Y402="",X402&lt;TODAY()),"Overdue",IF(AND(X402&lt;&gt;"",Y402="",X402=TODAY()),"Due today",IF(Y402&lt;&gt;"","Follow-up sent","")))</f>
        <v/>
      </c>
      <c r="AK402" s="50" t="s">
        <v>734</v>
      </c>
      <c r="AL402" s="50" t="s">
        <v>735</v>
      </c>
      <c r="AM402" s="50" t="s">
        <v>736</v>
      </c>
      <c r="AN402" s="50">
        <v>5</v>
      </c>
      <c r="AO402" s="54" t="s">
        <v>1613</v>
      </c>
      <c r="AP402" s="57" t="s">
        <v>127</v>
      </c>
      <c r="AQ402" s="58"/>
      <c r="AR402" s="57"/>
    </row>
    <row r="403" spans="1:44" ht="54" customHeight="1" x14ac:dyDescent="0.25">
      <c r="A403" s="43" t="s">
        <v>1614</v>
      </c>
      <c r="B403" s="43" t="s">
        <v>790</v>
      </c>
      <c r="C403" s="43"/>
      <c r="D403" s="44" t="s">
        <v>1615</v>
      </c>
      <c r="E403" s="43"/>
      <c r="F403" s="43" t="s">
        <v>729</v>
      </c>
      <c r="G403" s="45"/>
      <c r="H403" s="45">
        <v>46161</v>
      </c>
      <c r="I403" s="43" t="s">
        <v>730</v>
      </c>
      <c r="J403" s="43" t="s">
        <v>731</v>
      </c>
      <c r="K403" s="43" t="str">
        <f>IF(LEN(D403)=10,"OK","Check")</f>
        <v>OK</v>
      </c>
      <c r="L403" s="43" t="s">
        <v>732</v>
      </c>
      <c r="M403" s="43" t="str">
        <f>IF(L403="Hold","Hold",IF(IFERROR(E403,0)&gt;=200,"High",IF(IFERROR(E403,0)&gt;=100,"Medium","Normal")))</f>
        <v>Hold</v>
      </c>
      <c r="N403" s="43" t="s">
        <v>90</v>
      </c>
      <c r="O403" s="43" t="s">
        <v>91</v>
      </c>
      <c r="P403" s="43" t="s">
        <v>92</v>
      </c>
      <c r="Q403" s="17" t="s">
        <v>93</v>
      </c>
      <c r="R403" s="45"/>
      <c r="S403" s="43"/>
      <c r="T403" s="43" t="s">
        <v>31</v>
      </c>
      <c r="U403" s="43" t="s">
        <v>94</v>
      </c>
      <c r="V403" s="43" t="s">
        <v>94</v>
      </c>
      <c r="W403" s="43" t="s">
        <v>95</v>
      </c>
      <c r="X403" s="45" t="str">
        <f>IF(AND(R403&lt;&gt;"",OR(U403="No reply",U403="Unknown")),R403+2,"")</f>
        <v/>
      </c>
      <c r="Y403" s="45"/>
      <c r="Z403" s="43" t="s">
        <v>96</v>
      </c>
      <c r="AA403" s="43" t="str">
        <f>IF(L403="Hold","Do not send",IF(T403="Not sent","Send WhatsApp",IF(U403="Demo booked","Prepare demo",IF(W403="Booked","Prepare demo",IF(AND(X403&lt;&gt;"",Y403=""),"Send follow-up","Review")))))</f>
        <v>Do not send</v>
      </c>
      <c r="AB403" s="43"/>
      <c r="AC403" s="43" t="s">
        <v>733</v>
      </c>
      <c r="AD403" s="43">
        <f>IF(AA403="Prepare demo",1,IF(AA403="Send follow-up",2,IF(AA403="Send WhatsApp",3,IF(AA403="Review",4,IF(AA403="Do not send",9,5)))))</f>
        <v>9</v>
      </c>
      <c r="AE403" s="43">
        <f>IF(M403="High",1,IF(M403="Medium",2,IF(M403="Normal",3,IF(M403="Hold",9,4))))</f>
        <v>9</v>
      </c>
      <c r="AF403" s="43">
        <f>IF(T403="Read",1,IF(T403="Delivered",2,IF(T403="Sent",3,IF(T403="Not sent",4,IF(T403="Failed",9,5)))))</f>
        <v>4</v>
      </c>
      <c r="AG403" s="43">
        <f>IF(U403="Demo booked",1,IF(U403="Interested",2,IF(U403="Replied",3,IF(U403="No reply",5,IF(U403="Not interested",8,IF(U403="Bad number",9,6))))))</f>
        <v>6</v>
      </c>
      <c r="AH403" s="46">
        <f>AD403*1000+AN403*100+AE403*10+AG403</f>
        <v>9596</v>
      </c>
      <c r="AI403" s="45">
        <f>MAX(IF(R403="",0,R403),IF(Y403="",0,Y403))</f>
        <v>0</v>
      </c>
      <c r="AJ403" s="43" t="str">
        <f ca="1">IF(AND(X403&lt;&gt;"",Y403="",X403&lt;TODAY()),"Overdue",IF(AND(X403&lt;&gt;"",Y403="",X403=TODAY()),"Due today",IF(Y403&lt;&gt;"","Follow-up sent","")))</f>
        <v/>
      </c>
      <c r="AK403" s="50" t="s">
        <v>734</v>
      </c>
      <c r="AL403" s="50" t="s">
        <v>735</v>
      </c>
      <c r="AM403" s="50" t="s">
        <v>736</v>
      </c>
      <c r="AN403" s="50">
        <v>5</v>
      </c>
      <c r="AO403" s="54" t="s">
        <v>1616</v>
      </c>
      <c r="AP403" s="57" t="s">
        <v>127</v>
      </c>
      <c r="AQ403" s="58"/>
      <c r="AR403" s="57"/>
    </row>
    <row r="404" spans="1:44" ht="54" customHeight="1" x14ac:dyDescent="0.25">
      <c r="A404" s="43" t="s">
        <v>1617</v>
      </c>
      <c r="B404" s="43" t="s">
        <v>790</v>
      </c>
      <c r="C404" s="43"/>
      <c r="D404" s="44" t="s">
        <v>1618</v>
      </c>
      <c r="E404" s="43"/>
      <c r="F404" s="43" t="s">
        <v>729</v>
      </c>
      <c r="G404" s="45"/>
      <c r="H404" s="45">
        <v>46161</v>
      </c>
      <c r="I404" s="43" t="s">
        <v>730</v>
      </c>
      <c r="J404" s="43" t="s">
        <v>731</v>
      </c>
      <c r="K404" s="43" t="str">
        <f>IF(LEN(D404)=10,"OK","Check")</f>
        <v>OK</v>
      </c>
      <c r="L404" s="43" t="s">
        <v>732</v>
      </c>
      <c r="M404" s="43" t="str">
        <f>IF(L404="Hold","Hold",IF(IFERROR(E404,0)&gt;=200,"High",IF(IFERROR(E404,0)&gt;=100,"Medium","Normal")))</f>
        <v>Hold</v>
      </c>
      <c r="N404" s="43" t="s">
        <v>90</v>
      </c>
      <c r="O404" s="43" t="s">
        <v>91</v>
      </c>
      <c r="P404" s="43" t="s">
        <v>92</v>
      </c>
      <c r="Q404" s="17" t="s">
        <v>93</v>
      </c>
      <c r="R404" s="45"/>
      <c r="S404" s="43"/>
      <c r="T404" s="43" t="s">
        <v>31</v>
      </c>
      <c r="U404" s="43" t="s">
        <v>94</v>
      </c>
      <c r="V404" s="43" t="s">
        <v>94</v>
      </c>
      <c r="W404" s="43" t="s">
        <v>95</v>
      </c>
      <c r="X404" s="45" t="str">
        <f>IF(AND(R404&lt;&gt;"",OR(U404="No reply",U404="Unknown")),R404+2,"")</f>
        <v/>
      </c>
      <c r="Y404" s="45"/>
      <c r="Z404" s="43" t="s">
        <v>96</v>
      </c>
      <c r="AA404" s="43" t="str">
        <f>IF(L404="Hold","Do not send",IF(T404="Not sent","Send WhatsApp",IF(U404="Demo booked","Prepare demo",IF(W404="Booked","Prepare demo",IF(AND(X404&lt;&gt;"",Y404=""),"Send follow-up","Review")))))</f>
        <v>Do not send</v>
      </c>
      <c r="AB404" s="43"/>
      <c r="AC404" s="43" t="s">
        <v>733</v>
      </c>
      <c r="AD404" s="43">
        <f>IF(AA404="Prepare demo",1,IF(AA404="Send follow-up",2,IF(AA404="Send WhatsApp",3,IF(AA404="Review",4,IF(AA404="Do not send",9,5)))))</f>
        <v>9</v>
      </c>
      <c r="AE404" s="43">
        <f>IF(M404="High",1,IF(M404="Medium",2,IF(M404="Normal",3,IF(M404="Hold",9,4))))</f>
        <v>9</v>
      </c>
      <c r="AF404" s="43">
        <f>IF(T404="Read",1,IF(T404="Delivered",2,IF(T404="Sent",3,IF(T404="Not sent",4,IF(T404="Failed",9,5)))))</f>
        <v>4</v>
      </c>
      <c r="AG404" s="43">
        <f>IF(U404="Demo booked",1,IF(U404="Interested",2,IF(U404="Replied",3,IF(U404="No reply",5,IF(U404="Not interested",8,IF(U404="Bad number",9,6))))))</f>
        <v>6</v>
      </c>
      <c r="AH404" s="46">
        <f>AD404*1000+AN404*100+AE404*10+AG404</f>
        <v>9596</v>
      </c>
      <c r="AI404" s="45">
        <f>MAX(IF(R404="",0,R404),IF(Y404="",0,Y404))</f>
        <v>0</v>
      </c>
      <c r="AJ404" s="43" t="str">
        <f ca="1">IF(AND(X404&lt;&gt;"",Y404="",X404&lt;TODAY()),"Overdue",IF(AND(X404&lt;&gt;"",Y404="",X404=TODAY()),"Due today",IF(Y404&lt;&gt;"","Follow-up sent","")))</f>
        <v/>
      </c>
      <c r="AK404" s="50" t="s">
        <v>734</v>
      </c>
      <c r="AL404" s="50" t="s">
        <v>735</v>
      </c>
      <c r="AM404" s="50" t="s">
        <v>736</v>
      </c>
      <c r="AN404" s="50">
        <v>5</v>
      </c>
      <c r="AO404" s="54" t="s">
        <v>1619</v>
      </c>
      <c r="AP404" s="57" t="s">
        <v>127</v>
      </c>
      <c r="AQ404" s="58"/>
      <c r="AR404" s="57"/>
    </row>
    <row r="405" spans="1:44" ht="54" customHeight="1" x14ac:dyDescent="0.25">
      <c r="A405" s="43" t="s">
        <v>1620</v>
      </c>
      <c r="B405" s="43" t="s">
        <v>790</v>
      </c>
      <c r="C405" s="43"/>
      <c r="D405" s="44" t="s">
        <v>1621</v>
      </c>
      <c r="E405" s="43"/>
      <c r="F405" s="43" t="s">
        <v>729</v>
      </c>
      <c r="G405" s="45"/>
      <c r="H405" s="45">
        <v>46161</v>
      </c>
      <c r="I405" s="43" t="s">
        <v>730</v>
      </c>
      <c r="J405" s="43" t="s">
        <v>731</v>
      </c>
      <c r="K405" s="43" t="str">
        <f>IF(LEN(D405)=10,"OK","Check")</f>
        <v>OK</v>
      </c>
      <c r="L405" s="43" t="s">
        <v>732</v>
      </c>
      <c r="M405" s="43" t="str">
        <f>IF(L405="Hold","Hold",IF(IFERROR(E405,0)&gt;=200,"High",IF(IFERROR(E405,0)&gt;=100,"Medium","Normal")))</f>
        <v>Hold</v>
      </c>
      <c r="N405" s="43" t="s">
        <v>90</v>
      </c>
      <c r="O405" s="43" t="s">
        <v>91</v>
      </c>
      <c r="P405" s="43" t="s">
        <v>92</v>
      </c>
      <c r="Q405" s="17" t="s">
        <v>93</v>
      </c>
      <c r="R405" s="45"/>
      <c r="S405" s="43"/>
      <c r="T405" s="43" t="s">
        <v>31</v>
      </c>
      <c r="U405" s="43" t="s">
        <v>94</v>
      </c>
      <c r="V405" s="43" t="s">
        <v>94</v>
      </c>
      <c r="W405" s="43" t="s">
        <v>95</v>
      </c>
      <c r="X405" s="45" t="str">
        <f>IF(AND(R405&lt;&gt;"",OR(U405="No reply",U405="Unknown")),R405+2,"")</f>
        <v/>
      </c>
      <c r="Y405" s="45"/>
      <c r="Z405" s="43" t="s">
        <v>96</v>
      </c>
      <c r="AA405" s="43" t="str">
        <f>IF(L405="Hold","Do not send",IF(T405="Not sent","Send WhatsApp",IF(U405="Demo booked","Prepare demo",IF(W405="Booked","Prepare demo",IF(AND(X405&lt;&gt;"",Y405=""),"Send follow-up","Review")))))</f>
        <v>Do not send</v>
      </c>
      <c r="AB405" s="43"/>
      <c r="AC405" s="43" t="s">
        <v>733</v>
      </c>
      <c r="AD405" s="43">
        <f>IF(AA405="Prepare demo",1,IF(AA405="Send follow-up",2,IF(AA405="Send WhatsApp",3,IF(AA405="Review",4,IF(AA405="Do not send",9,5)))))</f>
        <v>9</v>
      </c>
      <c r="AE405" s="43">
        <f>IF(M405="High",1,IF(M405="Medium",2,IF(M405="Normal",3,IF(M405="Hold",9,4))))</f>
        <v>9</v>
      </c>
      <c r="AF405" s="43">
        <f>IF(T405="Read",1,IF(T405="Delivered",2,IF(T405="Sent",3,IF(T405="Not sent",4,IF(T405="Failed",9,5)))))</f>
        <v>4</v>
      </c>
      <c r="AG405" s="43">
        <f>IF(U405="Demo booked",1,IF(U405="Interested",2,IF(U405="Replied",3,IF(U405="No reply",5,IF(U405="Not interested",8,IF(U405="Bad number",9,6))))))</f>
        <v>6</v>
      </c>
      <c r="AH405" s="46">
        <f>AD405*1000+AN405*100+AE405*10+AG405</f>
        <v>9596</v>
      </c>
      <c r="AI405" s="45">
        <f>MAX(IF(R405="",0,R405),IF(Y405="",0,Y405))</f>
        <v>0</v>
      </c>
      <c r="AJ405" s="43" t="str">
        <f ca="1">IF(AND(X405&lt;&gt;"",Y405="",X405&lt;TODAY()),"Overdue",IF(AND(X405&lt;&gt;"",Y405="",X405=TODAY()),"Due today",IF(Y405&lt;&gt;"","Follow-up sent","")))</f>
        <v/>
      </c>
      <c r="AK405" s="50" t="s">
        <v>734</v>
      </c>
      <c r="AL405" s="50" t="s">
        <v>735</v>
      </c>
      <c r="AM405" s="50" t="s">
        <v>736</v>
      </c>
      <c r="AN405" s="50">
        <v>5</v>
      </c>
      <c r="AO405" s="54" t="s">
        <v>1622</v>
      </c>
      <c r="AP405" s="57" t="s">
        <v>127</v>
      </c>
      <c r="AQ405" s="58"/>
      <c r="AR405" s="57"/>
    </row>
    <row r="406" spans="1:44" ht="54" customHeight="1" x14ac:dyDescent="0.25">
      <c r="A406" s="43" t="s">
        <v>1623</v>
      </c>
      <c r="B406" s="43" t="s">
        <v>790</v>
      </c>
      <c r="C406" s="43"/>
      <c r="D406" s="44" t="s">
        <v>1624</v>
      </c>
      <c r="E406" s="43"/>
      <c r="F406" s="43" t="s">
        <v>729</v>
      </c>
      <c r="G406" s="45"/>
      <c r="H406" s="45">
        <v>46161</v>
      </c>
      <c r="I406" s="43" t="s">
        <v>730</v>
      </c>
      <c r="J406" s="43" t="s">
        <v>731</v>
      </c>
      <c r="K406" s="43" t="str">
        <f>IF(LEN(D406)=10,"OK","Check")</f>
        <v>OK</v>
      </c>
      <c r="L406" s="43" t="s">
        <v>732</v>
      </c>
      <c r="M406" s="43" t="str">
        <f>IF(L406="Hold","Hold",IF(IFERROR(E406,0)&gt;=200,"High",IF(IFERROR(E406,0)&gt;=100,"Medium","Normal")))</f>
        <v>Hold</v>
      </c>
      <c r="N406" s="43" t="s">
        <v>90</v>
      </c>
      <c r="O406" s="43" t="s">
        <v>91</v>
      </c>
      <c r="P406" s="43" t="s">
        <v>92</v>
      </c>
      <c r="Q406" s="17" t="s">
        <v>93</v>
      </c>
      <c r="R406" s="45"/>
      <c r="S406" s="43"/>
      <c r="T406" s="43" t="s">
        <v>31</v>
      </c>
      <c r="U406" s="43" t="s">
        <v>94</v>
      </c>
      <c r="V406" s="43" t="s">
        <v>94</v>
      </c>
      <c r="W406" s="43" t="s">
        <v>95</v>
      </c>
      <c r="X406" s="45" t="str">
        <f>IF(AND(R406&lt;&gt;"",OR(U406="No reply",U406="Unknown")),R406+2,"")</f>
        <v/>
      </c>
      <c r="Y406" s="45"/>
      <c r="Z406" s="43" t="s">
        <v>96</v>
      </c>
      <c r="AA406" s="43" t="str">
        <f>IF(L406="Hold","Do not send",IF(T406="Not sent","Send WhatsApp",IF(U406="Demo booked","Prepare demo",IF(W406="Booked","Prepare demo",IF(AND(X406&lt;&gt;"",Y406=""),"Send follow-up","Review")))))</f>
        <v>Do not send</v>
      </c>
      <c r="AB406" s="43"/>
      <c r="AC406" s="43" t="s">
        <v>733</v>
      </c>
      <c r="AD406" s="43">
        <f>IF(AA406="Prepare demo",1,IF(AA406="Send follow-up",2,IF(AA406="Send WhatsApp",3,IF(AA406="Review",4,IF(AA406="Do not send",9,5)))))</f>
        <v>9</v>
      </c>
      <c r="AE406" s="43">
        <f>IF(M406="High",1,IF(M406="Medium",2,IF(M406="Normal",3,IF(M406="Hold",9,4))))</f>
        <v>9</v>
      </c>
      <c r="AF406" s="43">
        <f>IF(T406="Read",1,IF(T406="Delivered",2,IF(T406="Sent",3,IF(T406="Not sent",4,IF(T406="Failed",9,5)))))</f>
        <v>4</v>
      </c>
      <c r="AG406" s="43">
        <f>IF(U406="Demo booked",1,IF(U406="Interested",2,IF(U406="Replied",3,IF(U406="No reply",5,IF(U406="Not interested",8,IF(U406="Bad number",9,6))))))</f>
        <v>6</v>
      </c>
      <c r="AH406" s="46">
        <f>AD406*1000+AN406*100+AE406*10+AG406</f>
        <v>9596</v>
      </c>
      <c r="AI406" s="45">
        <f>MAX(IF(R406="",0,R406),IF(Y406="",0,Y406))</f>
        <v>0</v>
      </c>
      <c r="AJ406" s="43" t="str">
        <f ca="1">IF(AND(X406&lt;&gt;"",Y406="",X406&lt;TODAY()),"Overdue",IF(AND(X406&lt;&gt;"",Y406="",X406=TODAY()),"Due today",IF(Y406&lt;&gt;"","Follow-up sent","")))</f>
        <v/>
      </c>
      <c r="AK406" s="50" t="s">
        <v>734</v>
      </c>
      <c r="AL406" s="50" t="s">
        <v>735</v>
      </c>
      <c r="AM406" s="50" t="s">
        <v>736</v>
      </c>
      <c r="AN406" s="50">
        <v>5</v>
      </c>
      <c r="AO406" s="54" t="s">
        <v>1625</v>
      </c>
      <c r="AP406" s="57" t="s">
        <v>127</v>
      </c>
      <c r="AQ406" s="58"/>
      <c r="AR406" s="57"/>
    </row>
    <row r="407" spans="1:44" ht="54" customHeight="1" x14ac:dyDescent="0.25">
      <c r="A407" s="43" t="s">
        <v>1626</v>
      </c>
      <c r="B407" s="43" t="s">
        <v>790</v>
      </c>
      <c r="C407" s="43"/>
      <c r="D407" s="44" t="s">
        <v>1627</v>
      </c>
      <c r="E407" s="43"/>
      <c r="F407" s="43" t="s">
        <v>729</v>
      </c>
      <c r="G407" s="45"/>
      <c r="H407" s="45">
        <v>46161</v>
      </c>
      <c r="I407" s="43" t="s">
        <v>730</v>
      </c>
      <c r="J407" s="43" t="s">
        <v>731</v>
      </c>
      <c r="K407" s="43" t="str">
        <f>IF(LEN(D407)=10,"OK","Check")</f>
        <v>OK</v>
      </c>
      <c r="L407" s="43" t="s">
        <v>732</v>
      </c>
      <c r="M407" s="43" t="str">
        <f>IF(L407="Hold","Hold",IF(IFERROR(E407,0)&gt;=200,"High",IF(IFERROR(E407,0)&gt;=100,"Medium","Normal")))</f>
        <v>Hold</v>
      </c>
      <c r="N407" s="43" t="s">
        <v>90</v>
      </c>
      <c r="O407" s="43" t="s">
        <v>91</v>
      </c>
      <c r="P407" s="43" t="s">
        <v>92</v>
      </c>
      <c r="Q407" s="17" t="s">
        <v>93</v>
      </c>
      <c r="R407" s="45"/>
      <c r="S407" s="43"/>
      <c r="T407" s="43" t="s">
        <v>31</v>
      </c>
      <c r="U407" s="43" t="s">
        <v>94</v>
      </c>
      <c r="V407" s="43" t="s">
        <v>94</v>
      </c>
      <c r="W407" s="43" t="s">
        <v>95</v>
      </c>
      <c r="X407" s="45" t="str">
        <f>IF(AND(R407&lt;&gt;"",OR(U407="No reply",U407="Unknown")),R407+2,"")</f>
        <v/>
      </c>
      <c r="Y407" s="45"/>
      <c r="Z407" s="43" t="s">
        <v>96</v>
      </c>
      <c r="AA407" s="43" t="str">
        <f>IF(L407="Hold","Do not send",IF(T407="Not sent","Send WhatsApp",IF(U407="Demo booked","Prepare demo",IF(W407="Booked","Prepare demo",IF(AND(X407&lt;&gt;"",Y407=""),"Send follow-up","Review")))))</f>
        <v>Do not send</v>
      </c>
      <c r="AB407" s="43"/>
      <c r="AC407" s="43" t="s">
        <v>733</v>
      </c>
      <c r="AD407" s="43">
        <f>IF(AA407="Prepare demo",1,IF(AA407="Send follow-up",2,IF(AA407="Send WhatsApp",3,IF(AA407="Review",4,IF(AA407="Do not send",9,5)))))</f>
        <v>9</v>
      </c>
      <c r="AE407" s="43">
        <f>IF(M407="High",1,IF(M407="Medium",2,IF(M407="Normal",3,IF(M407="Hold",9,4))))</f>
        <v>9</v>
      </c>
      <c r="AF407" s="43">
        <f>IF(T407="Read",1,IF(T407="Delivered",2,IF(T407="Sent",3,IF(T407="Not sent",4,IF(T407="Failed",9,5)))))</f>
        <v>4</v>
      </c>
      <c r="AG407" s="43">
        <f>IF(U407="Demo booked",1,IF(U407="Interested",2,IF(U407="Replied",3,IF(U407="No reply",5,IF(U407="Not interested",8,IF(U407="Bad number",9,6))))))</f>
        <v>6</v>
      </c>
      <c r="AH407" s="46">
        <f>AD407*1000+AN407*100+AE407*10+AG407</f>
        <v>9596</v>
      </c>
      <c r="AI407" s="45">
        <f>MAX(IF(R407="",0,R407),IF(Y407="",0,Y407))</f>
        <v>0</v>
      </c>
      <c r="AJ407" s="43" t="str">
        <f ca="1">IF(AND(X407&lt;&gt;"",Y407="",X407&lt;TODAY()),"Overdue",IF(AND(X407&lt;&gt;"",Y407="",X407=TODAY()),"Due today",IF(Y407&lt;&gt;"","Follow-up sent","")))</f>
        <v/>
      </c>
      <c r="AK407" s="50" t="s">
        <v>734</v>
      </c>
      <c r="AL407" s="50" t="s">
        <v>735</v>
      </c>
      <c r="AM407" s="50" t="s">
        <v>736</v>
      </c>
      <c r="AN407" s="50">
        <v>5</v>
      </c>
      <c r="AO407" s="54" t="s">
        <v>1628</v>
      </c>
      <c r="AP407" s="57" t="s">
        <v>127</v>
      </c>
      <c r="AQ407" s="58"/>
      <c r="AR407" s="57"/>
    </row>
    <row r="408" spans="1:44" ht="54" customHeight="1" x14ac:dyDescent="0.25">
      <c r="A408" s="43" t="s">
        <v>1629</v>
      </c>
      <c r="B408" s="43" t="s">
        <v>790</v>
      </c>
      <c r="C408" s="43"/>
      <c r="D408" s="44" t="s">
        <v>1630</v>
      </c>
      <c r="E408" s="43"/>
      <c r="F408" s="43" t="s">
        <v>729</v>
      </c>
      <c r="G408" s="45"/>
      <c r="H408" s="45">
        <v>46161</v>
      </c>
      <c r="I408" s="43" t="s">
        <v>730</v>
      </c>
      <c r="J408" s="43" t="s">
        <v>731</v>
      </c>
      <c r="K408" s="43" t="str">
        <f>IF(LEN(D408)=10,"OK","Check")</f>
        <v>OK</v>
      </c>
      <c r="L408" s="43" t="s">
        <v>732</v>
      </c>
      <c r="M408" s="43" t="str">
        <f>IF(L408="Hold","Hold",IF(IFERROR(E408,0)&gt;=200,"High",IF(IFERROR(E408,0)&gt;=100,"Medium","Normal")))</f>
        <v>Hold</v>
      </c>
      <c r="N408" s="43" t="s">
        <v>90</v>
      </c>
      <c r="O408" s="43" t="s">
        <v>91</v>
      </c>
      <c r="P408" s="43" t="s">
        <v>92</v>
      </c>
      <c r="Q408" s="17" t="s">
        <v>93</v>
      </c>
      <c r="R408" s="45"/>
      <c r="S408" s="43"/>
      <c r="T408" s="43" t="s">
        <v>31</v>
      </c>
      <c r="U408" s="43" t="s">
        <v>94</v>
      </c>
      <c r="V408" s="43" t="s">
        <v>94</v>
      </c>
      <c r="W408" s="43" t="s">
        <v>95</v>
      </c>
      <c r="X408" s="45" t="str">
        <f>IF(AND(R408&lt;&gt;"",OR(U408="No reply",U408="Unknown")),R408+2,"")</f>
        <v/>
      </c>
      <c r="Y408" s="45"/>
      <c r="Z408" s="43" t="s">
        <v>96</v>
      </c>
      <c r="AA408" s="43" t="str">
        <f>IF(L408="Hold","Do not send",IF(T408="Not sent","Send WhatsApp",IF(U408="Demo booked","Prepare demo",IF(W408="Booked","Prepare demo",IF(AND(X408&lt;&gt;"",Y408=""),"Send follow-up","Review")))))</f>
        <v>Do not send</v>
      </c>
      <c r="AB408" s="43"/>
      <c r="AC408" s="43" t="s">
        <v>733</v>
      </c>
      <c r="AD408" s="43">
        <f>IF(AA408="Prepare demo",1,IF(AA408="Send follow-up",2,IF(AA408="Send WhatsApp",3,IF(AA408="Review",4,IF(AA408="Do not send",9,5)))))</f>
        <v>9</v>
      </c>
      <c r="AE408" s="43">
        <f>IF(M408="High",1,IF(M408="Medium",2,IF(M408="Normal",3,IF(M408="Hold",9,4))))</f>
        <v>9</v>
      </c>
      <c r="AF408" s="43">
        <f>IF(T408="Read",1,IF(T408="Delivered",2,IF(T408="Sent",3,IF(T408="Not sent",4,IF(T408="Failed",9,5)))))</f>
        <v>4</v>
      </c>
      <c r="AG408" s="43">
        <f>IF(U408="Demo booked",1,IF(U408="Interested",2,IF(U408="Replied",3,IF(U408="No reply",5,IF(U408="Not interested",8,IF(U408="Bad number",9,6))))))</f>
        <v>6</v>
      </c>
      <c r="AH408" s="46">
        <f>AD408*1000+AN408*100+AE408*10+AG408</f>
        <v>9596</v>
      </c>
      <c r="AI408" s="45">
        <f>MAX(IF(R408="",0,R408),IF(Y408="",0,Y408))</f>
        <v>0</v>
      </c>
      <c r="AJ408" s="43" t="str">
        <f ca="1">IF(AND(X408&lt;&gt;"",Y408="",X408&lt;TODAY()),"Overdue",IF(AND(X408&lt;&gt;"",Y408="",X408=TODAY()),"Due today",IF(Y408&lt;&gt;"","Follow-up sent","")))</f>
        <v/>
      </c>
      <c r="AK408" s="50" t="s">
        <v>734</v>
      </c>
      <c r="AL408" s="50" t="s">
        <v>735</v>
      </c>
      <c r="AM408" s="50" t="s">
        <v>736</v>
      </c>
      <c r="AN408" s="50">
        <v>5</v>
      </c>
      <c r="AO408" s="54" t="s">
        <v>1631</v>
      </c>
      <c r="AP408" s="57" t="s">
        <v>127</v>
      </c>
      <c r="AQ408" s="58"/>
      <c r="AR408" s="57"/>
    </row>
    <row r="409" spans="1:44" ht="54" customHeight="1" x14ac:dyDescent="0.25">
      <c r="A409" s="43" t="s">
        <v>1632</v>
      </c>
      <c r="B409" s="43" t="s">
        <v>790</v>
      </c>
      <c r="C409" s="43"/>
      <c r="D409" s="44" t="s">
        <v>1633</v>
      </c>
      <c r="E409" s="43"/>
      <c r="F409" s="43" t="s">
        <v>729</v>
      </c>
      <c r="G409" s="45"/>
      <c r="H409" s="45">
        <v>46161</v>
      </c>
      <c r="I409" s="43" t="s">
        <v>730</v>
      </c>
      <c r="J409" s="43" t="s">
        <v>731</v>
      </c>
      <c r="K409" s="43" t="str">
        <f>IF(LEN(D409)=10,"OK","Check")</f>
        <v>OK</v>
      </c>
      <c r="L409" s="43" t="s">
        <v>732</v>
      </c>
      <c r="M409" s="43" t="str">
        <f>IF(L409="Hold","Hold",IF(IFERROR(E409,0)&gt;=200,"High",IF(IFERROR(E409,0)&gt;=100,"Medium","Normal")))</f>
        <v>Hold</v>
      </c>
      <c r="N409" s="43" t="s">
        <v>90</v>
      </c>
      <c r="O409" s="43" t="s">
        <v>91</v>
      </c>
      <c r="P409" s="43" t="s">
        <v>92</v>
      </c>
      <c r="Q409" s="17" t="s">
        <v>93</v>
      </c>
      <c r="R409" s="45"/>
      <c r="S409" s="43"/>
      <c r="T409" s="43" t="s">
        <v>31</v>
      </c>
      <c r="U409" s="43" t="s">
        <v>94</v>
      </c>
      <c r="V409" s="43" t="s">
        <v>94</v>
      </c>
      <c r="W409" s="43" t="s">
        <v>95</v>
      </c>
      <c r="X409" s="45" t="str">
        <f>IF(AND(R409&lt;&gt;"",OR(U409="No reply",U409="Unknown")),R409+2,"")</f>
        <v/>
      </c>
      <c r="Y409" s="45"/>
      <c r="Z409" s="43" t="s">
        <v>96</v>
      </c>
      <c r="AA409" s="43" t="str">
        <f>IF(L409="Hold","Do not send",IF(T409="Not sent","Send WhatsApp",IF(U409="Demo booked","Prepare demo",IF(W409="Booked","Prepare demo",IF(AND(X409&lt;&gt;"",Y409=""),"Send follow-up","Review")))))</f>
        <v>Do not send</v>
      </c>
      <c r="AB409" s="43"/>
      <c r="AC409" s="43" t="s">
        <v>733</v>
      </c>
      <c r="AD409" s="43">
        <f>IF(AA409="Prepare demo",1,IF(AA409="Send follow-up",2,IF(AA409="Send WhatsApp",3,IF(AA409="Review",4,IF(AA409="Do not send",9,5)))))</f>
        <v>9</v>
      </c>
      <c r="AE409" s="43">
        <f>IF(M409="High",1,IF(M409="Medium",2,IF(M409="Normal",3,IF(M409="Hold",9,4))))</f>
        <v>9</v>
      </c>
      <c r="AF409" s="43">
        <f>IF(T409="Read",1,IF(T409="Delivered",2,IF(T409="Sent",3,IF(T409="Not sent",4,IF(T409="Failed",9,5)))))</f>
        <v>4</v>
      </c>
      <c r="AG409" s="43">
        <f>IF(U409="Demo booked",1,IF(U409="Interested",2,IF(U409="Replied",3,IF(U409="No reply",5,IF(U409="Not interested",8,IF(U409="Bad number",9,6))))))</f>
        <v>6</v>
      </c>
      <c r="AH409" s="46">
        <f>AD409*1000+AN409*100+AE409*10+AG409</f>
        <v>9596</v>
      </c>
      <c r="AI409" s="45">
        <f>MAX(IF(R409="",0,R409),IF(Y409="",0,Y409))</f>
        <v>0</v>
      </c>
      <c r="AJ409" s="43" t="str">
        <f ca="1">IF(AND(X409&lt;&gt;"",Y409="",X409&lt;TODAY()),"Overdue",IF(AND(X409&lt;&gt;"",Y409="",X409=TODAY()),"Due today",IF(Y409&lt;&gt;"","Follow-up sent","")))</f>
        <v/>
      </c>
      <c r="AK409" s="50" t="s">
        <v>734</v>
      </c>
      <c r="AL409" s="50" t="s">
        <v>735</v>
      </c>
      <c r="AM409" s="50" t="s">
        <v>736</v>
      </c>
      <c r="AN409" s="50">
        <v>5</v>
      </c>
      <c r="AO409" s="54" t="s">
        <v>1634</v>
      </c>
      <c r="AP409" s="57" t="s">
        <v>127</v>
      </c>
      <c r="AQ409" s="58"/>
      <c r="AR409" s="57"/>
    </row>
    <row r="410" spans="1:44" ht="54" customHeight="1" x14ac:dyDescent="0.25">
      <c r="A410" s="43" t="s">
        <v>1635</v>
      </c>
      <c r="B410" s="43" t="s">
        <v>790</v>
      </c>
      <c r="C410" s="43"/>
      <c r="D410" s="44" t="s">
        <v>1636</v>
      </c>
      <c r="E410" s="43"/>
      <c r="F410" s="43" t="s">
        <v>729</v>
      </c>
      <c r="G410" s="45"/>
      <c r="H410" s="45">
        <v>46161</v>
      </c>
      <c r="I410" s="43" t="s">
        <v>730</v>
      </c>
      <c r="J410" s="43" t="s">
        <v>731</v>
      </c>
      <c r="K410" s="43" t="str">
        <f>IF(LEN(D410)=10,"OK","Check")</f>
        <v>OK</v>
      </c>
      <c r="L410" s="43" t="s">
        <v>732</v>
      </c>
      <c r="M410" s="43" t="str">
        <f>IF(L410="Hold","Hold",IF(IFERROR(E410,0)&gt;=200,"High",IF(IFERROR(E410,0)&gt;=100,"Medium","Normal")))</f>
        <v>Hold</v>
      </c>
      <c r="N410" s="43" t="s">
        <v>90</v>
      </c>
      <c r="O410" s="43" t="s">
        <v>91</v>
      </c>
      <c r="P410" s="43" t="s">
        <v>92</v>
      </c>
      <c r="Q410" s="17" t="s">
        <v>93</v>
      </c>
      <c r="R410" s="45"/>
      <c r="S410" s="43"/>
      <c r="T410" s="43" t="s">
        <v>31</v>
      </c>
      <c r="U410" s="43" t="s">
        <v>94</v>
      </c>
      <c r="V410" s="43" t="s">
        <v>94</v>
      </c>
      <c r="W410" s="43" t="s">
        <v>95</v>
      </c>
      <c r="X410" s="45" t="str">
        <f>IF(AND(R410&lt;&gt;"",OR(U410="No reply",U410="Unknown")),R410+2,"")</f>
        <v/>
      </c>
      <c r="Y410" s="45"/>
      <c r="Z410" s="43" t="s">
        <v>96</v>
      </c>
      <c r="AA410" s="43" t="str">
        <f>IF(L410="Hold","Do not send",IF(T410="Not sent","Send WhatsApp",IF(U410="Demo booked","Prepare demo",IF(W410="Booked","Prepare demo",IF(AND(X410&lt;&gt;"",Y410=""),"Send follow-up","Review")))))</f>
        <v>Do not send</v>
      </c>
      <c r="AB410" s="43"/>
      <c r="AC410" s="43" t="s">
        <v>733</v>
      </c>
      <c r="AD410" s="43">
        <f>IF(AA410="Prepare demo",1,IF(AA410="Send follow-up",2,IF(AA410="Send WhatsApp",3,IF(AA410="Review",4,IF(AA410="Do not send",9,5)))))</f>
        <v>9</v>
      </c>
      <c r="AE410" s="43">
        <f>IF(M410="High",1,IF(M410="Medium",2,IF(M410="Normal",3,IF(M410="Hold",9,4))))</f>
        <v>9</v>
      </c>
      <c r="AF410" s="43">
        <f>IF(T410="Read",1,IF(T410="Delivered",2,IF(T410="Sent",3,IF(T410="Not sent",4,IF(T410="Failed",9,5)))))</f>
        <v>4</v>
      </c>
      <c r="AG410" s="43">
        <f>IF(U410="Demo booked",1,IF(U410="Interested",2,IF(U410="Replied",3,IF(U410="No reply",5,IF(U410="Not interested",8,IF(U410="Bad number",9,6))))))</f>
        <v>6</v>
      </c>
      <c r="AH410" s="46">
        <f>AD410*1000+AN410*100+AE410*10+AG410</f>
        <v>9596</v>
      </c>
      <c r="AI410" s="45">
        <f>MAX(IF(R410="",0,R410),IF(Y410="",0,Y410))</f>
        <v>0</v>
      </c>
      <c r="AJ410" s="43" t="str">
        <f ca="1">IF(AND(X410&lt;&gt;"",Y410="",X410&lt;TODAY()),"Overdue",IF(AND(X410&lt;&gt;"",Y410="",X410=TODAY()),"Due today",IF(Y410&lt;&gt;"","Follow-up sent","")))</f>
        <v/>
      </c>
      <c r="AK410" s="50" t="s">
        <v>734</v>
      </c>
      <c r="AL410" s="50" t="s">
        <v>735</v>
      </c>
      <c r="AM410" s="50" t="s">
        <v>736</v>
      </c>
      <c r="AN410" s="50">
        <v>5</v>
      </c>
      <c r="AO410" s="54" t="s">
        <v>1637</v>
      </c>
      <c r="AP410" s="57" t="s">
        <v>127</v>
      </c>
      <c r="AQ410" s="58"/>
      <c r="AR410" s="57"/>
    </row>
    <row r="411" spans="1:44" ht="54" customHeight="1" x14ac:dyDescent="0.25">
      <c r="A411" s="43" t="s">
        <v>1638</v>
      </c>
      <c r="B411" s="43" t="s">
        <v>790</v>
      </c>
      <c r="C411" s="43"/>
      <c r="D411" s="44" t="s">
        <v>1639</v>
      </c>
      <c r="E411" s="43"/>
      <c r="F411" s="43" t="s">
        <v>729</v>
      </c>
      <c r="G411" s="45"/>
      <c r="H411" s="45">
        <v>46161</v>
      </c>
      <c r="I411" s="43" t="s">
        <v>730</v>
      </c>
      <c r="J411" s="43" t="s">
        <v>731</v>
      </c>
      <c r="K411" s="43" t="str">
        <f>IF(LEN(D411)=10,"OK","Check")</f>
        <v>OK</v>
      </c>
      <c r="L411" s="43" t="s">
        <v>732</v>
      </c>
      <c r="M411" s="43" t="str">
        <f>IF(L411="Hold","Hold",IF(IFERROR(E411,0)&gt;=200,"High",IF(IFERROR(E411,0)&gt;=100,"Medium","Normal")))</f>
        <v>Hold</v>
      </c>
      <c r="N411" s="43" t="s">
        <v>90</v>
      </c>
      <c r="O411" s="43" t="s">
        <v>91</v>
      </c>
      <c r="P411" s="43" t="s">
        <v>92</v>
      </c>
      <c r="Q411" s="17" t="s">
        <v>93</v>
      </c>
      <c r="R411" s="45"/>
      <c r="S411" s="43"/>
      <c r="T411" s="43" t="s">
        <v>31</v>
      </c>
      <c r="U411" s="43" t="s">
        <v>94</v>
      </c>
      <c r="V411" s="43" t="s">
        <v>94</v>
      </c>
      <c r="W411" s="43" t="s">
        <v>95</v>
      </c>
      <c r="X411" s="45" t="str">
        <f>IF(AND(R411&lt;&gt;"",OR(U411="No reply",U411="Unknown")),R411+2,"")</f>
        <v/>
      </c>
      <c r="Y411" s="45"/>
      <c r="Z411" s="43" t="s">
        <v>96</v>
      </c>
      <c r="AA411" s="43" t="str">
        <f>IF(L411="Hold","Do not send",IF(T411="Not sent","Send WhatsApp",IF(U411="Demo booked","Prepare demo",IF(W411="Booked","Prepare demo",IF(AND(X411&lt;&gt;"",Y411=""),"Send follow-up","Review")))))</f>
        <v>Do not send</v>
      </c>
      <c r="AB411" s="43"/>
      <c r="AC411" s="43" t="s">
        <v>733</v>
      </c>
      <c r="AD411" s="43">
        <f>IF(AA411="Prepare demo",1,IF(AA411="Send follow-up",2,IF(AA411="Send WhatsApp",3,IF(AA411="Review",4,IF(AA411="Do not send",9,5)))))</f>
        <v>9</v>
      </c>
      <c r="AE411" s="43">
        <f>IF(M411="High",1,IF(M411="Medium",2,IF(M411="Normal",3,IF(M411="Hold",9,4))))</f>
        <v>9</v>
      </c>
      <c r="AF411" s="43">
        <f>IF(T411="Read",1,IF(T411="Delivered",2,IF(T411="Sent",3,IF(T411="Not sent",4,IF(T411="Failed",9,5)))))</f>
        <v>4</v>
      </c>
      <c r="AG411" s="43">
        <f>IF(U411="Demo booked",1,IF(U411="Interested",2,IF(U411="Replied",3,IF(U411="No reply",5,IF(U411="Not interested",8,IF(U411="Bad number",9,6))))))</f>
        <v>6</v>
      </c>
      <c r="AH411" s="46">
        <f>AD411*1000+AN411*100+AE411*10+AG411</f>
        <v>9596</v>
      </c>
      <c r="AI411" s="45">
        <f>MAX(IF(R411="",0,R411),IF(Y411="",0,Y411))</f>
        <v>0</v>
      </c>
      <c r="AJ411" s="43" t="str">
        <f ca="1">IF(AND(X411&lt;&gt;"",Y411="",X411&lt;TODAY()),"Overdue",IF(AND(X411&lt;&gt;"",Y411="",X411=TODAY()),"Due today",IF(Y411&lt;&gt;"","Follow-up sent","")))</f>
        <v/>
      </c>
      <c r="AK411" s="50" t="s">
        <v>734</v>
      </c>
      <c r="AL411" s="50" t="s">
        <v>735</v>
      </c>
      <c r="AM411" s="50" t="s">
        <v>736</v>
      </c>
      <c r="AN411" s="50">
        <v>5</v>
      </c>
      <c r="AO411" s="54" t="s">
        <v>1640</v>
      </c>
      <c r="AP411" s="57" t="s">
        <v>127</v>
      </c>
      <c r="AQ411" s="58"/>
      <c r="AR411" s="57"/>
    </row>
    <row r="412" spans="1:44" ht="54" customHeight="1" x14ac:dyDescent="0.25">
      <c r="A412" s="43" t="s">
        <v>1641</v>
      </c>
      <c r="B412" s="43" t="s">
        <v>790</v>
      </c>
      <c r="C412" s="43"/>
      <c r="D412" s="44" t="s">
        <v>1642</v>
      </c>
      <c r="E412" s="43"/>
      <c r="F412" s="43" t="s">
        <v>729</v>
      </c>
      <c r="G412" s="45"/>
      <c r="H412" s="45">
        <v>46161</v>
      </c>
      <c r="I412" s="43" t="s">
        <v>730</v>
      </c>
      <c r="J412" s="43" t="s">
        <v>731</v>
      </c>
      <c r="K412" s="43" t="str">
        <f>IF(LEN(D412)=10,"OK","Check")</f>
        <v>OK</v>
      </c>
      <c r="L412" s="43" t="s">
        <v>732</v>
      </c>
      <c r="M412" s="43" t="str">
        <f>IF(L412="Hold","Hold",IF(IFERROR(E412,0)&gt;=200,"High",IF(IFERROR(E412,0)&gt;=100,"Medium","Normal")))</f>
        <v>Hold</v>
      </c>
      <c r="N412" s="43" t="s">
        <v>90</v>
      </c>
      <c r="O412" s="43" t="s">
        <v>91</v>
      </c>
      <c r="P412" s="43" t="s">
        <v>92</v>
      </c>
      <c r="Q412" s="17" t="s">
        <v>93</v>
      </c>
      <c r="R412" s="45"/>
      <c r="S412" s="43"/>
      <c r="T412" s="43" t="s">
        <v>31</v>
      </c>
      <c r="U412" s="43" t="s">
        <v>94</v>
      </c>
      <c r="V412" s="43" t="s">
        <v>94</v>
      </c>
      <c r="W412" s="43" t="s">
        <v>95</v>
      </c>
      <c r="X412" s="45" t="str">
        <f>IF(AND(R412&lt;&gt;"",OR(U412="No reply",U412="Unknown")),R412+2,"")</f>
        <v/>
      </c>
      <c r="Y412" s="45"/>
      <c r="Z412" s="43" t="s">
        <v>96</v>
      </c>
      <c r="AA412" s="43" t="str">
        <f>IF(L412="Hold","Do not send",IF(T412="Not sent","Send WhatsApp",IF(U412="Demo booked","Prepare demo",IF(W412="Booked","Prepare demo",IF(AND(X412&lt;&gt;"",Y412=""),"Send follow-up","Review")))))</f>
        <v>Do not send</v>
      </c>
      <c r="AB412" s="43"/>
      <c r="AC412" s="43" t="s">
        <v>733</v>
      </c>
      <c r="AD412" s="43">
        <f>IF(AA412="Prepare demo",1,IF(AA412="Send follow-up",2,IF(AA412="Send WhatsApp",3,IF(AA412="Review",4,IF(AA412="Do not send",9,5)))))</f>
        <v>9</v>
      </c>
      <c r="AE412" s="43">
        <f>IF(M412="High",1,IF(M412="Medium",2,IF(M412="Normal",3,IF(M412="Hold",9,4))))</f>
        <v>9</v>
      </c>
      <c r="AF412" s="43">
        <f>IF(T412="Read",1,IF(T412="Delivered",2,IF(T412="Sent",3,IF(T412="Not sent",4,IF(T412="Failed",9,5)))))</f>
        <v>4</v>
      </c>
      <c r="AG412" s="43">
        <f>IF(U412="Demo booked",1,IF(U412="Interested",2,IF(U412="Replied",3,IF(U412="No reply",5,IF(U412="Not interested",8,IF(U412="Bad number",9,6))))))</f>
        <v>6</v>
      </c>
      <c r="AH412" s="46">
        <f>AD412*1000+AN412*100+AE412*10+AG412</f>
        <v>9596</v>
      </c>
      <c r="AI412" s="45">
        <f>MAX(IF(R412="",0,R412),IF(Y412="",0,Y412))</f>
        <v>0</v>
      </c>
      <c r="AJ412" s="43" t="str">
        <f ca="1">IF(AND(X412&lt;&gt;"",Y412="",X412&lt;TODAY()),"Overdue",IF(AND(X412&lt;&gt;"",Y412="",X412=TODAY()),"Due today",IF(Y412&lt;&gt;"","Follow-up sent","")))</f>
        <v/>
      </c>
      <c r="AK412" s="50" t="s">
        <v>734</v>
      </c>
      <c r="AL412" s="50" t="s">
        <v>735</v>
      </c>
      <c r="AM412" s="50" t="s">
        <v>736</v>
      </c>
      <c r="AN412" s="50">
        <v>5</v>
      </c>
      <c r="AO412" s="54" t="s">
        <v>1643</v>
      </c>
      <c r="AP412" s="57" t="s">
        <v>127</v>
      </c>
      <c r="AQ412" s="58"/>
      <c r="AR412" s="57"/>
    </row>
    <row r="413" spans="1:44" ht="54" customHeight="1" x14ac:dyDescent="0.25">
      <c r="A413" s="43" t="s">
        <v>1644</v>
      </c>
      <c r="B413" s="43" t="s">
        <v>790</v>
      </c>
      <c r="C413" s="43"/>
      <c r="D413" s="44" t="s">
        <v>1645</v>
      </c>
      <c r="E413" s="43"/>
      <c r="F413" s="43" t="s">
        <v>729</v>
      </c>
      <c r="G413" s="45"/>
      <c r="H413" s="45">
        <v>46161</v>
      </c>
      <c r="I413" s="43" t="s">
        <v>730</v>
      </c>
      <c r="J413" s="43" t="s">
        <v>731</v>
      </c>
      <c r="K413" s="43" t="str">
        <f>IF(LEN(D413)=10,"OK","Check")</f>
        <v>OK</v>
      </c>
      <c r="L413" s="43" t="s">
        <v>732</v>
      </c>
      <c r="M413" s="43" t="str">
        <f>IF(L413="Hold","Hold",IF(IFERROR(E413,0)&gt;=200,"High",IF(IFERROR(E413,0)&gt;=100,"Medium","Normal")))</f>
        <v>Hold</v>
      </c>
      <c r="N413" s="43" t="s">
        <v>90</v>
      </c>
      <c r="O413" s="43" t="s">
        <v>91</v>
      </c>
      <c r="P413" s="43" t="s">
        <v>92</v>
      </c>
      <c r="Q413" s="17" t="s">
        <v>93</v>
      </c>
      <c r="R413" s="45"/>
      <c r="S413" s="43"/>
      <c r="T413" s="43" t="s">
        <v>31</v>
      </c>
      <c r="U413" s="43" t="s">
        <v>94</v>
      </c>
      <c r="V413" s="43" t="s">
        <v>94</v>
      </c>
      <c r="W413" s="43" t="s">
        <v>95</v>
      </c>
      <c r="X413" s="45" t="str">
        <f>IF(AND(R413&lt;&gt;"",OR(U413="No reply",U413="Unknown")),R413+2,"")</f>
        <v/>
      </c>
      <c r="Y413" s="45"/>
      <c r="Z413" s="43" t="s">
        <v>96</v>
      </c>
      <c r="AA413" s="43" t="str">
        <f>IF(L413="Hold","Do not send",IF(T413="Not sent","Send WhatsApp",IF(U413="Demo booked","Prepare demo",IF(W413="Booked","Prepare demo",IF(AND(X413&lt;&gt;"",Y413=""),"Send follow-up","Review")))))</f>
        <v>Do not send</v>
      </c>
      <c r="AB413" s="43"/>
      <c r="AC413" s="43" t="s">
        <v>733</v>
      </c>
      <c r="AD413" s="43">
        <f>IF(AA413="Prepare demo",1,IF(AA413="Send follow-up",2,IF(AA413="Send WhatsApp",3,IF(AA413="Review",4,IF(AA413="Do not send",9,5)))))</f>
        <v>9</v>
      </c>
      <c r="AE413" s="43">
        <f>IF(M413="High",1,IF(M413="Medium",2,IF(M413="Normal",3,IF(M413="Hold",9,4))))</f>
        <v>9</v>
      </c>
      <c r="AF413" s="43">
        <f>IF(T413="Read",1,IF(T413="Delivered",2,IF(T413="Sent",3,IF(T413="Not sent",4,IF(T413="Failed",9,5)))))</f>
        <v>4</v>
      </c>
      <c r="AG413" s="43">
        <f>IF(U413="Demo booked",1,IF(U413="Interested",2,IF(U413="Replied",3,IF(U413="No reply",5,IF(U413="Not interested",8,IF(U413="Bad number",9,6))))))</f>
        <v>6</v>
      </c>
      <c r="AH413" s="46">
        <f>AD413*1000+AN413*100+AE413*10+AG413</f>
        <v>9596</v>
      </c>
      <c r="AI413" s="45">
        <f>MAX(IF(R413="",0,R413),IF(Y413="",0,Y413))</f>
        <v>0</v>
      </c>
      <c r="AJ413" s="43" t="str">
        <f ca="1">IF(AND(X413&lt;&gt;"",Y413="",X413&lt;TODAY()),"Overdue",IF(AND(X413&lt;&gt;"",Y413="",X413=TODAY()),"Due today",IF(Y413&lt;&gt;"","Follow-up sent","")))</f>
        <v/>
      </c>
      <c r="AK413" s="50" t="s">
        <v>734</v>
      </c>
      <c r="AL413" s="50" t="s">
        <v>735</v>
      </c>
      <c r="AM413" s="50" t="s">
        <v>736</v>
      </c>
      <c r="AN413" s="50">
        <v>5</v>
      </c>
      <c r="AO413" s="54" t="s">
        <v>1646</v>
      </c>
      <c r="AP413" s="57" t="s">
        <v>127</v>
      </c>
      <c r="AQ413" s="58"/>
      <c r="AR413" s="57"/>
    </row>
    <row r="414" spans="1:44" ht="54" customHeight="1" x14ac:dyDescent="0.25">
      <c r="A414" s="43" t="s">
        <v>1647</v>
      </c>
      <c r="B414" s="43" t="s">
        <v>790</v>
      </c>
      <c r="C414" s="43"/>
      <c r="D414" s="44" t="s">
        <v>1648</v>
      </c>
      <c r="E414" s="43"/>
      <c r="F414" s="43" t="s">
        <v>729</v>
      </c>
      <c r="G414" s="45"/>
      <c r="H414" s="45">
        <v>46161</v>
      </c>
      <c r="I414" s="43" t="s">
        <v>730</v>
      </c>
      <c r="J414" s="43" t="s">
        <v>731</v>
      </c>
      <c r="K414" s="43" t="str">
        <f>IF(LEN(D414)=10,"OK","Check")</f>
        <v>OK</v>
      </c>
      <c r="L414" s="43" t="s">
        <v>732</v>
      </c>
      <c r="M414" s="43" t="str">
        <f>IF(L414="Hold","Hold",IF(IFERROR(E414,0)&gt;=200,"High",IF(IFERROR(E414,0)&gt;=100,"Medium","Normal")))</f>
        <v>Hold</v>
      </c>
      <c r="N414" s="43" t="s">
        <v>90</v>
      </c>
      <c r="O414" s="43" t="s">
        <v>91</v>
      </c>
      <c r="P414" s="43" t="s">
        <v>92</v>
      </c>
      <c r="Q414" s="17" t="s">
        <v>93</v>
      </c>
      <c r="R414" s="45"/>
      <c r="S414" s="43"/>
      <c r="T414" s="43" t="s">
        <v>31</v>
      </c>
      <c r="U414" s="43" t="s">
        <v>94</v>
      </c>
      <c r="V414" s="43" t="s">
        <v>94</v>
      </c>
      <c r="W414" s="43" t="s">
        <v>95</v>
      </c>
      <c r="X414" s="45" t="str">
        <f>IF(AND(R414&lt;&gt;"",OR(U414="No reply",U414="Unknown")),R414+2,"")</f>
        <v/>
      </c>
      <c r="Y414" s="45"/>
      <c r="Z414" s="43" t="s">
        <v>96</v>
      </c>
      <c r="AA414" s="43" t="str">
        <f>IF(L414="Hold","Do not send",IF(T414="Not sent","Send WhatsApp",IF(U414="Demo booked","Prepare demo",IF(W414="Booked","Prepare demo",IF(AND(X414&lt;&gt;"",Y414=""),"Send follow-up","Review")))))</f>
        <v>Do not send</v>
      </c>
      <c r="AB414" s="43"/>
      <c r="AC414" s="43" t="s">
        <v>733</v>
      </c>
      <c r="AD414" s="43">
        <f>IF(AA414="Prepare demo",1,IF(AA414="Send follow-up",2,IF(AA414="Send WhatsApp",3,IF(AA414="Review",4,IF(AA414="Do not send",9,5)))))</f>
        <v>9</v>
      </c>
      <c r="AE414" s="43">
        <f>IF(M414="High",1,IF(M414="Medium",2,IF(M414="Normal",3,IF(M414="Hold",9,4))))</f>
        <v>9</v>
      </c>
      <c r="AF414" s="43">
        <f>IF(T414="Read",1,IF(T414="Delivered",2,IF(T414="Sent",3,IF(T414="Not sent",4,IF(T414="Failed",9,5)))))</f>
        <v>4</v>
      </c>
      <c r="AG414" s="43">
        <f>IF(U414="Demo booked",1,IF(U414="Interested",2,IF(U414="Replied",3,IF(U414="No reply",5,IF(U414="Not interested",8,IF(U414="Bad number",9,6))))))</f>
        <v>6</v>
      </c>
      <c r="AH414" s="46">
        <f>AD414*1000+AN414*100+AE414*10+AG414</f>
        <v>9596</v>
      </c>
      <c r="AI414" s="45">
        <f>MAX(IF(R414="",0,R414),IF(Y414="",0,Y414))</f>
        <v>0</v>
      </c>
      <c r="AJ414" s="43" t="str">
        <f ca="1">IF(AND(X414&lt;&gt;"",Y414="",X414&lt;TODAY()),"Overdue",IF(AND(X414&lt;&gt;"",Y414="",X414=TODAY()),"Due today",IF(Y414&lt;&gt;"","Follow-up sent","")))</f>
        <v/>
      </c>
      <c r="AK414" s="50" t="s">
        <v>734</v>
      </c>
      <c r="AL414" s="50" t="s">
        <v>735</v>
      </c>
      <c r="AM414" s="50" t="s">
        <v>736</v>
      </c>
      <c r="AN414" s="50">
        <v>5</v>
      </c>
      <c r="AO414" s="54" t="s">
        <v>1649</v>
      </c>
      <c r="AP414" s="57" t="s">
        <v>127</v>
      </c>
      <c r="AQ414" s="58"/>
      <c r="AR414" s="57"/>
    </row>
    <row r="415" spans="1:44" ht="54" customHeight="1" x14ac:dyDescent="0.25">
      <c r="A415" s="43" t="s">
        <v>1650</v>
      </c>
      <c r="B415" s="43" t="s">
        <v>790</v>
      </c>
      <c r="C415" s="43"/>
      <c r="D415" s="44" t="s">
        <v>1651</v>
      </c>
      <c r="E415" s="43"/>
      <c r="F415" s="43" t="s">
        <v>729</v>
      </c>
      <c r="G415" s="45"/>
      <c r="H415" s="45">
        <v>46161</v>
      </c>
      <c r="I415" s="43" t="s">
        <v>730</v>
      </c>
      <c r="J415" s="43" t="s">
        <v>731</v>
      </c>
      <c r="K415" s="43" t="str">
        <f>IF(LEN(D415)=10,"OK","Check")</f>
        <v>OK</v>
      </c>
      <c r="L415" s="43" t="s">
        <v>732</v>
      </c>
      <c r="M415" s="43" t="str">
        <f>IF(L415="Hold","Hold",IF(IFERROR(E415,0)&gt;=200,"High",IF(IFERROR(E415,0)&gt;=100,"Medium","Normal")))</f>
        <v>Hold</v>
      </c>
      <c r="N415" s="43" t="s">
        <v>90</v>
      </c>
      <c r="O415" s="43" t="s">
        <v>91</v>
      </c>
      <c r="P415" s="43" t="s">
        <v>92</v>
      </c>
      <c r="Q415" s="17" t="s">
        <v>93</v>
      </c>
      <c r="R415" s="45"/>
      <c r="S415" s="43"/>
      <c r="T415" s="43" t="s">
        <v>31</v>
      </c>
      <c r="U415" s="43" t="s">
        <v>94</v>
      </c>
      <c r="V415" s="43" t="s">
        <v>94</v>
      </c>
      <c r="W415" s="43" t="s">
        <v>95</v>
      </c>
      <c r="X415" s="45" t="str">
        <f>IF(AND(R415&lt;&gt;"",OR(U415="No reply",U415="Unknown")),R415+2,"")</f>
        <v/>
      </c>
      <c r="Y415" s="45"/>
      <c r="Z415" s="43" t="s">
        <v>96</v>
      </c>
      <c r="AA415" s="43" t="str">
        <f>IF(L415="Hold","Do not send",IF(T415="Not sent","Send WhatsApp",IF(U415="Demo booked","Prepare demo",IF(W415="Booked","Prepare demo",IF(AND(X415&lt;&gt;"",Y415=""),"Send follow-up","Review")))))</f>
        <v>Do not send</v>
      </c>
      <c r="AB415" s="43"/>
      <c r="AC415" s="43" t="s">
        <v>733</v>
      </c>
      <c r="AD415" s="43">
        <f>IF(AA415="Prepare demo",1,IF(AA415="Send follow-up",2,IF(AA415="Send WhatsApp",3,IF(AA415="Review",4,IF(AA415="Do not send",9,5)))))</f>
        <v>9</v>
      </c>
      <c r="AE415" s="43">
        <f>IF(M415="High",1,IF(M415="Medium",2,IF(M415="Normal",3,IF(M415="Hold",9,4))))</f>
        <v>9</v>
      </c>
      <c r="AF415" s="43">
        <f>IF(T415="Read",1,IF(T415="Delivered",2,IF(T415="Sent",3,IF(T415="Not sent",4,IF(T415="Failed",9,5)))))</f>
        <v>4</v>
      </c>
      <c r="AG415" s="43">
        <f>IF(U415="Demo booked",1,IF(U415="Interested",2,IF(U415="Replied",3,IF(U415="No reply",5,IF(U415="Not interested",8,IF(U415="Bad number",9,6))))))</f>
        <v>6</v>
      </c>
      <c r="AH415" s="46">
        <f>AD415*1000+AN415*100+AE415*10+AG415</f>
        <v>9596</v>
      </c>
      <c r="AI415" s="45">
        <f>MAX(IF(R415="",0,R415),IF(Y415="",0,Y415))</f>
        <v>0</v>
      </c>
      <c r="AJ415" s="43" t="str">
        <f ca="1">IF(AND(X415&lt;&gt;"",Y415="",X415&lt;TODAY()),"Overdue",IF(AND(X415&lt;&gt;"",Y415="",X415=TODAY()),"Due today",IF(Y415&lt;&gt;"","Follow-up sent","")))</f>
        <v/>
      </c>
      <c r="AK415" s="50" t="s">
        <v>734</v>
      </c>
      <c r="AL415" s="50" t="s">
        <v>735</v>
      </c>
      <c r="AM415" s="50" t="s">
        <v>736</v>
      </c>
      <c r="AN415" s="50">
        <v>5</v>
      </c>
      <c r="AO415" s="54" t="s">
        <v>1652</v>
      </c>
      <c r="AP415" s="57" t="s">
        <v>127</v>
      </c>
      <c r="AQ415" s="58"/>
      <c r="AR415" s="57"/>
    </row>
    <row r="416" spans="1:44" ht="54" customHeight="1" x14ac:dyDescent="0.25">
      <c r="A416" s="43" t="s">
        <v>1653</v>
      </c>
      <c r="B416" s="43" t="s">
        <v>790</v>
      </c>
      <c r="C416" s="43"/>
      <c r="D416" s="44" t="s">
        <v>1654</v>
      </c>
      <c r="E416" s="43"/>
      <c r="F416" s="43" t="s">
        <v>729</v>
      </c>
      <c r="G416" s="45"/>
      <c r="H416" s="45">
        <v>46161</v>
      </c>
      <c r="I416" s="43" t="s">
        <v>730</v>
      </c>
      <c r="J416" s="43" t="s">
        <v>731</v>
      </c>
      <c r="K416" s="43" t="str">
        <f>IF(LEN(D416)=10,"OK","Check")</f>
        <v>OK</v>
      </c>
      <c r="L416" s="43" t="s">
        <v>732</v>
      </c>
      <c r="M416" s="43" t="str">
        <f>IF(L416="Hold","Hold",IF(IFERROR(E416,0)&gt;=200,"High",IF(IFERROR(E416,0)&gt;=100,"Medium","Normal")))</f>
        <v>Hold</v>
      </c>
      <c r="N416" s="43" t="s">
        <v>90</v>
      </c>
      <c r="O416" s="43" t="s">
        <v>91</v>
      </c>
      <c r="P416" s="43" t="s">
        <v>92</v>
      </c>
      <c r="Q416" s="17" t="s">
        <v>93</v>
      </c>
      <c r="R416" s="45"/>
      <c r="S416" s="43"/>
      <c r="T416" s="43" t="s">
        <v>31</v>
      </c>
      <c r="U416" s="43" t="s">
        <v>94</v>
      </c>
      <c r="V416" s="43" t="s">
        <v>94</v>
      </c>
      <c r="W416" s="43" t="s">
        <v>95</v>
      </c>
      <c r="X416" s="45" t="str">
        <f>IF(AND(R416&lt;&gt;"",OR(U416="No reply",U416="Unknown")),R416+2,"")</f>
        <v/>
      </c>
      <c r="Y416" s="45"/>
      <c r="Z416" s="43" t="s">
        <v>96</v>
      </c>
      <c r="AA416" s="43" t="str">
        <f>IF(L416="Hold","Do not send",IF(T416="Not sent","Send WhatsApp",IF(U416="Demo booked","Prepare demo",IF(W416="Booked","Prepare demo",IF(AND(X416&lt;&gt;"",Y416=""),"Send follow-up","Review")))))</f>
        <v>Do not send</v>
      </c>
      <c r="AB416" s="43"/>
      <c r="AC416" s="43" t="s">
        <v>733</v>
      </c>
      <c r="AD416" s="43">
        <f>IF(AA416="Prepare demo",1,IF(AA416="Send follow-up",2,IF(AA416="Send WhatsApp",3,IF(AA416="Review",4,IF(AA416="Do not send",9,5)))))</f>
        <v>9</v>
      </c>
      <c r="AE416" s="43">
        <f>IF(M416="High",1,IF(M416="Medium",2,IF(M416="Normal",3,IF(M416="Hold",9,4))))</f>
        <v>9</v>
      </c>
      <c r="AF416" s="43">
        <f>IF(T416="Read",1,IF(T416="Delivered",2,IF(T416="Sent",3,IF(T416="Not sent",4,IF(T416="Failed",9,5)))))</f>
        <v>4</v>
      </c>
      <c r="AG416" s="43">
        <f>IF(U416="Demo booked",1,IF(U416="Interested",2,IF(U416="Replied",3,IF(U416="No reply",5,IF(U416="Not interested",8,IF(U416="Bad number",9,6))))))</f>
        <v>6</v>
      </c>
      <c r="AH416" s="46">
        <f>AD416*1000+AN416*100+AE416*10+AG416</f>
        <v>9596</v>
      </c>
      <c r="AI416" s="45">
        <f>MAX(IF(R416="",0,R416),IF(Y416="",0,Y416))</f>
        <v>0</v>
      </c>
      <c r="AJ416" s="43" t="str">
        <f ca="1">IF(AND(X416&lt;&gt;"",Y416="",X416&lt;TODAY()),"Overdue",IF(AND(X416&lt;&gt;"",Y416="",X416=TODAY()),"Due today",IF(Y416&lt;&gt;"","Follow-up sent","")))</f>
        <v/>
      </c>
      <c r="AK416" s="50" t="s">
        <v>734</v>
      </c>
      <c r="AL416" s="50" t="s">
        <v>735</v>
      </c>
      <c r="AM416" s="50" t="s">
        <v>736</v>
      </c>
      <c r="AN416" s="50">
        <v>5</v>
      </c>
      <c r="AO416" s="54" t="s">
        <v>1655</v>
      </c>
      <c r="AP416" s="57" t="s">
        <v>127</v>
      </c>
      <c r="AQ416" s="58"/>
      <c r="AR416" s="57"/>
    </row>
    <row r="417" spans="1:44" ht="54" customHeight="1" x14ac:dyDescent="0.25">
      <c r="A417" s="43" t="s">
        <v>1656</v>
      </c>
      <c r="B417" s="43" t="s">
        <v>790</v>
      </c>
      <c r="C417" s="43"/>
      <c r="D417" s="44" t="s">
        <v>1657</v>
      </c>
      <c r="E417" s="43"/>
      <c r="F417" s="43" t="s">
        <v>729</v>
      </c>
      <c r="G417" s="45"/>
      <c r="H417" s="45">
        <v>46161</v>
      </c>
      <c r="I417" s="43" t="s">
        <v>730</v>
      </c>
      <c r="J417" s="43" t="s">
        <v>731</v>
      </c>
      <c r="K417" s="43" t="str">
        <f>IF(LEN(D417)=10,"OK","Check")</f>
        <v>OK</v>
      </c>
      <c r="L417" s="43" t="s">
        <v>732</v>
      </c>
      <c r="M417" s="43" t="str">
        <f>IF(L417="Hold","Hold",IF(IFERROR(E417,0)&gt;=200,"High",IF(IFERROR(E417,0)&gt;=100,"Medium","Normal")))</f>
        <v>Hold</v>
      </c>
      <c r="N417" s="43" t="s">
        <v>90</v>
      </c>
      <c r="O417" s="43" t="s">
        <v>91</v>
      </c>
      <c r="P417" s="43" t="s">
        <v>92</v>
      </c>
      <c r="Q417" s="17" t="s">
        <v>93</v>
      </c>
      <c r="R417" s="45"/>
      <c r="S417" s="43"/>
      <c r="T417" s="43" t="s">
        <v>31</v>
      </c>
      <c r="U417" s="43" t="s">
        <v>94</v>
      </c>
      <c r="V417" s="43" t="s">
        <v>94</v>
      </c>
      <c r="W417" s="43" t="s">
        <v>95</v>
      </c>
      <c r="X417" s="45" t="str">
        <f>IF(AND(R417&lt;&gt;"",OR(U417="No reply",U417="Unknown")),R417+2,"")</f>
        <v/>
      </c>
      <c r="Y417" s="45"/>
      <c r="Z417" s="43" t="s">
        <v>96</v>
      </c>
      <c r="AA417" s="43" t="str">
        <f>IF(L417="Hold","Do not send",IF(T417="Not sent","Send WhatsApp",IF(U417="Demo booked","Prepare demo",IF(W417="Booked","Prepare demo",IF(AND(X417&lt;&gt;"",Y417=""),"Send follow-up","Review")))))</f>
        <v>Do not send</v>
      </c>
      <c r="AB417" s="43"/>
      <c r="AC417" s="43" t="s">
        <v>733</v>
      </c>
      <c r="AD417" s="43">
        <f>IF(AA417="Prepare demo",1,IF(AA417="Send follow-up",2,IF(AA417="Send WhatsApp",3,IF(AA417="Review",4,IF(AA417="Do not send",9,5)))))</f>
        <v>9</v>
      </c>
      <c r="AE417" s="43">
        <f>IF(M417="High",1,IF(M417="Medium",2,IF(M417="Normal",3,IF(M417="Hold",9,4))))</f>
        <v>9</v>
      </c>
      <c r="AF417" s="43">
        <f>IF(T417="Read",1,IF(T417="Delivered",2,IF(T417="Sent",3,IF(T417="Not sent",4,IF(T417="Failed",9,5)))))</f>
        <v>4</v>
      </c>
      <c r="AG417" s="43">
        <f>IF(U417="Demo booked",1,IF(U417="Interested",2,IF(U417="Replied",3,IF(U417="No reply",5,IF(U417="Not interested",8,IF(U417="Bad number",9,6))))))</f>
        <v>6</v>
      </c>
      <c r="AH417" s="46">
        <f>AD417*1000+AN417*100+AE417*10+AG417</f>
        <v>9596</v>
      </c>
      <c r="AI417" s="45">
        <f>MAX(IF(R417="",0,R417),IF(Y417="",0,Y417))</f>
        <v>0</v>
      </c>
      <c r="AJ417" s="43" t="str">
        <f ca="1">IF(AND(X417&lt;&gt;"",Y417="",X417&lt;TODAY()),"Overdue",IF(AND(X417&lt;&gt;"",Y417="",X417=TODAY()),"Due today",IF(Y417&lt;&gt;"","Follow-up sent","")))</f>
        <v/>
      </c>
      <c r="AK417" s="50" t="s">
        <v>734</v>
      </c>
      <c r="AL417" s="50" t="s">
        <v>735</v>
      </c>
      <c r="AM417" s="50" t="s">
        <v>736</v>
      </c>
      <c r="AN417" s="50">
        <v>5</v>
      </c>
      <c r="AO417" s="54" t="s">
        <v>1658</v>
      </c>
      <c r="AP417" s="57" t="s">
        <v>127</v>
      </c>
      <c r="AQ417" s="58"/>
      <c r="AR417" s="57"/>
    </row>
    <row r="418" spans="1:44" ht="54" customHeight="1" x14ac:dyDescent="0.25">
      <c r="A418" s="43" t="s">
        <v>1659</v>
      </c>
      <c r="B418" s="43" t="s">
        <v>790</v>
      </c>
      <c r="C418" s="43"/>
      <c r="D418" s="44" t="s">
        <v>1660</v>
      </c>
      <c r="E418" s="43"/>
      <c r="F418" s="43" t="s">
        <v>729</v>
      </c>
      <c r="G418" s="45"/>
      <c r="H418" s="45">
        <v>46161</v>
      </c>
      <c r="I418" s="43" t="s">
        <v>730</v>
      </c>
      <c r="J418" s="43" t="s">
        <v>731</v>
      </c>
      <c r="K418" s="43" t="str">
        <f>IF(LEN(D418)=10,"OK","Check")</f>
        <v>OK</v>
      </c>
      <c r="L418" s="43" t="s">
        <v>732</v>
      </c>
      <c r="M418" s="43" t="str">
        <f>IF(L418="Hold","Hold",IF(IFERROR(E418,0)&gt;=200,"High",IF(IFERROR(E418,0)&gt;=100,"Medium","Normal")))</f>
        <v>Hold</v>
      </c>
      <c r="N418" s="43" t="s">
        <v>90</v>
      </c>
      <c r="O418" s="43" t="s">
        <v>91</v>
      </c>
      <c r="P418" s="43" t="s">
        <v>92</v>
      </c>
      <c r="Q418" s="17" t="s">
        <v>93</v>
      </c>
      <c r="R418" s="45"/>
      <c r="S418" s="43"/>
      <c r="T418" s="43" t="s">
        <v>31</v>
      </c>
      <c r="U418" s="43" t="s">
        <v>94</v>
      </c>
      <c r="V418" s="43" t="s">
        <v>94</v>
      </c>
      <c r="W418" s="43" t="s">
        <v>95</v>
      </c>
      <c r="X418" s="45" t="str">
        <f>IF(AND(R418&lt;&gt;"",OR(U418="No reply",U418="Unknown")),R418+2,"")</f>
        <v/>
      </c>
      <c r="Y418" s="45"/>
      <c r="Z418" s="43" t="s">
        <v>96</v>
      </c>
      <c r="AA418" s="43" t="str">
        <f>IF(L418="Hold","Do not send",IF(T418="Not sent","Send WhatsApp",IF(U418="Demo booked","Prepare demo",IF(W418="Booked","Prepare demo",IF(AND(X418&lt;&gt;"",Y418=""),"Send follow-up","Review")))))</f>
        <v>Do not send</v>
      </c>
      <c r="AB418" s="43"/>
      <c r="AC418" s="43" t="s">
        <v>733</v>
      </c>
      <c r="AD418" s="43">
        <f>IF(AA418="Prepare demo",1,IF(AA418="Send follow-up",2,IF(AA418="Send WhatsApp",3,IF(AA418="Review",4,IF(AA418="Do not send",9,5)))))</f>
        <v>9</v>
      </c>
      <c r="AE418" s="43">
        <f>IF(M418="High",1,IF(M418="Medium",2,IF(M418="Normal",3,IF(M418="Hold",9,4))))</f>
        <v>9</v>
      </c>
      <c r="AF418" s="43">
        <f>IF(T418="Read",1,IF(T418="Delivered",2,IF(T418="Sent",3,IF(T418="Not sent",4,IF(T418="Failed",9,5)))))</f>
        <v>4</v>
      </c>
      <c r="AG418" s="43">
        <f>IF(U418="Demo booked",1,IF(U418="Interested",2,IF(U418="Replied",3,IF(U418="No reply",5,IF(U418="Not interested",8,IF(U418="Bad number",9,6))))))</f>
        <v>6</v>
      </c>
      <c r="AH418" s="46">
        <f>AD418*1000+AN418*100+AE418*10+AG418</f>
        <v>9596</v>
      </c>
      <c r="AI418" s="45">
        <f>MAX(IF(R418="",0,R418),IF(Y418="",0,Y418))</f>
        <v>0</v>
      </c>
      <c r="AJ418" s="43" t="str">
        <f ca="1">IF(AND(X418&lt;&gt;"",Y418="",X418&lt;TODAY()),"Overdue",IF(AND(X418&lt;&gt;"",Y418="",X418=TODAY()),"Due today",IF(Y418&lt;&gt;"","Follow-up sent","")))</f>
        <v/>
      </c>
      <c r="AK418" s="50" t="s">
        <v>734</v>
      </c>
      <c r="AL418" s="50" t="s">
        <v>735</v>
      </c>
      <c r="AM418" s="50" t="s">
        <v>736</v>
      </c>
      <c r="AN418" s="50">
        <v>5</v>
      </c>
      <c r="AO418" s="54" t="s">
        <v>1661</v>
      </c>
      <c r="AP418" s="57" t="s">
        <v>127</v>
      </c>
      <c r="AQ418" s="58"/>
      <c r="AR418" s="57"/>
    </row>
    <row r="419" spans="1:44" ht="54" customHeight="1" x14ac:dyDescent="0.25">
      <c r="A419" s="43" t="s">
        <v>1662</v>
      </c>
      <c r="B419" s="43" t="s">
        <v>790</v>
      </c>
      <c r="C419" s="43"/>
      <c r="D419" s="44" t="s">
        <v>1663</v>
      </c>
      <c r="E419" s="43"/>
      <c r="F419" s="43" t="s">
        <v>729</v>
      </c>
      <c r="G419" s="45"/>
      <c r="H419" s="45">
        <v>46161</v>
      </c>
      <c r="I419" s="43" t="s">
        <v>730</v>
      </c>
      <c r="J419" s="43" t="s">
        <v>731</v>
      </c>
      <c r="K419" s="43" t="str">
        <f>IF(LEN(D419)=10,"OK","Check")</f>
        <v>OK</v>
      </c>
      <c r="L419" s="43" t="s">
        <v>732</v>
      </c>
      <c r="M419" s="43" t="str">
        <f>IF(L419="Hold","Hold",IF(IFERROR(E419,0)&gt;=200,"High",IF(IFERROR(E419,0)&gt;=100,"Medium","Normal")))</f>
        <v>Hold</v>
      </c>
      <c r="N419" s="43" t="s">
        <v>90</v>
      </c>
      <c r="O419" s="43" t="s">
        <v>91</v>
      </c>
      <c r="P419" s="43" t="s">
        <v>92</v>
      </c>
      <c r="Q419" s="17" t="s">
        <v>93</v>
      </c>
      <c r="R419" s="45"/>
      <c r="S419" s="43"/>
      <c r="T419" s="43" t="s">
        <v>31</v>
      </c>
      <c r="U419" s="43" t="s">
        <v>94</v>
      </c>
      <c r="V419" s="43" t="s">
        <v>94</v>
      </c>
      <c r="W419" s="43" t="s">
        <v>95</v>
      </c>
      <c r="X419" s="45" t="str">
        <f>IF(AND(R419&lt;&gt;"",OR(U419="No reply",U419="Unknown")),R419+2,"")</f>
        <v/>
      </c>
      <c r="Y419" s="45"/>
      <c r="Z419" s="43" t="s">
        <v>96</v>
      </c>
      <c r="AA419" s="43" t="str">
        <f>IF(L419="Hold","Do not send",IF(T419="Not sent","Send WhatsApp",IF(U419="Demo booked","Prepare demo",IF(W419="Booked","Prepare demo",IF(AND(X419&lt;&gt;"",Y419=""),"Send follow-up","Review")))))</f>
        <v>Do not send</v>
      </c>
      <c r="AB419" s="43"/>
      <c r="AC419" s="43" t="s">
        <v>733</v>
      </c>
      <c r="AD419" s="43">
        <f>IF(AA419="Prepare demo",1,IF(AA419="Send follow-up",2,IF(AA419="Send WhatsApp",3,IF(AA419="Review",4,IF(AA419="Do not send",9,5)))))</f>
        <v>9</v>
      </c>
      <c r="AE419" s="43">
        <f>IF(M419="High",1,IF(M419="Medium",2,IF(M419="Normal",3,IF(M419="Hold",9,4))))</f>
        <v>9</v>
      </c>
      <c r="AF419" s="43">
        <f>IF(T419="Read",1,IF(T419="Delivered",2,IF(T419="Sent",3,IF(T419="Not sent",4,IF(T419="Failed",9,5)))))</f>
        <v>4</v>
      </c>
      <c r="AG419" s="43">
        <f>IF(U419="Demo booked",1,IF(U419="Interested",2,IF(U419="Replied",3,IF(U419="No reply",5,IF(U419="Not interested",8,IF(U419="Bad number",9,6))))))</f>
        <v>6</v>
      </c>
      <c r="AH419" s="46">
        <f>AD419*1000+AN419*100+AE419*10+AG419</f>
        <v>9596</v>
      </c>
      <c r="AI419" s="45">
        <f>MAX(IF(R419="",0,R419),IF(Y419="",0,Y419))</f>
        <v>0</v>
      </c>
      <c r="AJ419" s="43" t="str">
        <f ca="1">IF(AND(X419&lt;&gt;"",Y419="",X419&lt;TODAY()),"Overdue",IF(AND(X419&lt;&gt;"",Y419="",X419=TODAY()),"Due today",IF(Y419&lt;&gt;"","Follow-up sent","")))</f>
        <v/>
      </c>
      <c r="AK419" s="50" t="s">
        <v>734</v>
      </c>
      <c r="AL419" s="50" t="s">
        <v>735</v>
      </c>
      <c r="AM419" s="50" t="s">
        <v>736</v>
      </c>
      <c r="AN419" s="50">
        <v>5</v>
      </c>
      <c r="AO419" s="54" t="s">
        <v>1664</v>
      </c>
      <c r="AP419" s="57" t="s">
        <v>127</v>
      </c>
      <c r="AQ419" s="58"/>
      <c r="AR419" s="57"/>
    </row>
    <row r="420" spans="1:44" ht="54" customHeight="1" x14ac:dyDescent="0.25">
      <c r="A420" s="43" t="s">
        <v>1665</v>
      </c>
      <c r="B420" s="43" t="s">
        <v>790</v>
      </c>
      <c r="C420" s="43"/>
      <c r="D420" s="44" t="s">
        <v>1666</v>
      </c>
      <c r="E420" s="43"/>
      <c r="F420" s="43" t="s">
        <v>729</v>
      </c>
      <c r="G420" s="45"/>
      <c r="H420" s="45">
        <v>46161</v>
      </c>
      <c r="I420" s="43" t="s">
        <v>730</v>
      </c>
      <c r="J420" s="43" t="s">
        <v>731</v>
      </c>
      <c r="K420" s="43" t="str">
        <f>IF(LEN(D420)=10,"OK","Check")</f>
        <v>OK</v>
      </c>
      <c r="L420" s="43" t="s">
        <v>732</v>
      </c>
      <c r="M420" s="43" t="str">
        <f>IF(L420="Hold","Hold",IF(IFERROR(E420,0)&gt;=200,"High",IF(IFERROR(E420,0)&gt;=100,"Medium","Normal")))</f>
        <v>Hold</v>
      </c>
      <c r="N420" s="43" t="s">
        <v>90</v>
      </c>
      <c r="O420" s="43" t="s">
        <v>91</v>
      </c>
      <c r="P420" s="43" t="s">
        <v>92</v>
      </c>
      <c r="Q420" s="17" t="s">
        <v>93</v>
      </c>
      <c r="R420" s="45"/>
      <c r="S420" s="43"/>
      <c r="T420" s="43" t="s">
        <v>31</v>
      </c>
      <c r="U420" s="43" t="s">
        <v>94</v>
      </c>
      <c r="V420" s="43" t="s">
        <v>94</v>
      </c>
      <c r="W420" s="43" t="s">
        <v>95</v>
      </c>
      <c r="X420" s="45" t="str">
        <f>IF(AND(R420&lt;&gt;"",OR(U420="No reply",U420="Unknown")),R420+2,"")</f>
        <v/>
      </c>
      <c r="Y420" s="45"/>
      <c r="Z420" s="43" t="s">
        <v>96</v>
      </c>
      <c r="AA420" s="43" t="str">
        <f>IF(L420="Hold","Do not send",IF(T420="Not sent","Send WhatsApp",IF(U420="Demo booked","Prepare demo",IF(W420="Booked","Prepare demo",IF(AND(X420&lt;&gt;"",Y420=""),"Send follow-up","Review")))))</f>
        <v>Do not send</v>
      </c>
      <c r="AB420" s="43"/>
      <c r="AC420" s="43" t="s">
        <v>733</v>
      </c>
      <c r="AD420" s="43">
        <f>IF(AA420="Prepare demo",1,IF(AA420="Send follow-up",2,IF(AA420="Send WhatsApp",3,IF(AA420="Review",4,IF(AA420="Do not send",9,5)))))</f>
        <v>9</v>
      </c>
      <c r="AE420" s="43">
        <f>IF(M420="High",1,IF(M420="Medium",2,IF(M420="Normal",3,IF(M420="Hold",9,4))))</f>
        <v>9</v>
      </c>
      <c r="AF420" s="43">
        <f>IF(T420="Read",1,IF(T420="Delivered",2,IF(T420="Sent",3,IF(T420="Not sent",4,IF(T420="Failed",9,5)))))</f>
        <v>4</v>
      </c>
      <c r="AG420" s="43">
        <f>IF(U420="Demo booked",1,IF(U420="Interested",2,IF(U420="Replied",3,IF(U420="No reply",5,IF(U420="Not interested",8,IF(U420="Bad number",9,6))))))</f>
        <v>6</v>
      </c>
      <c r="AH420" s="46">
        <f>AD420*1000+AN420*100+AE420*10+AG420</f>
        <v>9596</v>
      </c>
      <c r="AI420" s="45">
        <f>MAX(IF(R420="",0,R420),IF(Y420="",0,Y420))</f>
        <v>0</v>
      </c>
      <c r="AJ420" s="43" t="str">
        <f ca="1">IF(AND(X420&lt;&gt;"",Y420="",X420&lt;TODAY()),"Overdue",IF(AND(X420&lt;&gt;"",Y420="",X420=TODAY()),"Due today",IF(Y420&lt;&gt;"","Follow-up sent","")))</f>
        <v/>
      </c>
      <c r="AK420" s="50" t="s">
        <v>734</v>
      </c>
      <c r="AL420" s="50" t="s">
        <v>735</v>
      </c>
      <c r="AM420" s="50" t="s">
        <v>736</v>
      </c>
      <c r="AN420" s="50">
        <v>5</v>
      </c>
      <c r="AO420" s="54" t="s">
        <v>1667</v>
      </c>
      <c r="AP420" s="57" t="s">
        <v>127</v>
      </c>
      <c r="AQ420" s="58"/>
      <c r="AR420" s="57"/>
    </row>
    <row r="421" spans="1:44" ht="54" customHeight="1" x14ac:dyDescent="0.25">
      <c r="A421" s="43" t="s">
        <v>1668</v>
      </c>
      <c r="B421" s="43" t="s">
        <v>790</v>
      </c>
      <c r="C421" s="43"/>
      <c r="D421" s="44" t="s">
        <v>1669</v>
      </c>
      <c r="E421" s="43"/>
      <c r="F421" s="43" t="s">
        <v>729</v>
      </c>
      <c r="G421" s="45"/>
      <c r="H421" s="45">
        <v>46161</v>
      </c>
      <c r="I421" s="43" t="s">
        <v>730</v>
      </c>
      <c r="J421" s="43" t="s">
        <v>731</v>
      </c>
      <c r="K421" s="43" t="str">
        <f>IF(LEN(D421)=10,"OK","Check")</f>
        <v>OK</v>
      </c>
      <c r="L421" s="43" t="s">
        <v>732</v>
      </c>
      <c r="M421" s="43" t="str">
        <f>IF(L421="Hold","Hold",IF(IFERROR(E421,0)&gt;=200,"High",IF(IFERROR(E421,0)&gt;=100,"Medium","Normal")))</f>
        <v>Hold</v>
      </c>
      <c r="N421" s="43" t="s">
        <v>90</v>
      </c>
      <c r="O421" s="43" t="s">
        <v>91</v>
      </c>
      <c r="P421" s="43" t="s">
        <v>92</v>
      </c>
      <c r="Q421" s="17" t="s">
        <v>93</v>
      </c>
      <c r="R421" s="45"/>
      <c r="S421" s="43"/>
      <c r="T421" s="43" t="s">
        <v>31</v>
      </c>
      <c r="U421" s="43" t="s">
        <v>94</v>
      </c>
      <c r="V421" s="43" t="s">
        <v>94</v>
      </c>
      <c r="W421" s="43" t="s">
        <v>95</v>
      </c>
      <c r="X421" s="45" t="str">
        <f>IF(AND(R421&lt;&gt;"",OR(U421="No reply",U421="Unknown")),R421+2,"")</f>
        <v/>
      </c>
      <c r="Y421" s="45"/>
      <c r="Z421" s="43" t="s">
        <v>96</v>
      </c>
      <c r="AA421" s="43" t="str">
        <f>IF(L421="Hold","Do not send",IF(T421="Not sent","Send WhatsApp",IF(U421="Demo booked","Prepare demo",IF(W421="Booked","Prepare demo",IF(AND(X421&lt;&gt;"",Y421=""),"Send follow-up","Review")))))</f>
        <v>Do not send</v>
      </c>
      <c r="AB421" s="43"/>
      <c r="AC421" s="43" t="s">
        <v>733</v>
      </c>
      <c r="AD421" s="43">
        <f>IF(AA421="Prepare demo",1,IF(AA421="Send follow-up",2,IF(AA421="Send WhatsApp",3,IF(AA421="Review",4,IF(AA421="Do not send",9,5)))))</f>
        <v>9</v>
      </c>
      <c r="AE421" s="43">
        <f>IF(M421="High",1,IF(M421="Medium",2,IF(M421="Normal",3,IF(M421="Hold",9,4))))</f>
        <v>9</v>
      </c>
      <c r="AF421" s="43">
        <f>IF(T421="Read",1,IF(T421="Delivered",2,IF(T421="Sent",3,IF(T421="Not sent",4,IF(T421="Failed",9,5)))))</f>
        <v>4</v>
      </c>
      <c r="AG421" s="43">
        <f>IF(U421="Demo booked",1,IF(U421="Interested",2,IF(U421="Replied",3,IF(U421="No reply",5,IF(U421="Not interested",8,IF(U421="Bad number",9,6))))))</f>
        <v>6</v>
      </c>
      <c r="AH421" s="46">
        <f>AD421*1000+AN421*100+AE421*10+AG421</f>
        <v>9596</v>
      </c>
      <c r="AI421" s="45">
        <f>MAX(IF(R421="",0,R421),IF(Y421="",0,Y421))</f>
        <v>0</v>
      </c>
      <c r="AJ421" s="43" t="str">
        <f ca="1">IF(AND(X421&lt;&gt;"",Y421="",X421&lt;TODAY()),"Overdue",IF(AND(X421&lt;&gt;"",Y421="",X421=TODAY()),"Due today",IF(Y421&lt;&gt;"","Follow-up sent","")))</f>
        <v/>
      </c>
      <c r="AK421" s="50" t="s">
        <v>734</v>
      </c>
      <c r="AL421" s="50" t="s">
        <v>735</v>
      </c>
      <c r="AM421" s="50" t="s">
        <v>736</v>
      </c>
      <c r="AN421" s="50">
        <v>5</v>
      </c>
      <c r="AO421" s="54" t="s">
        <v>1670</v>
      </c>
      <c r="AP421" s="57" t="s">
        <v>127</v>
      </c>
      <c r="AQ421" s="58"/>
      <c r="AR421" s="57"/>
    </row>
    <row r="422" spans="1:44" ht="54" customHeight="1" x14ac:dyDescent="0.25">
      <c r="A422" s="43" t="s">
        <v>1671</v>
      </c>
      <c r="B422" s="43" t="s">
        <v>790</v>
      </c>
      <c r="C422" s="43"/>
      <c r="D422" s="44" t="s">
        <v>1672</v>
      </c>
      <c r="E422" s="43"/>
      <c r="F422" s="43" t="s">
        <v>729</v>
      </c>
      <c r="G422" s="45"/>
      <c r="H422" s="45">
        <v>46161</v>
      </c>
      <c r="I422" s="43" t="s">
        <v>730</v>
      </c>
      <c r="J422" s="43" t="s">
        <v>731</v>
      </c>
      <c r="K422" s="43" t="str">
        <f>IF(LEN(D422)=10,"OK","Check")</f>
        <v>OK</v>
      </c>
      <c r="L422" s="43" t="s">
        <v>732</v>
      </c>
      <c r="M422" s="43" t="str">
        <f>IF(L422="Hold","Hold",IF(IFERROR(E422,0)&gt;=200,"High",IF(IFERROR(E422,0)&gt;=100,"Medium","Normal")))</f>
        <v>Hold</v>
      </c>
      <c r="N422" s="43" t="s">
        <v>90</v>
      </c>
      <c r="O422" s="43" t="s">
        <v>91</v>
      </c>
      <c r="P422" s="43" t="s">
        <v>92</v>
      </c>
      <c r="Q422" s="17" t="s">
        <v>93</v>
      </c>
      <c r="R422" s="45"/>
      <c r="S422" s="43"/>
      <c r="T422" s="43" t="s">
        <v>31</v>
      </c>
      <c r="U422" s="43" t="s">
        <v>94</v>
      </c>
      <c r="V422" s="43" t="s">
        <v>94</v>
      </c>
      <c r="W422" s="43" t="s">
        <v>95</v>
      </c>
      <c r="X422" s="45" t="str">
        <f>IF(AND(R422&lt;&gt;"",OR(U422="No reply",U422="Unknown")),R422+2,"")</f>
        <v/>
      </c>
      <c r="Y422" s="45"/>
      <c r="Z422" s="43" t="s">
        <v>96</v>
      </c>
      <c r="AA422" s="43" t="str">
        <f>IF(L422="Hold","Do not send",IF(T422="Not sent","Send WhatsApp",IF(U422="Demo booked","Prepare demo",IF(W422="Booked","Prepare demo",IF(AND(X422&lt;&gt;"",Y422=""),"Send follow-up","Review")))))</f>
        <v>Do not send</v>
      </c>
      <c r="AB422" s="43"/>
      <c r="AC422" s="43" t="s">
        <v>733</v>
      </c>
      <c r="AD422" s="43">
        <f>IF(AA422="Prepare demo",1,IF(AA422="Send follow-up",2,IF(AA422="Send WhatsApp",3,IF(AA422="Review",4,IF(AA422="Do not send",9,5)))))</f>
        <v>9</v>
      </c>
      <c r="AE422" s="43">
        <f>IF(M422="High",1,IF(M422="Medium",2,IF(M422="Normal",3,IF(M422="Hold",9,4))))</f>
        <v>9</v>
      </c>
      <c r="AF422" s="43">
        <f>IF(T422="Read",1,IF(T422="Delivered",2,IF(T422="Sent",3,IF(T422="Not sent",4,IF(T422="Failed",9,5)))))</f>
        <v>4</v>
      </c>
      <c r="AG422" s="43">
        <f>IF(U422="Demo booked",1,IF(U422="Interested",2,IF(U422="Replied",3,IF(U422="No reply",5,IF(U422="Not interested",8,IF(U422="Bad number",9,6))))))</f>
        <v>6</v>
      </c>
      <c r="AH422" s="46">
        <f>AD422*1000+AN422*100+AE422*10+AG422</f>
        <v>9596</v>
      </c>
      <c r="AI422" s="45">
        <f>MAX(IF(R422="",0,R422),IF(Y422="",0,Y422))</f>
        <v>0</v>
      </c>
      <c r="AJ422" s="43" t="str">
        <f ca="1">IF(AND(X422&lt;&gt;"",Y422="",X422&lt;TODAY()),"Overdue",IF(AND(X422&lt;&gt;"",Y422="",X422=TODAY()),"Due today",IF(Y422&lt;&gt;"","Follow-up sent","")))</f>
        <v/>
      </c>
      <c r="AK422" s="50" t="s">
        <v>734</v>
      </c>
      <c r="AL422" s="50" t="s">
        <v>735</v>
      </c>
      <c r="AM422" s="50" t="s">
        <v>736</v>
      </c>
      <c r="AN422" s="50">
        <v>5</v>
      </c>
      <c r="AO422" s="54" t="s">
        <v>1673</v>
      </c>
      <c r="AP422" s="57" t="s">
        <v>127</v>
      </c>
      <c r="AQ422" s="58"/>
      <c r="AR422" s="57"/>
    </row>
    <row r="423" spans="1:44" ht="54" customHeight="1" x14ac:dyDescent="0.25">
      <c r="A423" s="43" t="s">
        <v>1674</v>
      </c>
      <c r="B423" s="43" t="s">
        <v>790</v>
      </c>
      <c r="C423" s="43"/>
      <c r="D423" s="44" t="s">
        <v>1675</v>
      </c>
      <c r="E423" s="43"/>
      <c r="F423" s="43" t="s">
        <v>729</v>
      </c>
      <c r="G423" s="45"/>
      <c r="H423" s="45">
        <v>46161</v>
      </c>
      <c r="I423" s="43" t="s">
        <v>730</v>
      </c>
      <c r="J423" s="43" t="s">
        <v>731</v>
      </c>
      <c r="K423" s="43" t="str">
        <f>IF(LEN(D423)=10,"OK","Check")</f>
        <v>OK</v>
      </c>
      <c r="L423" s="43" t="s">
        <v>732</v>
      </c>
      <c r="M423" s="43" t="str">
        <f>IF(L423="Hold","Hold",IF(IFERROR(E423,0)&gt;=200,"High",IF(IFERROR(E423,0)&gt;=100,"Medium","Normal")))</f>
        <v>Hold</v>
      </c>
      <c r="N423" s="43" t="s">
        <v>90</v>
      </c>
      <c r="O423" s="43" t="s">
        <v>91</v>
      </c>
      <c r="P423" s="43" t="s">
        <v>92</v>
      </c>
      <c r="Q423" s="17" t="s">
        <v>93</v>
      </c>
      <c r="R423" s="45"/>
      <c r="S423" s="43"/>
      <c r="T423" s="43" t="s">
        <v>31</v>
      </c>
      <c r="U423" s="43" t="s">
        <v>94</v>
      </c>
      <c r="V423" s="43" t="s">
        <v>94</v>
      </c>
      <c r="W423" s="43" t="s">
        <v>95</v>
      </c>
      <c r="X423" s="45" t="str">
        <f>IF(AND(R423&lt;&gt;"",OR(U423="No reply",U423="Unknown")),R423+2,"")</f>
        <v/>
      </c>
      <c r="Y423" s="45"/>
      <c r="Z423" s="43" t="s">
        <v>96</v>
      </c>
      <c r="AA423" s="43" t="str">
        <f>IF(L423="Hold","Do not send",IF(T423="Not sent","Send WhatsApp",IF(U423="Demo booked","Prepare demo",IF(W423="Booked","Prepare demo",IF(AND(X423&lt;&gt;"",Y423=""),"Send follow-up","Review")))))</f>
        <v>Do not send</v>
      </c>
      <c r="AB423" s="43"/>
      <c r="AC423" s="43" t="s">
        <v>733</v>
      </c>
      <c r="AD423" s="43">
        <f>IF(AA423="Prepare demo",1,IF(AA423="Send follow-up",2,IF(AA423="Send WhatsApp",3,IF(AA423="Review",4,IF(AA423="Do not send",9,5)))))</f>
        <v>9</v>
      </c>
      <c r="AE423" s="43">
        <f>IF(M423="High",1,IF(M423="Medium",2,IF(M423="Normal",3,IF(M423="Hold",9,4))))</f>
        <v>9</v>
      </c>
      <c r="AF423" s="43">
        <f>IF(T423="Read",1,IF(T423="Delivered",2,IF(T423="Sent",3,IF(T423="Not sent",4,IF(T423="Failed",9,5)))))</f>
        <v>4</v>
      </c>
      <c r="AG423" s="43">
        <f>IF(U423="Demo booked",1,IF(U423="Interested",2,IF(U423="Replied",3,IF(U423="No reply",5,IF(U423="Not interested",8,IF(U423="Bad number",9,6))))))</f>
        <v>6</v>
      </c>
      <c r="AH423" s="46">
        <f>AD423*1000+AN423*100+AE423*10+AG423</f>
        <v>9596</v>
      </c>
      <c r="AI423" s="45">
        <f>MAX(IF(R423="",0,R423),IF(Y423="",0,Y423))</f>
        <v>0</v>
      </c>
      <c r="AJ423" s="43" t="str">
        <f ca="1">IF(AND(X423&lt;&gt;"",Y423="",X423&lt;TODAY()),"Overdue",IF(AND(X423&lt;&gt;"",Y423="",X423=TODAY()),"Due today",IF(Y423&lt;&gt;"","Follow-up sent","")))</f>
        <v/>
      </c>
      <c r="AK423" s="50" t="s">
        <v>734</v>
      </c>
      <c r="AL423" s="50" t="s">
        <v>735</v>
      </c>
      <c r="AM423" s="50" t="s">
        <v>736</v>
      </c>
      <c r="AN423" s="50">
        <v>5</v>
      </c>
      <c r="AO423" s="54" t="s">
        <v>1676</v>
      </c>
      <c r="AP423" s="57" t="s">
        <v>127</v>
      </c>
      <c r="AQ423" s="58"/>
      <c r="AR423" s="57"/>
    </row>
    <row r="424" spans="1:44" ht="54" customHeight="1" x14ac:dyDescent="0.25">
      <c r="A424" s="43" t="s">
        <v>1677</v>
      </c>
      <c r="B424" s="43" t="s">
        <v>790</v>
      </c>
      <c r="C424" s="43"/>
      <c r="D424" s="44" t="s">
        <v>1678</v>
      </c>
      <c r="E424" s="43"/>
      <c r="F424" s="43" t="s">
        <v>729</v>
      </c>
      <c r="G424" s="45"/>
      <c r="H424" s="45">
        <v>46161</v>
      </c>
      <c r="I424" s="43" t="s">
        <v>730</v>
      </c>
      <c r="J424" s="43" t="s">
        <v>731</v>
      </c>
      <c r="K424" s="43" t="str">
        <f>IF(LEN(D424)=10,"OK","Check")</f>
        <v>OK</v>
      </c>
      <c r="L424" s="43" t="s">
        <v>732</v>
      </c>
      <c r="M424" s="43" t="str">
        <f>IF(L424="Hold","Hold",IF(IFERROR(E424,0)&gt;=200,"High",IF(IFERROR(E424,0)&gt;=100,"Medium","Normal")))</f>
        <v>Hold</v>
      </c>
      <c r="N424" s="43" t="s">
        <v>90</v>
      </c>
      <c r="O424" s="43" t="s">
        <v>91</v>
      </c>
      <c r="P424" s="43" t="s">
        <v>92</v>
      </c>
      <c r="Q424" s="17" t="s">
        <v>93</v>
      </c>
      <c r="R424" s="45"/>
      <c r="S424" s="43"/>
      <c r="T424" s="43" t="s">
        <v>31</v>
      </c>
      <c r="U424" s="43" t="s">
        <v>94</v>
      </c>
      <c r="V424" s="43" t="s">
        <v>94</v>
      </c>
      <c r="W424" s="43" t="s">
        <v>95</v>
      </c>
      <c r="X424" s="45" t="str">
        <f>IF(AND(R424&lt;&gt;"",OR(U424="No reply",U424="Unknown")),R424+2,"")</f>
        <v/>
      </c>
      <c r="Y424" s="45"/>
      <c r="Z424" s="43" t="s">
        <v>96</v>
      </c>
      <c r="AA424" s="43" t="str">
        <f>IF(L424="Hold","Do not send",IF(T424="Not sent","Send WhatsApp",IF(U424="Demo booked","Prepare demo",IF(W424="Booked","Prepare demo",IF(AND(X424&lt;&gt;"",Y424=""),"Send follow-up","Review")))))</f>
        <v>Do not send</v>
      </c>
      <c r="AB424" s="43"/>
      <c r="AC424" s="43" t="s">
        <v>733</v>
      </c>
      <c r="AD424" s="43">
        <f>IF(AA424="Prepare demo",1,IF(AA424="Send follow-up",2,IF(AA424="Send WhatsApp",3,IF(AA424="Review",4,IF(AA424="Do not send",9,5)))))</f>
        <v>9</v>
      </c>
      <c r="AE424" s="43">
        <f>IF(M424="High",1,IF(M424="Medium",2,IF(M424="Normal",3,IF(M424="Hold",9,4))))</f>
        <v>9</v>
      </c>
      <c r="AF424" s="43">
        <f>IF(T424="Read",1,IF(T424="Delivered",2,IF(T424="Sent",3,IF(T424="Not sent",4,IF(T424="Failed",9,5)))))</f>
        <v>4</v>
      </c>
      <c r="AG424" s="43">
        <f>IF(U424="Demo booked",1,IF(U424="Interested",2,IF(U424="Replied",3,IF(U424="No reply",5,IF(U424="Not interested",8,IF(U424="Bad number",9,6))))))</f>
        <v>6</v>
      </c>
      <c r="AH424" s="46">
        <f>AD424*1000+AN424*100+AE424*10+AG424</f>
        <v>9596</v>
      </c>
      <c r="AI424" s="45">
        <f>MAX(IF(R424="",0,R424),IF(Y424="",0,Y424))</f>
        <v>0</v>
      </c>
      <c r="AJ424" s="43" t="str">
        <f ca="1">IF(AND(X424&lt;&gt;"",Y424="",X424&lt;TODAY()),"Overdue",IF(AND(X424&lt;&gt;"",Y424="",X424=TODAY()),"Due today",IF(Y424&lt;&gt;"","Follow-up sent","")))</f>
        <v/>
      </c>
      <c r="AK424" s="50" t="s">
        <v>734</v>
      </c>
      <c r="AL424" s="50" t="s">
        <v>735</v>
      </c>
      <c r="AM424" s="50" t="s">
        <v>736</v>
      </c>
      <c r="AN424" s="50">
        <v>5</v>
      </c>
      <c r="AO424" s="54" t="s">
        <v>1679</v>
      </c>
      <c r="AP424" s="57" t="s">
        <v>127</v>
      </c>
      <c r="AQ424" s="58"/>
      <c r="AR424" s="57"/>
    </row>
    <row r="425" spans="1:44" ht="54" customHeight="1" x14ac:dyDescent="0.25">
      <c r="A425" s="43" t="s">
        <v>1680</v>
      </c>
      <c r="B425" s="43" t="s">
        <v>790</v>
      </c>
      <c r="C425" s="43"/>
      <c r="D425" s="44" t="s">
        <v>1681</v>
      </c>
      <c r="E425" s="43"/>
      <c r="F425" s="43" t="s">
        <v>729</v>
      </c>
      <c r="G425" s="45"/>
      <c r="H425" s="45">
        <v>46161</v>
      </c>
      <c r="I425" s="43" t="s">
        <v>730</v>
      </c>
      <c r="J425" s="43" t="s">
        <v>731</v>
      </c>
      <c r="K425" s="43" t="str">
        <f>IF(LEN(D425)=10,"OK","Check")</f>
        <v>OK</v>
      </c>
      <c r="L425" s="43" t="s">
        <v>732</v>
      </c>
      <c r="M425" s="43" t="str">
        <f>IF(L425="Hold","Hold",IF(IFERROR(E425,0)&gt;=200,"High",IF(IFERROR(E425,0)&gt;=100,"Medium","Normal")))</f>
        <v>Hold</v>
      </c>
      <c r="N425" s="43" t="s">
        <v>90</v>
      </c>
      <c r="O425" s="43" t="s">
        <v>91</v>
      </c>
      <c r="P425" s="43" t="s">
        <v>92</v>
      </c>
      <c r="Q425" s="17" t="s">
        <v>93</v>
      </c>
      <c r="R425" s="45"/>
      <c r="S425" s="43"/>
      <c r="T425" s="43" t="s">
        <v>31</v>
      </c>
      <c r="U425" s="43" t="s">
        <v>94</v>
      </c>
      <c r="V425" s="43" t="s">
        <v>94</v>
      </c>
      <c r="W425" s="43" t="s">
        <v>95</v>
      </c>
      <c r="X425" s="45" t="str">
        <f>IF(AND(R425&lt;&gt;"",OR(U425="No reply",U425="Unknown")),R425+2,"")</f>
        <v/>
      </c>
      <c r="Y425" s="45"/>
      <c r="Z425" s="43" t="s">
        <v>96</v>
      </c>
      <c r="AA425" s="43" t="str">
        <f>IF(L425="Hold","Do not send",IF(T425="Not sent","Send WhatsApp",IF(U425="Demo booked","Prepare demo",IF(W425="Booked","Prepare demo",IF(AND(X425&lt;&gt;"",Y425=""),"Send follow-up","Review")))))</f>
        <v>Do not send</v>
      </c>
      <c r="AB425" s="43"/>
      <c r="AC425" s="43" t="s">
        <v>733</v>
      </c>
      <c r="AD425" s="43">
        <f>IF(AA425="Prepare demo",1,IF(AA425="Send follow-up",2,IF(AA425="Send WhatsApp",3,IF(AA425="Review",4,IF(AA425="Do not send",9,5)))))</f>
        <v>9</v>
      </c>
      <c r="AE425" s="43">
        <f>IF(M425="High",1,IF(M425="Medium",2,IF(M425="Normal",3,IF(M425="Hold",9,4))))</f>
        <v>9</v>
      </c>
      <c r="AF425" s="43">
        <f>IF(T425="Read",1,IF(T425="Delivered",2,IF(T425="Sent",3,IF(T425="Not sent",4,IF(T425="Failed",9,5)))))</f>
        <v>4</v>
      </c>
      <c r="AG425" s="43">
        <f>IF(U425="Demo booked",1,IF(U425="Interested",2,IF(U425="Replied",3,IF(U425="No reply",5,IF(U425="Not interested",8,IF(U425="Bad number",9,6))))))</f>
        <v>6</v>
      </c>
      <c r="AH425" s="46">
        <f>AD425*1000+AN425*100+AE425*10+AG425</f>
        <v>9596</v>
      </c>
      <c r="AI425" s="45">
        <f>MAX(IF(R425="",0,R425),IF(Y425="",0,Y425))</f>
        <v>0</v>
      </c>
      <c r="AJ425" s="43" t="str">
        <f ca="1">IF(AND(X425&lt;&gt;"",Y425="",X425&lt;TODAY()),"Overdue",IF(AND(X425&lt;&gt;"",Y425="",X425=TODAY()),"Due today",IF(Y425&lt;&gt;"","Follow-up sent","")))</f>
        <v/>
      </c>
      <c r="AK425" s="50" t="s">
        <v>734</v>
      </c>
      <c r="AL425" s="50" t="s">
        <v>735</v>
      </c>
      <c r="AM425" s="50" t="s">
        <v>736</v>
      </c>
      <c r="AN425" s="50">
        <v>5</v>
      </c>
      <c r="AO425" s="54" t="s">
        <v>1682</v>
      </c>
      <c r="AP425" s="57" t="s">
        <v>127</v>
      </c>
      <c r="AQ425" s="58"/>
      <c r="AR425" s="57"/>
    </row>
    <row r="426" spans="1:44" ht="54" customHeight="1" x14ac:dyDescent="0.25">
      <c r="A426" s="43" t="s">
        <v>1683</v>
      </c>
      <c r="B426" s="43" t="s">
        <v>1684</v>
      </c>
      <c r="C426" s="43" t="s">
        <v>1684</v>
      </c>
      <c r="D426" s="44" t="s">
        <v>1685</v>
      </c>
      <c r="E426" s="43"/>
      <c r="F426" s="43" t="s">
        <v>729</v>
      </c>
      <c r="G426" s="45"/>
      <c r="H426" s="45">
        <v>46161</v>
      </c>
      <c r="I426" s="43" t="s">
        <v>730</v>
      </c>
      <c r="J426" s="43" t="s">
        <v>731</v>
      </c>
      <c r="K426" s="43" t="str">
        <f>IF(LEN(D426)=10,"OK","Check")</f>
        <v>OK</v>
      </c>
      <c r="L426" s="43" t="s">
        <v>732</v>
      </c>
      <c r="M426" s="43" t="str">
        <f>IF(L426="Hold","Hold",IF(IFERROR(E426,0)&gt;=200,"High",IF(IFERROR(E426,0)&gt;=100,"Medium","Normal")))</f>
        <v>Hold</v>
      </c>
      <c r="N426" s="43" t="s">
        <v>90</v>
      </c>
      <c r="O426" s="43" t="s">
        <v>91</v>
      </c>
      <c r="P426" s="43" t="s">
        <v>92</v>
      </c>
      <c r="Q426" s="17" t="s">
        <v>93</v>
      </c>
      <c r="R426" s="45"/>
      <c r="S426" s="43"/>
      <c r="T426" s="43" t="s">
        <v>31</v>
      </c>
      <c r="U426" s="43" t="s">
        <v>94</v>
      </c>
      <c r="V426" s="43" t="s">
        <v>94</v>
      </c>
      <c r="W426" s="43" t="s">
        <v>95</v>
      </c>
      <c r="X426" s="45" t="str">
        <f>IF(AND(R426&lt;&gt;"",OR(U426="No reply",U426="Unknown")),R426+2,"")</f>
        <v/>
      </c>
      <c r="Y426" s="45"/>
      <c r="Z426" s="43" t="s">
        <v>96</v>
      </c>
      <c r="AA426" s="43" t="str">
        <f>IF(L426="Hold","Do not send",IF(T426="Not sent","Send WhatsApp",IF(U426="Demo booked","Prepare demo",IF(W426="Booked","Prepare demo",IF(AND(X426&lt;&gt;"",Y426=""),"Send follow-up","Review")))))</f>
        <v>Do not send</v>
      </c>
      <c r="AB426" s="43"/>
      <c r="AC426" s="43" t="s">
        <v>733</v>
      </c>
      <c r="AD426" s="43">
        <f>IF(AA426="Prepare demo",1,IF(AA426="Send follow-up",2,IF(AA426="Send WhatsApp",3,IF(AA426="Review",4,IF(AA426="Do not send",9,5)))))</f>
        <v>9</v>
      </c>
      <c r="AE426" s="43">
        <f>IF(M426="High",1,IF(M426="Medium",2,IF(M426="Normal",3,IF(M426="Hold",9,4))))</f>
        <v>9</v>
      </c>
      <c r="AF426" s="43">
        <f>IF(T426="Read",1,IF(T426="Delivered",2,IF(T426="Sent",3,IF(T426="Not sent",4,IF(T426="Failed",9,5)))))</f>
        <v>4</v>
      </c>
      <c r="AG426" s="43">
        <f>IF(U426="Demo booked",1,IF(U426="Interested",2,IF(U426="Replied",3,IF(U426="No reply",5,IF(U426="Not interested",8,IF(U426="Bad number",9,6))))))</f>
        <v>6</v>
      </c>
      <c r="AH426" s="46">
        <f>AD426*1000+AN426*100+AE426*10+AG426</f>
        <v>9596</v>
      </c>
      <c r="AI426" s="45">
        <f>MAX(IF(R426="",0,R426),IF(Y426="",0,Y426))</f>
        <v>0</v>
      </c>
      <c r="AJ426" s="43" t="str">
        <f ca="1">IF(AND(X426&lt;&gt;"",Y426="",X426&lt;TODAY()),"Overdue",IF(AND(X426&lt;&gt;"",Y426="",X426=TODAY()),"Due today",IF(Y426&lt;&gt;"","Follow-up sent","")))</f>
        <v/>
      </c>
      <c r="AK426" s="50" t="s">
        <v>734</v>
      </c>
      <c r="AL426" s="50" t="s">
        <v>735</v>
      </c>
      <c r="AM426" s="50" t="s">
        <v>736</v>
      </c>
      <c r="AN426" s="50">
        <v>5</v>
      </c>
      <c r="AO426" s="54" t="s">
        <v>1686</v>
      </c>
      <c r="AP426" s="57" t="s">
        <v>127</v>
      </c>
      <c r="AQ426" s="58"/>
      <c r="AR426" s="57"/>
    </row>
    <row r="427" spans="1:44" ht="54" customHeight="1" x14ac:dyDescent="0.25">
      <c r="A427" s="43" t="s">
        <v>1687</v>
      </c>
      <c r="B427" s="43" t="s">
        <v>790</v>
      </c>
      <c r="C427" s="43"/>
      <c r="D427" s="44" t="s">
        <v>1688</v>
      </c>
      <c r="E427" s="43"/>
      <c r="F427" s="43" t="s">
        <v>729</v>
      </c>
      <c r="G427" s="45"/>
      <c r="H427" s="45">
        <v>46161</v>
      </c>
      <c r="I427" s="43" t="s">
        <v>730</v>
      </c>
      <c r="J427" s="43" t="s">
        <v>731</v>
      </c>
      <c r="K427" s="43" t="str">
        <f>IF(LEN(D427)=10,"OK","Check")</f>
        <v>OK</v>
      </c>
      <c r="L427" s="43" t="s">
        <v>732</v>
      </c>
      <c r="M427" s="43" t="str">
        <f>IF(L427="Hold","Hold",IF(IFERROR(E427,0)&gt;=200,"High",IF(IFERROR(E427,0)&gt;=100,"Medium","Normal")))</f>
        <v>Hold</v>
      </c>
      <c r="N427" s="43" t="s">
        <v>90</v>
      </c>
      <c r="O427" s="43" t="s">
        <v>91</v>
      </c>
      <c r="P427" s="43" t="s">
        <v>92</v>
      </c>
      <c r="Q427" s="17" t="s">
        <v>93</v>
      </c>
      <c r="R427" s="45"/>
      <c r="S427" s="43"/>
      <c r="T427" s="43" t="s">
        <v>31</v>
      </c>
      <c r="U427" s="43" t="s">
        <v>94</v>
      </c>
      <c r="V427" s="43" t="s">
        <v>94</v>
      </c>
      <c r="W427" s="43" t="s">
        <v>95</v>
      </c>
      <c r="X427" s="45" t="str">
        <f>IF(AND(R427&lt;&gt;"",OR(U427="No reply",U427="Unknown")),R427+2,"")</f>
        <v/>
      </c>
      <c r="Y427" s="45"/>
      <c r="Z427" s="43" t="s">
        <v>96</v>
      </c>
      <c r="AA427" s="43" t="str">
        <f>IF(L427="Hold","Do not send",IF(T427="Not sent","Send WhatsApp",IF(U427="Demo booked","Prepare demo",IF(W427="Booked","Prepare demo",IF(AND(X427&lt;&gt;"",Y427=""),"Send follow-up","Review")))))</f>
        <v>Do not send</v>
      </c>
      <c r="AB427" s="43"/>
      <c r="AC427" s="43" t="s">
        <v>733</v>
      </c>
      <c r="AD427" s="43">
        <f>IF(AA427="Prepare demo",1,IF(AA427="Send follow-up",2,IF(AA427="Send WhatsApp",3,IF(AA427="Review",4,IF(AA427="Do not send",9,5)))))</f>
        <v>9</v>
      </c>
      <c r="AE427" s="43">
        <f>IF(M427="High",1,IF(M427="Medium",2,IF(M427="Normal",3,IF(M427="Hold",9,4))))</f>
        <v>9</v>
      </c>
      <c r="AF427" s="43">
        <f>IF(T427="Read",1,IF(T427="Delivered",2,IF(T427="Sent",3,IF(T427="Not sent",4,IF(T427="Failed",9,5)))))</f>
        <v>4</v>
      </c>
      <c r="AG427" s="43">
        <f>IF(U427="Demo booked",1,IF(U427="Interested",2,IF(U427="Replied",3,IF(U427="No reply",5,IF(U427="Not interested",8,IF(U427="Bad number",9,6))))))</f>
        <v>6</v>
      </c>
      <c r="AH427" s="46">
        <f>AD427*1000+AN427*100+AE427*10+AG427</f>
        <v>9596</v>
      </c>
      <c r="AI427" s="45">
        <f>MAX(IF(R427="",0,R427),IF(Y427="",0,Y427))</f>
        <v>0</v>
      </c>
      <c r="AJ427" s="43" t="str">
        <f ca="1">IF(AND(X427&lt;&gt;"",Y427="",X427&lt;TODAY()),"Overdue",IF(AND(X427&lt;&gt;"",Y427="",X427=TODAY()),"Due today",IF(Y427&lt;&gt;"","Follow-up sent","")))</f>
        <v/>
      </c>
      <c r="AK427" s="50" t="s">
        <v>734</v>
      </c>
      <c r="AL427" s="50" t="s">
        <v>735</v>
      </c>
      <c r="AM427" s="50" t="s">
        <v>736</v>
      </c>
      <c r="AN427" s="50">
        <v>5</v>
      </c>
      <c r="AO427" s="54" t="s">
        <v>1689</v>
      </c>
      <c r="AP427" s="57" t="s">
        <v>127</v>
      </c>
      <c r="AQ427" s="58"/>
      <c r="AR427" s="57"/>
    </row>
    <row r="428" spans="1:44" ht="54" customHeight="1" x14ac:dyDescent="0.25">
      <c r="A428" s="43" t="s">
        <v>1690</v>
      </c>
      <c r="B428" s="43" t="s">
        <v>790</v>
      </c>
      <c r="C428" s="43"/>
      <c r="D428" s="44" t="s">
        <v>1691</v>
      </c>
      <c r="E428" s="43"/>
      <c r="F428" s="43" t="s">
        <v>729</v>
      </c>
      <c r="G428" s="45"/>
      <c r="H428" s="45">
        <v>46161</v>
      </c>
      <c r="I428" s="43" t="s">
        <v>730</v>
      </c>
      <c r="J428" s="43" t="s">
        <v>731</v>
      </c>
      <c r="K428" s="43" t="str">
        <f>IF(LEN(D428)=10,"OK","Check")</f>
        <v>OK</v>
      </c>
      <c r="L428" s="43" t="s">
        <v>732</v>
      </c>
      <c r="M428" s="43" t="str">
        <f>IF(L428="Hold","Hold",IF(IFERROR(E428,0)&gt;=200,"High",IF(IFERROR(E428,0)&gt;=100,"Medium","Normal")))</f>
        <v>Hold</v>
      </c>
      <c r="N428" s="43" t="s">
        <v>90</v>
      </c>
      <c r="O428" s="43" t="s">
        <v>91</v>
      </c>
      <c r="P428" s="43" t="s">
        <v>92</v>
      </c>
      <c r="Q428" s="17" t="s">
        <v>93</v>
      </c>
      <c r="R428" s="45"/>
      <c r="S428" s="43"/>
      <c r="T428" s="43" t="s">
        <v>31</v>
      </c>
      <c r="U428" s="43" t="s">
        <v>94</v>
      </c>
      <c r="V428" s="43" t="s">
        <v>94</v>
      </c>
      <c r="W428" s="43" t="s">
        <v>95</v>
      </c>
      <c r="X428" s="45" t="str">
        <f>IF(AND(R428&lt;&gt;"",OR(U428="No reply",U428="Unknown")),R428+2,"")</f>
        <v/>
      </c>
      <c r="Y428" s="45"/>
      <c r="Z428" s="43" t="s">
        <v>96</v>
      </c>
      <c r="AA428" s="43" t="str">
        <f>IF(L428="Hold","Do not send",IF(T428="Not sent","Send WhatsApp",IF(U428="Demo booked","Prepare demo",IF(W428="Booked","Prepare demo",IF(AND(X428&lt;&gt;"",Y428=""),"Send follow-up","Review")))))</f>
        <v>Do not send</v>
      </c>
      <c r="AB428" s="43"/>
      <c r="AC428" s="43" t="s">
        <v>733</v>
      </c>
      <c r="AD428" s="43">
        <f>IF(AA428="Prepare demo",1,IF(AA428="Send follow-up",2,IF(AA428="Send WhatsApp",3,IF(AA428="Review",4,IF(AA428="Do not send",9,5)))))</f>
        <v>9</v>
      </c>
      <c r="AE428" s="43">
        <f>IF(M428="High",1,IF(M428="Medium",2,IF(M428="Normal",3,IF(M428="Hold",9,4))))</f>
        <v>9</v>
      </c>
      <c r="AF428" s="43">
        <f>IF(T428="Read",1,IF(T428="Delivered",2,IF(T428="Sent",3,IF(T428="Not sent",4,IF(T428="Failed",9,5)))))</f>
        <v>4</v>
      </c>
      <c r="AG428" s="43">
        <f>IF(U428="Demo booked",1,IF(U428="Interested",2,IF(U428="Replied",3,IF(U428="No reply",5,IF(U428="Not interested",8,IF(U428="Bad number",9,6))))))</f>
        <v>6</v>
      </c>
      <c r="AH428" s="46">
        <f>AD428*1000+AN428*100+AE428*10+AG428</f>
        <v>9596</v>
      </c>
      <c r="AI428" s="45">
        <f>MAX(IF(R428="",0,R428),IF(Y428="",0,Y428))</f>
        <v>0</v>
      </c>
      <c r="AJ428" s="43" t="str">
        <f ca="1">IF(AND(X428&lt;&gt;"",Y428="",X428&lt;TODAY()),"Overdue",IF(AND(X428&lt;&gt;"",Y428="",X428=TODAY()),"Due today",IF(Y428&lt;&gt;"","Follow-up sent","")))</f>
        <v/>
      </c>
      <c r="AK428" s="50" t="s">
        <v>734</v>
      </c>
      <c r="AL428" s="50" t="s">
        <v>735</v>
      </c>
      <c r="AM428" s="50" t="s">
        <v>736</v>
      </c>
      <c r="AN428" s="50">
        <v>5</v>
      </c>
      <c r="AO428" s="54" t="s">
        <v>1692</v>
      </c>
      <c r="AP428" s="57" t="s">
        <v>127</v>
      </c>
      <c r="AQ428" s="58"/>
      <c r="AR428" s="57"/>
    </row>
    <row r="429" spans="1:44" ht="54" customHeight="1" x14ac:dyDescent="0.25">
      <c r="A429" s="43" t="s">
        <v>1693</v>
      </c>
      <c r="B429" s="43" t="s">
        <v>790</v>
      </c>
      <c r="C429" s="43"/>
      <c r="D429" s="44" t="s">
        <v>1694</v>
      </c>
      <c r="E429" s="43"/>
      <c r="F429" s="43" t="s">
        <v>729</v>
      </c>
      <c r="G429" s="45"/>
      <c r="H429" s="45">
        <v>46161</v>
      </c>
      <c r="I429" s="43" t="s">
        <v>730</v>
      </c>
      <c r="J429" s="43" t="s">
        <v>731</v>
      </c>
      <c r="K429" s="43" t="str">
        <f>IF(LEN(D429)=10,"OK","Check")</f>
        <v>OK</v>
      </c>
      <c r="L429" s="43" t="s">
        <v>732</v>
      </c>
      <c r="M429" s="43" t="str">
        <f>IF(L429="Hold","Hold",IF(IFERROR(E429,0)&gt;=200,"High",IF(IFERROR(E429,0)&gt;=100,"Medium","Normal")))</f>
        <v>Hold</v>
      </c>
      <c r="N429" s="43" t="s">
        <v>90</v>
      </c>
      <c r="O429" s="43" t="s">
        <v>91</v>
      </c>
      <c r="P429" s="43" t="s">
        <v>92</v>
      </c>
      <c r="Q429" s="17" t="s">
        <v>93</v>
      </c>
      <c r="R429" s="45"/>
      <c r="S429" s="43"/>
      <c r="T429" s="43" t="s">
        <v>31</v>
      </c>
      <c r="U429" s="43" t="s">
        <v>94</v>
      </c>
      <c r="V429" s="43" t="s">
        <v>94</v>
      </c>
      <c r="W429" s="43" t="s">
        <v>95</v>
      </c>
      <c r="X429" s="45" t="str">
        <f>IF(AND(R429&lt;&gt;"",OR(U429="No reply",U429="Unknown")),R429+2,"")</f>
        <v/>
      </c>
      <c r="Y429" s="45"/>
      <c r="Z429" s="43" t="s">
        <v>96</v>
      </c>
      <c r="AA429" s="43" t="str">
        <f>IF(L429="Hold","Do not send",IF(T429="Not sent","Send WhatsApp",IF(U429="Demo booked","Prepare demo",IF(W429="Booked","Prepare demo",IF(AND(X429&lt;&gt;"",Y429=""),"Send follow-up","Review")))))</f>
        <v>Do not send</v>
      </c>
      <c r="AB429" s="43"/>
      <c r="AC429" s="43" t="s">
        <v>733</v>
      </c>
      <c r="AD429" s="43">
        <f>IF(AA429="Prepare demo",1,IF(AA429="Send follow-up",2,IF(AA429="Send WhatsApp",3,IF(AA429="Review",4,IF(AA429="Do not send",9,5)))))</f>
        <v>9</v>
      </c>
      <c r="AE429" s="43">
        <f>IF(M429="High",1,IF(M429="Medium",2,IF(M429="Normal",3,IF(M429="Hold",9,4))))</f>
        <v>9</v>
      </c>
      <c r="AF429" s="43">
        <f>IF(T429="Read",1,IF(T429="Delivered",2,IF(T429="Sent",3,IF(T429="Not sent",4,IF(T429="Failed",9,5)))))</f>
        <v>4</v>
      </c>
      <c r="AG429" s="43">
        <f>IF(U429="Demo booked",1,IF(U429="Interested",2,IF(U429="Replied",3,IF(U429="No reply",5,IF(U429="Not interested",8,IF(U429="Bad number",9,6))))))</f>
        <v>6</v>
      </c>
      <c r="AH429" s="46">
        <f>AD429*1000+AN429*100+AE429*10+AG429</f>
        <v>9596</v>
      </c>
      <c r="AI429" s="45">
        <f>MAX(IF(R429="",0,R429),IF(Y429="",0,Y429))</f>
        <v>0</v>
      </c>
      <c r="AJ429" s="43" t="str">
        <f ca="1">IF(AND(X429&lt;&gt;"",Y429="",X429&lt;TODAY()),"Overdue",IF(AND(X429&lt;&gt;"",Y429="",X429=TODAY()),"Due today",IF(Y429&lt;&gt;"","Follow-up sent","")))</f>
        <v/>
      </c>
      <c r="AK429" s="50" t="s">
        <v>734</v>
      </c>
      <c r="AL429" s="50" t="s">
        <v>735</v>
      </c>
      <c r="AM429" s="50" t="s">
        <v>736</v>
      </c>
      <c r="AN429" s="50">
        <v>5</v>
      </c>
      <c r="AO429" s="54" t="s">
        <v>1695</v>
      </c>
      <c r="AP429" s="57" t="s">
        <v>127</v>
      </c>
      <c r="AQ429" s="58"/>
      <c r="AR429" s="57"/>
    </row>
    <row r="430" spans="1:44" ht="54" customHeight="1" x14ac:dyDescent="0.25">
      <c r="A430" s="43" t="s">
        <v>1696</v>
      </c>
      <c r="B430" s="43" t="s">
        <v>790</v>
      </c>
      <c r="C430" s="43"/>
      <c r="D430" s="44" t="s">
        <v>1697</v>
      </c>
      <c r="E430" s="43"/>
      <c r="F430" s="43" t="s">
        <v>729</v>
      </c>
      <c r="G430" s="45"/>
      <c r="H430" s="45">
        <v>46161</v>
      </c>
      <c r="I430" s="43" t="s">
        <v>730</v>
      </c>
      <c r="J430" s="43" t="s">
        <v>731</v>
      </c>
      <c r="K430" s="43" t="str">
        <f>IF(LEN(D430)=10,"OK","Check")</f>
        <v>OK</v>
      </c>
      <c r="L430" s="43" t="s">
        <v>732</v>
      </c>
      <c r="M430" s="43" t="str">
        <f>IF(L430="Hold","Hold",IF(IFERROR(E430,0)&gt;=200,"High",IF(IFERROR(E430,0)&gt;=100,"Medium","Normal")))</f>
        <v>Hold</v>
      </c>
      <c r="N430" s="43" t="s">
        <v>90</v>
      </c>
      <c r="O430" s="43" t="s">
        <v>91</v>
      </c>
      <c r="P430" s="43" t="s">
        <v>92</v>
      </c>
      <c r="Q430" s="17" t="s">
        <v>93</v>
      </c>
      <c r="R430" s="45"/>
      <c r="S430" s="43"/>
      <c r="T430" s="43" t="s">
        <v>31</v>
      </c>
      <c r="U430" s="43" t="s">
        <v>94</v>
      </c>
      <c r="V430" s="43" t="s">
        <v>94</v>
      </c>
      <c r="W430" s="43" t="s">
        <v>95</v>
      </c>
      <c r="X430" s="45" t="str">
        <f>IF(AND(R430&lt;&gt;"",OR(U430="No reply",U430="Unknown")),R430+2,"")</f>
        <v/>
      </c>
      <c r="Y430" s="45"/>
      <c r="Z430" s="43" t="s">
        <v>96</v>
      </c>
      <c r="AA430" s="43" t="str">
        <f>IF(L430="Hold","Do not send",IF(T430="Not sent","Send WhatsApp",IF(U430="Demo booked","Prepare demo",IF(W430="Booked","Prepare demo",IF(AND(X430&lt;&gt;"",Y430=""),"Send follow-up","Review")))))</f>
        <v>Do not send</v>
      </c>
      <c r="AB430" s="43"/>
      <c r="AC430" s="43" t="s">
        <v>733</v>
      </c>
      <c r="AD430" s="43">
        <f>IF(AA430="Prepare demo",1,IF(AA430="Send follow-up",2,IF(AA430="Send WhatsApp",3,IF(AA430="Review",4,IF(AA430="Do not send",9,5)))))</f>
        <v>9</v>
      </c>
      <c r="AE430" s="43">
        <f>IF(M430="High",1,IF(M430="Medium",2,IF(M430="Normal",3,IF(M430="Hold",9,4))))</f>
        <v>9</v>
      </c>
      <c r="AF430" s="43">
        <f>IF(T430="Read",1,IF(T430="Delivered",2,IF(T430="Sent",3,IF(T430="Not sent",4,IF(T430="Failed",9,5)))))</f>
        <v>4</v>
      </c>
      <c r="AG430" s="43">
        <f>IF(U430="Demo booked",1,IF(U430="Interested",2,IF(U430="Replied",3,IF(U430="No reply",5,IF(U430="Not interested",8,IF(U430="Bad number",9,6))))))</f>
        <v>6</v>
      </c>
      <c r="AH430" s="46">
        <f>AD430*1000+AN430*100+AE430*10+AG430</f>
        <v>9596</v>
      </c>
      <c r="AI430" s="45">
        <f>MAX(IF(R430="",0,R430),IF(Y430="",0,Y430))</f>
        <v>0</v>
      </c>
      <c r="AJ430" s="43" t="str">
        <f ca="1">IF(AND(X430&lt;&gt;"",Y430="",X430&lt;TODAY()),"Overdue",IF(AND(X430&lt;&gt;"",Y430="",X430=TODAY()),"Due today",IF(Y430&lt;&gt;"","Follow-up sent","")))</f>
        <v/>
      </c>
      <c r="AK430" s="50" t="s">
        <v>734</v>
      </c>
      <c r="AL430" s="50" t="s">
        <v>735</v>
      </c>
      <c r="AM430" s="50" t="s">
        <v>736</v>
      </c>
      <c r="AN430" s="50">
        <v>5</v>
      </c>
      <c r="AO430" s="54" t="s">
        <v>1698</v>
      </c>
      <c r="AP430" s="57" t="s">
        <v>127</v>
      </c>
      <c r="AQ430" s="58"/>
      <c r="AR430" s="57"/>
    </row>
    <row r="431" spans="1:44" ht="54" customHeight="1" x14ac:dyDescent="0.25">
      <c r="A431" s="43" t="s">
        <v>1699</v>
      </c>
      <c r="B431" s="43" t="s">
        <v>790</v>
      </c>
      <c r="C431" s="43"/>
      <c r="D431" s="44" t="s">
        <v>1700</v>
      </c>
      <c r="E431" s="43"/>
      <c r="F431" s="43" t="s">
        <v>729</v>
      </c>
      <c r="G431" s="45"/>
      <c r="H431" s="45">
        <v>46161</v>
      </c>
      <c r="I431" s="43" t="s">
        <v>730</v>
      </c>
      <c r="J431" s="43" t="s">
        <v>731</v>
      </c>
      <c r="K431" s="43" t="str">
        <f>IF(LEN(D431)=10,"OK","Check")</f>
        <v>OK</v>
      </c>
      <c r="L431" s="43" t="s">
        <v>732</v>
      </c>
      <c r="M431" s="43" t="str">
        <f>IF(L431="Hold","Hold",IF(IFERROR(E431,0)&gt;=200,"High",IF(IFERROR(E431,0)&gt;=100,"Medium","Normal")))</f>
        <v>Hold</v>
      </c>
      <c r="N431" s="43" t="s">
        <v>90</v>
      </c>
      <c r="O431" s="43" t="s">
        <v>91</v>
      </c>
      <c r="P431" s="43" t="s">
        <v>92</v>
      </c>
      <c r="Q431" s="17" t="s">
        <v>93</v>
      </c>
      <c r="R431" s="45"/>
      <c r="S431" s="43"/>
      <c r="T431" s="43" t="s">
        <v>31</v>
      </c>
      <c r="U431" s="43" t="s">
        <v>94</v>
      </c>
      <c r="V431" s="43" t="s">
        <v>94</v>
      </c>
      <c r="W431" s="43" t="s">
        <v>95</v>
      </c>
      <c r="X431" s="45" t="str">
        <f>IF(AND(R431&lt;&gt;"",OR(U431="No reply",U431="Unknown")),R431+2,"")</f>
        <v/>
      </c>
      <c r="Y431" s="45"/>
      <c r="Z431" s="43" t="s">
        <v>96</v>
      </c>
      <c r="AA431" s="43" t="str">
        <f>IF(L431="Hold","Do not send",IF(T431="Not sent","Send WhatsApp",IF(U431="Demo booked","Prepare demo",IF(W431="Booked","Prepare demo",IF(AND(X431&lt;&gt;"",Y431=""),"Send follow-up","Review")))))</f>
        <v>Do not send</v>
      </c>
      <c r="AB431" s="43"/>
      <c r="AC431" s="43" t="s">
        <v>733</v>
      </c>
      <c r="AD431" s="43">
        <f>IF(AA431="Prepare demo",1,IF(AA431="Send follow-up",2,IF(AA431="Send WhatsApp",3,IF(AA431="Review",4,IF(AA431="Do not send",9,5)))))</f>
        <v>9</v>
      </c>
      <c r="AE431" s="43">
        <f>IF(M431="High",1,IF(M431="Medium",2,IF(M431="Normal",3,IF(M431="Hold",9,4))))</f>
        <v>9</v>
      </c>
      <c r="AF431" s="43">
        <f>IF(T431="Read",1,IF(T431="Delivered",2,IF(T431="Sent",3,IF(T431="Not sent",4,IF(T431="Failed",9,5)))))</f>
        <v>4</v>
      </c>
      <c r="AG431" s="43">
        <f>IF(U431="Demo booked",1,IF(U431="Interested",2,IF(U431="Replied",3,IF(U431="No reply",5,IF(U431="Not interested",8,IF(U431="Bad number",9,6))))))</f>
        <v>6</v>
      </c>
      <c r="AH431" s="46">
        <f>AD431*1000+AN431*100+AE431*10+AG431</f>
        <v>9596</v>
      </c>
      <c r="AI431" s="45">
        <f>MAX(IF(R431="",0,R431),IF(Y431="",0,Y431))</f>
        <v>0</v>
      </c>
      <c r="AJ431" s="43" t="str">
        <f ca="1">IF(AND(X431&lt;&gt;"",Y431="",X431&lt;TODAY()),"Overdue",IF(AND(X431&lt;&gt;"",Y431="",X431=TODAY()),"Due today",IF(Y431&lt;&gt;"","Follow-up sent","")))</f>
        <v/>
      </c>
      <c r="AK431" s="50" t="s">
        <v>734</v>
      </c>
      <c r="AL431" s="50" t="s">
        <v>735</v>
      </c>
      <c r="AM431" s="50" t="s">
        <v>736</v>
      </c>
      <c r="AN431" s="50">
        <v>5</v>
      </c>
      <c r="AO431" s="54" t="s">
        <v>1701</v>
      </c>
      <c r="AP431" s="57" t="s">
        <v>127</v>
      </c>
      <c r="AQ431" s="58"/>
      <c r="AR431" s="57"/>
    </row>
    <row r="432" spans="1:44" ht="54" customHeight="1" x14ac:dyDescent="0.25">
      <c r="A432" s="43" t="s">
        <v>1702</v>
      </c>
      <c r="B432" s="43" t="s">
        <v>790</v>
      </c>
      <c r="C432" s="43"/>
      <c r="D432" s="44" t="s">
        <v>1703</v>
      </c>
      <c r="E432" s="43"/>
      <c r="F432" s="43" t="s">
        <v>729</v>
      </c>
      <c r="G432" s="45"/>
      <c r="H432" s="45">
        <v>46161</v>
      </c>
      <c r="I432" s="43" t="s">
        <v>730</v>
      </c>
      <c r="J432" s="43" t="s">
        <v>731</v>
      </c>
      <c r="K432" s="43" t="str">
        <f>IF(LEN(D432)=10,"OK","Check")</f>
        <v>OK</v>
      </c>
      <c r="L432" s="43" t="s">
        <v>732</v>
      </c>
      <c r="M432" s="43" t="str">
        <f>IF(L432="Hold","Hold",IF(IFERROR(E432,0)&gt;=200,"High",IF(IFERROR(E432,0)&gt;=100,"Medium","Normal")))</f>
        <v>Hold</v>
      </c>
      <c r="N432" s="43" t="s">
        <v>90</v>
      </c>
      <c r="O432" s="43" t="s">
        <v>91</v>
      </c>
      <c r="P432" s="43" t="s">
        <v>92</v>
      </c>
      <c r="Q432" s="17" t="s">
        <v>93</v>
      </c>
      <c r="R432" s="45"/>
      <c r="S432" s="43"/>
      <c r="T432" s="43" t="s">
        <v>31</v>
      </c>
      <c r="U432" s="43" t="s">
        <v>94</v>
      </c>
      <c r="V432" s="43" t="s">
        <v>94</v>
      </c>
      <c r="W432" s="43" t="s">
        <v>95</v>
      </c>
      <c r="X432" s="45" t="str">
        <f>IF(AND(R432&lt;&gt;"",OR(U432="No reply",U432="Unknown")),R432+2,"")</f>
        <v/>
      </c>
      <c r="Y432" s="45"/>
      <c r="Z432" s="43" t="s">
        <v>96</v>
      </c>
      <c r="AA432" s="43" t="str">
        <f>IF(L432="Hold","Do not send",IF(T432="Not sent","Send WhatsApp",IF(U432="Demo booked","Prepare demo",IF(W432="Booked","Prepare demo",IF(AND(X432&lt;&gt;"",Y432=""),"Send follow-up","Review")))))</f>
        <v>Do not send</v>
      </c>
      <c r="AB432" s="43"/>
      <c r="AC432" s="43" t="s">
        <v>733</v>
      </c>
      <c r="AD432" s="43">
        <f>IF(AA432="Prepare demo",1,IF(AA432="Send follow-up",2,IF(AA432="Send WhatsApp",3,IF(AA432="Review",4,IF(AA432="Do not send",9,5)))))</f>
        <v>9</v>
      </c>
      <c r="AE432" s="43">
        <f>IF(M432="High",1,IF(M432="Medium",2,IF(M432="Normal",3,IF(M432="Hold",9,4))))</f>
        <v>9</v>
      </c>
      <c r="AF432" s="43">
        <f>IF(T432="Read",1,IF(T432="Delivered",2,IF(T432="Sent",3,IF(T432="Not sent",4,IF(T432="Failed",9,5)))))</f>
        <v>4</v>
      </c>
      <c r="AG432" s="43">
        <f>IF(U432="Demo booked",1,IF(U432="Interested",2,IF(U432="Replied",3,IF(U432="No reply",5,IF(U432="Not interested",8,IF(U432="Bad number",9,6))))))</f>
        <v>6</v>
      </c>
      <c r="AH432" s="46">
        <f>AD432*1000+AN432*100+AE432*10+AG432</f>
        <v>9596</v>
      </c>
      <c r="AI432" s="45">
        <f>MAX(IF(R432="",0,R432),IF(Y432="",0,Y432))</f>
        <v>0</v>
      </c>
      <c r="AJ432" s="43" t="str">
        <f ca="1">IF(AND(X432&lt;&gt;"",Y432="",X432&lt;TODAY()),"Overdue",IF(AND(X432&lt;&gt;"",Y432="",X432=TODAY()),"Due today",IF(Y432&lt;&gt;"","Follow-up sent","")))</f>
        <v/>
      </c>
      <c r="AK432" s="50" t="s">
        <v>734</v>
      </c>
      <c r="AL432" s="50" t="s">
        <v>735</v>
      </c>
      <c r="AM432" s="50" t="s">
        <v>736</v>
      </c>
      <c r="AN432" s="50">
        <v>5</v>
      </c>
      <c r="AO432" s="54" t="s">
        <v>1704</v>
      </c>
      <c r="AP432" s="57" t="s">
        <v>127</v>
      </c>
      <c r="AQ432" s="58"/>
      <c r="AR432" s="57"/>
    </row>
    <row r="433" spans="1:44" ht="54" customHeight="1" x14ac:dyDescent="0.25">
      <c r="A433" s="43" t="s">
        <v>1705</v>
      </c>
      <c r="B433" s="43" t="s">
        <v>790</v>
      </c>
      <c r="C433" s="43"/>
      <c r="D433" s="44" t="s">
        <v>1706</v>
      </c>
      <c r="E433" s="43"/>
      <c r="F433" s="43" t="s">
        <v>729</v>
      </c>
      <c r="G433" s="45"/>
      <c r="H433" s="45">
        <v>46161</v>
      </c>
      <c r="I433" s="43" t="s">
        <v>730</v>
      </c>
      <c r="J433" s="43" t="s">
        <v>731</v>
      </c>
      <c r="K433" s="43" t="str">
        <f>IF(LEN(D433)=10,"OK","Check")</f>
        <v>OK</v>
      </c>
      <c r="L433" s="43" t="s">
        <v>732</v>
      </c>
      <c r="M433" s="43" t="str">
        <f>IF(L433="Hold","Hold",IF(IFERROR(E433,0)&gt;=200,"High",IF(IFERROR(E433,0)&gt;=100,"Medium","Normal")))</f>
        <v>Hold</v>
      </c>
      <c r="N433" s="43" t="s">
        <v>90</v>
      </c>
      <c r="O433" s="43" t="s">
        <v>91</v>
      </c>
      <c r="P433" s="43" t="s">
        <v>92</v>
      </c>
      <c r="Q433" s="17" t="s">
        <v>93</v>
      </c>
      <c r="R433" s="45"/>
      <c r="S433" s="43"/>
      <c r="T433" s="43" t="s">
        <v>31</v>
      </c>
      <c r="U433" s="43" t="s">
        <v>94</v>
      </c>
      <c r="V433" s="43" t="s">
        <v>94</v>
      </c>
      <c r="W433" s="43" t="s">
        <v>95</v>
      </c>
      <c r="X433" s="45" t="str">
        <f>IF(AND(R433&lt;&gt;"",OR(U433="No reply",U433="Unknown")),R433+2,"")</f>
        <v/>
      </c>
      <c r="Y433" s="45"/>
      <c r="Z433" s="43" t="s">
        <v>96</v>
      </c>
      <c r="AA433" s="43" t="str">
        <f>IF(L433="Hold","Do not send",IF(T433="Not sent","Send WhatsApp",IF(U433="Demo booked","Prepare demo",IF(W433="Booked","Prepare demo",IF(AND(X433&lt;&gt;"",Y433=""),"Send follow-up","Review")))))</f>
        <v>Do not send</v>
      </c>
      <c r="AB433" s="43"/>
      <c r="AC433" s="43" t="s">
        <v>733</v>
      </c>
      <c r="AD433" s="43">
        <f>IF(AA433="Prepare demo",1,IF(AA433="Send follow-up",2,IF(AA433="Send WhatsApp",3,IF(AA433="Review",4,IF(AA433="Do not send",9,5)))))</f>
        <v>9</v>
      </c>
      <c r="AE433" s="43">
        <f>IF(M433="High",1,IF(M433="Medium",2,IF(M433="Normal",3,IF(M433="Hold",9,4))))</f>
        <v>9</v>
      </c>
      <c r="AF433" s="43">
        <f>IF(T433="Read",1,IF(T433="Delivered",2,IF(T433="Sent",3,IF(T433="Not sent",4,IF(T433="Failed",9,5)))))</f>
        <v>4</v>
      </c>
      <c r="AG433" s="43">
        <f>IF(U433="Demo booked",1,IF(U433="Interested",2,IF(U433="Replied",3,IF(U433="No reply",5,IF(U433="Not interested",8,IF(U433="Bad number",9,6))))))</f>
        <v>6</v>
      </c>
      <c r="AH433" s="46">
        <f>AD433*1000+AN433*100+AE433*10+AG433</f>
        <v>9596</v>
      </c>
      <c r="AI433" s="45">
        <f>MAX(IF(R433="",0,R433),IF(Y433="",0,Y433))</f>
        <v>0</v>
      </c>
      <c r="AJ433" s="43" t="str">
        <f ca="1">IF(AND(X433&lt;&gt;"",Y433="",X433&lt;TODAY()),"Overdue",IF(AND(X433&lt;&gt;"",Y433="",X433=TODAY()),"Due today",IF(Y433&lt;&gt;"","Follow-up sent","")))</f>
        <v/>
      </c>
      <c r="AK433" s="50" t="s">
        <v>734</v>
      </c>
      <c r="AL433" s="50" t="s">
        <v>735</v>
      </c>
      <c r="AM433" s="50" t="s">
        <v>736</v>
      </c>
      <c r="AN433" s="50">
        <v>5</v>
      </c>
      <c r="AO433" s="54" t="s">
        <v>1707</v>
      </c>
      <c r="AP433" s="57" t="s">
        <v>127</v>
      </c>
      <c r="AQ433" s="58"/>
      <c r="AR433" s="57"/>
    </row>
    <row r="434" spans="1:44" ht="54" customHeight="1" x14ac:dyDescent="0.25">
      <c r="A434" s="43" t="s">
        <v>1708</v>
      </c>
      <c r="B434" s="43" t="s">
        <v>790</v>
      </c>
      <c r="C434" s="43"/>
      <c r="D434" s="44" t="s">
        <v>1709</v>
      </c>
      <c r="E434" s="43"/>
      <c r="F434" s="43" t="s">
        <v>729</v>
      </c>
      <c r="G434" s="45"/>
      <c r="H434" s="45">
        <v>46161</v>
      </c>
      <c r="I434" s="43" t="s">
        <v>730</v>
      </c>
      <c r="J434" s="43" t="s">
        <v>731</v>
      </c>
      <c r="K434" s="43" t="str">
        <f>IF(LEN(D434)=10,"OK","Check")</f>
        <v>OK</v>
      </c>
      <c r="L434" s="43" t="s">
        <v>732</v>
      </c>
      <c r="M434" s="43" t="str">
        <f>IF(L434="Hold","Hold",IF(IFERROR(E434,0)&gt;=200,"High",IF(IFERROR(E434,0)&gt;=100,"Medium","Normal")))</f>
        <v>Hold</v>
      </c>
      <c r="N434" s="43" t="s">
        <v>90</v>
      </c>
      <c r="O434" s="43" t="s">
        <v>91</v>
      </c>
      <c r="P434" s="43" t="s">
        <v>92</v>
      </c>
      <c r="Q434" s="17" t="s">
        <v>93</v>
      </c>
      <c r="R434" s="45"/>
      <c r="S434" s="43"/>
      <c r="T434" s="43" t="s">
        <v>31</v>
      </c>
      <c r="U434" s="43" t="s">
        <v>94</v>
      </c>
      <c r="V434" s="43" t="s">
        <v>94</v>
      </c>
      <c r="W434" s="43" t="s">
        <v>95</v>
      </c>
      <c r="X434" s="45" t="str">
        <f>IF(AND(R434&lt;&gt;"",OR(U434="No reply",U434="Unknown")),R434+2,"")</f>
        <v/>
      </c>
      <c r="Y434" s="45"/>
      <c r="Z434" s="43" t="s">
        <v>96</v>
      </c>
      <c r="AA434" s="43" t="str">
        <f>IF(L434="Hold","Do not send",IF(T434="Not sent","Send WhatsApp",IF(U434="Demo booked","Prepare demo",IF(W434="Booked","Prepare demo",IF(AND(X434&lt;&gt;"",Y434=""),"Send follow-up","Review")))))</f>
        <v>Do not send</v>
      </c>
      <c r="AB434" s="43"/>
      <c r="AC434" s="43" t="s">
        <v>733</v>
      </c>
      <c r="AD434" s="43">
        <f>IF(AA434="Prepare demo",1,IF(AA434="Send follow-up",2,IF(AA434="Send WhatsApp",3,IF(AA434="Review",4,IF(AA434="Do not send",9,5)))))</f>
        <v>9</v>
      </c>
      <c r="AE434" s="43">
        <f>IF(M434="High",1,IF(M434="Medium",2,IF(M434="Normal",3,IF(M434="Hold",9,4))))</f>
        <v>9</v>
      </c>
      <c r="AF434" s="43">
        <f>IF(T434="Read",1,IF(T434="Delivered",2,IF(T434="Sent",3,IF(T434="Not sent",4,IF(T434="Failed",9,5)))))</f>
        <v>4</v>
      </c>
      <c r="AG434" s="43">
        <f>IF(U434="Demo booked",1,IF(U434="Interested",2,IF(U434="Replied",3,IF(U434="No reply",5,IF(U434="Not interested",8,IF(U434="Bad number",9,6))))))</f>
        <v>6</v>
      </c>
      <c r="AH434" s="46">
        <f>AD434*1000+AN434*100+AE434*10+AG434</f>
        <v>9596</v>
      </c>
      <c r="AI434" s="45">
        <f>MAX(IF(R434="",0,R434),IF(Y434="",0,Y434))</f>
        <v>0</v>
      </c>
      <c r="AJ434" s="43" t="str">
        <f ca="1">IF(AND(X434&lt;&gt;"",Y434="",X434&lt;TODAY()),"Overdue",IF(AND(X434&lt;&gt;"",Y434="",X434=TODAY()),"Due today",IF(Y434&lt;&gt;"","Follow-up sent","")))</f>
        <v/>
      </c>
      <c r="AK434" s="50" t="s">
        <v>734</v>
      </c>
      <c r="AL434" s="50" t="s">
        <v>735</v>
      </c>
      <c r="AM434" s="50" t="s">
        <v>736</v>
      </c>
      <c r="AN434" s="50">
        <v>5</v>
      </c>
      <c r="AO434" s="54" t="s">
        <v>1710</v>
      </c>
      <c r="AP434" s="57" t="s">
        <v>127</v>
      </c>
      <c r="AQ434" s="58"/>
      <c r="AR434" s="57"/>
    </row>
    <row r="435" spans="1:44" ht="54" customHeight="1" x14ac:dyDescent="0.25">
      <c r="A435" s="43" t="s">
        <v>1711</v>
      </c>
      <c r="B435" s="43" t="s">
        <v>790</v>
      </c>
      <c r="C435" s="43"/>
      <c r="D435" s="44" t="s">
        <v>1712</v>
      </c>
      <c r="E435" s="43"/>
      <c r="F435" s="43" t="s">
        <v>729</v>
      </c>
      <c r="G435" s="45"/>
      <c r="H435" s="45">
        <v>46161</v>
      </c>
      <c r="I435" s="43" t="s">
        <v>730</v>
      </c>
      <c r="J435" s="43" t="s">
        <v>731</v>
      </c>
      <c r="K435" s="43" t="str">
        <f>IF(LEN(D435)=10,"OK","Check")</f>
        <v>OK</v>
      </c>
      <c r="L435" s="43" t="s">
        <v>732</v>
      </c>
      <c r="M435" s="43" t="str">
        <f>IF(L435="Hold","Hold",IF(IFERROR(E435,0)&gt;=200,"High",IF(IFERROR(E435,0)&gt;=100,"Medium","Normal")))</f>
        <v>Hold</v>
      </c>
      <c r="N435" s="43" t="s">
        <v>90</v>
      </c>
      <c r="O435" s="43" t="s">
        <v>91</v>
      </c>
      <c r="P435" s="43" t="s">
        <v>92</v>
      </c>
      <c r="Q435" s="17" t="s">
        <v>93</v>
      </c>
      <c r="R435" s="45"/>
      <c r="S435" s="43"/>
      <c r="T435" s="43" t="s">
        <v>31</v>
      </c>
      <c r="U435" s="43" t="s">
        <v>94</v>
      </c>
      <c r="V435" s="43" t="s">
        <v>94</v>
      </c>
      <c r="W435" s="43" t="s">
        <v>95</v>
      </c>
      <c r="X435" s="45" t="str">
        <f>IF(AND(R435&lt;&gt;"",OR(U435="No reply",U435="Unknown")),R435+2,"")</f>
        <v/>
      </c>
      <c r="Y435" s="45"/>
      <c r="Z435" s="43" t="s">
        <v>96</v>
      </c>
      <c r="AA435" s="43" t="str">
        <f>IF(L435="Hold","Do not send",IF(T435="Not sent","Send WhatsApp",IF(U435="Demo booked","Prepare demo",IF(W435="Booked","Prepare demo",IF(AND(X435&lt;&gt;"",Y435=""),"Send follow-up","Review")))))</f>
        <v>Do not send</v>
      </c>
      <c r="AB435" s="43"/>
      <c r="AC435" s="43" t="s">
        <v>733</v>
      </c>
      <c r="AD435" s="43">
        <f>IF(AA435="Prepare demo",1,IF(AA435="Send follow-up",2,IF(AA435="Send WhatsApp",3,IF(AA435="Review",4,IF(AA435="Do not send",9,5)))))</f>
        <v>9</v>
      </c>
      <c r="AE435" s="43">
        <f>IF(M435="High",1,IF(M435="Medium",2,IF(M435="Normal",3,IF(M435="Hold",9,4))))</f>
        <v>9</v>
      </c>
      <c r="AF435" s="43">
        <f>IF(T435="Read",1,IF(T435="Delivered",2,IF(T435="Sent",3,IF(T435="Not sent",4,IF(T435="Failed",9,5)))))</f>
        <v>4</v>
      </c>
      <c r="AG435" s="43">
        <f>IF(U435="Demo booked",1,IF(U435="Interested",2,IF(U435="Replied",3,IF(U435="No reply",5,IF(U435="Not interested",8,IF(U435="Bad number",9,6))))))</f>
        <v>6</v>
      </c>
      <c r="AH435" s="46">
        <f>AD435*1000+AN435*100+AE435*10+AG435</f>
        <v>9596</v>
      </c>
      <c r="AI435" s="45">
        <f>MAX(IF(R435="",0,R435),IF(Y435="",0,Y435))</f>
        <v>0</v>
      </c>
      <c r="AJ435" s="43" t="str">
        <f ca="1">IF(AND(X435&lt;&gt;"",Y435="",X435&lt;TODAY()),"Overdue",IF(AND(X435&lt;&gt;"",Y435="",X435=TODAY()),"Due today",IF(Y435&lt;&gt;"","Follow-up sent","")))</f>
        <v/>
      </c>
      <c r="AK435" s="50" t="s">
        <v>734</v>
      </c>
      <c r="AL435" s="50" t="s">
        <v>735</v>
      </c>
      <c r="AM435" s="50" t="s">
        <v>736</v>
      </c>
      <c r="AN435" s="50">
        <v>5</v>
      </c>
      <c r="AO435" s="54" t="s">
        <v>1713</v>
      </c>
      <c r="AP435" s="57" t="s">
        <v>127</v>
      </c>
      <c r="AQ435" s="58"/>
      <c r="AR435" s="57"/>
    </row>
    <row r="436" spans="1:44" ht="54" customHeight="1" x14ac:dyDescent="0.25">
      <c r="A436" s="43" t="s">
        <v>1714</v>
      </c>
      <c r="B436" s="43" t="s">
        <v>790</v>
      </c>
      <c r="C436" s="43"/>
      <c r="D436" s="44" t="s">
        <v>1715</v>
      </c>
      <c r="E436" s="43"/>
      <c r="F436" s="43" t="s">
        <v>729</v>
      </c>
      <c r="G436" s="45"/>
      <c r="H436" s="45">
        <v>46161</v>
      </c>
      <c r="I436" s="43" t="s">
        <v>730</v>
      </c>
      <c r="J436" s="43" t="s">
        <v>731</v>
      </c>
      <c r="K436" s="43" t="str">
        <f>IF(LEN(D436)=10,"OK","Check")</f>
        <v>OK</v>
      </c>
      <c r="L436" s="43" t="s">
        <v>732</v>
      </c>
      <c r="M436" s="43" t="str">
        <f>IF(L436="Hold","Hold",IF(IFERROR(E436,0)&gt;=200,"High",IF(IFERROR(E436,0)&gt;=100,"Medium","Normal")))</f>
        <v>Hold</v>
      </c>
      <c r="N436" s="43" t="s">
        <v>90</v>
      </c>
      <c r="O436" s="43" t="s">
        <v>91</v>
      </c>
      <c r="P436" s="43" t="s">
        <v>92</v>
      </c>
      <c r="Q436" s="17" t="s">
        <v>93</v>
      </c>
      <c r="R436" s="45"/>
      <c r="S436" s="43"/>
      <c r="T436" s="43" t="s">
        <v>31</v>
      </c>
      <c r="U436" s="43" t="s">
        <v>94</v>
      </c>
      <c r="V436" s="43" t="s">
        <v>94</v>
      </c>
      <c r="W436" s="43" t="s">
        <v>95</v>
      </c>
      <c r="X436" s="45" t="str">
        <f>IF(AND(R436&lt;&gt;"",OR(U436="No reply",U436="Unknown")),R436+2,"")</f>
        <v/>
      </c>
      <c r="Y436" s="45"/>
      <c r="Z436" s="43" t="s">
        <v>96</v>
      </c>
      <c r="AA436" s="43" t="str">
        <f>IF(L436="Hold","Do not send",IF(T436="Not sent","Send WhatsApp",IF(U436="Demo booked","Prepare demo",IF(W436="Booked","Prepare demo",IF(AND(X436&lt;&gt;"",Y436=""),"Send follow-up","Review")))))</f>
        <v>Do not send</v>
      </c>
      <c r="AB436" s="43"/>
      <c r="AC436" s="43" t="s">
        <v>733</v>
      </c>
      <c r="AD436" s="43">
        <f>IF(AA436="Prepare demo",1,IF(AA436="Send follow-up",2,IF(AA436="Send WhatsApp",3,IF(AA436="Review",4,IF(AA436="Do not send",9,5)))))</f>
        <v>9</v>
      </c>
      <c r="AE436" s="43">
        <f>IF(M436="High",1,IF(M436="Medium",2,IF(M436="Normal",3,IF(M436="Hold",9,4))))</f>
        <v>9</v>
      </c>
      <c r="AF436" s="43">
        <f>IF(T436="Read",1,IF(T436="Delivered",2,IF(T436="Sent",3,IF(T436="Not sent",4,IF(T436="Failed",9,5)))))</f>
        <v>4</v>
      </c>
      <c r="AG436" s="43">
        <f>IF(U436="Demo booked",1,IF(U436="Interested",2,IF(U436="Replied",3,IF(U436="No reply",5,IF(U436="Not interested",8,IF(U436="Bad number",9,6))))))</f>
        <v>6</v>
      </c>
      <c r="AH436" s="46">
        <f>AD436*1000+AN436*100+AE436*10+AG436</f>
        <v>9596</v>
      </c>
      <c r="AI436" s="45">
        <f>MAX(IF(R436="",0,R436),IF(Y436="",0,Y436))</f>
        <v>0</v>
      </c>
      <c r="AJ436" s="43" t="str">
        <f ca="1">IF(AND(X436&lt;&gt;"",Y436="",X436&lt;TODAY()),"Overdue",IF(AND(X436&lt;&gt;"",Y436="",X436=TODAY()),"Due today",IF(Y436&lt;&gt;"","Follow-up sent","")))</f>
        <v/>
      </c>
      <c r="AK436" s="50" t="s">
        <v>734</v>
      </c>
      <c r="AL436" s="50" t="s">
        <v>735</v>
      </c>
      <c r="AM436" s="50" t="s">
        <v>736</v>
      </c>
      <c r="AN436" s="50">
        <v>5</v>
      </c>
      <c r="AO436" s="54" t="s">
        <v>1716</v>
      </c>
      <c r="AP436" s="57" t="s">
        <v>127</v>
      </c>
      <c r="AQ436" s="58"/>
      <c r="AR436" s="57"/>
    </row>
    <row r="437" spans="1:44" ht="54" customHeight="1" x14ac:dyDescent="0.25">
      <c r="A437" s="43" t="s">
        <v>1717</v>
      </c>
      <c r="B437" s="43" t="s">
        <v>790</v>
      </c>
      <c r="C437" s="43"/>
      <c r="D437" s="44" t="s">
        <v>1718</v>
      </c>
      <c r="E437" s="43"/>
      <c r="F437" s="43" t="s">
        <v>729</v>
      </c>
      <c r="G437" s="45"/>
      <c r="H437" s="45">
        <v>46161</v>
      </c>
      <c r="I437" s="43" t="s">
        <v>730</v>
      </c>
      <c r="J437" s="43" t="s">
        <v>731</v>
      </c>
      <c r="K437" s="43" t="str">
        <f>IF(LEN(D437)=10,"OK","Check")</f>
        <v>OK</v>
      </c>
      <c r="L437" s="43" t="s">
        <v>732</v>
      </c>
      <c r="M437" s="43" t="str">
        <f>IF(L437="Hold","Hold",IF(IFERROR(E437,0)&gt;=200,"High",IF(IFERROR(E437,0)&gt;=100,"Medium","Normal")))</f>
        <v>Hold</v>
      </c>
      <c r="N437" s="43" t="s">
        <v>90</v>
      </c>
      <c r="O437" s="43" t="s">
        <v>91</v>
      </c>
      <c r="P437" s="43" t="s">
        <v>92</v>
      </c>
      <c r="Q437" s="17" t="s">
        <v>93</v>
      </c>
      <c r="R437" s="45"/>
      <c r="S437" s="43"/>
      <c r="T437" s="43" t="s">
        <v>31</v>
      </c>
      <c r="U437" s="43" t="s">
        <v>94</v>
      </c>
      <c r="V437" s="43" t="s">
        <v>94</v>
      </c>
      <c r="W437" s="43" t="s">
        <v>95</v>
      </c>
      <c r="X437" s="45" t="str">
        <f>IF(AND(R437&lt;&gt;"",OR(U437="No reply",U437="Unknown")),R437+2,"")</f>
        <v/>
      </c>
      <c r="Y437" s="45"/>
      <c r="Z437" s="43" t="s">
        <v>96</v>
      </c>
      <c r="AA437" s="43" t="str">
        <f>IF(L437="Hold","Do not send",IF(T437="Not sent","Send WhatsApp",IF(U437="Demo booked","Prepare demo",IF(W437="Booked","Prepare demo",IF(AND(X437&lt;&gt;"",Y437=""),"Send follow-up","Review")))))</f>
        <v>Do not send</v>
      </c>
      <c r="AB437" s="43"/>
      <c r="AC437" s="43" t="s">
        <v>733</v>
      </c>
      <c r="AD437" s="43">
        <f>IF(AA437="Prepare demo",1,IF(AA437="Send follow-up",2,IF(AA437="Send WhatsApp",3,IF(AA437="Review",4,IF(AA437="Do not send",9,5)))))</f>
        <v>9</v>
      </c>
      <c r="AE437" s="43">
        <f>IF(M437="High",1,IF(M437="Medium",2,IF(M437="Normal",3,IF(M437="Hold",9,4))))</f>
        <v>9</v>
      </c>
      <c r="AF437" s="43">
        <f>IF(T437="Read",1,IF(T437="Delivered",2,IF(T437="Sent",3,IF(T437="Not sent",4,IF(T437="Failed",9,5)))))</f>
        <v>4</v>
      </c>
      <c r="AG437" s="43">
        <f>IF(U437="Demo booked",1,IF(U437="Interested",2,IF(U437="Replied",3,IF(U437="No reply",5,IF(U437="Not interested",8,IF(U437="Bad number",9,6))))))</f>
        <v>6</v>
      </c>
      <c r="AH437" s="46">
        <f>AD437*1000+AN437*100+AE437*10+AG437</f>
        <v>9596</v>
      </c>
      <c r="AI437" s="45">
        <f>MAX(IF(R437="",0,R437),IF(Y437="",0,Y437))</f>
        <v>0</v>
      </c>
      <c r="AJ437" s="43" t="str">
        <f ca="1">IF(AND(X437&lt;&gt;"",Y437="",X437&lt;TODAY()),"Overdue",IF(AND(X437&lt;&gt;"",Y437="",X437=TODAY()),"Due today",IF(Y437&lt;&gt;"","Follow-up sent","")))</f>
        <v/>
      </c>
      <c r="AK437" s="50" t="s">
        <v>734</v>
      </c>
      <c r="AL437" s="50" t="s">
        <v>735</v>
      </c>
      <c r="AM437" s="50" t="s">
        <v>736</v>
      </c>
      <c r="AN437" s="50">
        <v>5</v>
      </c>
      <c r="AO437" s="54" t="s">
        <v>1719</v>
      </c>
      <c r="AP437" s="57" t="s">
        <v>127</v>
      </c>
      <c r="AQ437" s="58"/>
      <c r="AR437" s="57"/>
    </row>
    <row r="438" spans="1:44" ht="54" customHeight="1" x14ac:dyDescent="0.25">
      <c r="A438" s="43" t="s">
        <v>1720</v>
      </c>
      <c r="B438" s="43" t="s">
        <v>790</v>
      </c>
      <c r="C438" s="43"/>
      <c r="D438" s="44" t="s">
        <v>1721</v>
      </c>
      <c r="E438" s="43"/>
      <c r="F438" s="43" t="s">
        <v>729</v>
      </c>
      <c r="G438" s="45"/>
      <c r="H438" s="45">
        <v>46161</v>
      </c>
      <c r="I438" s="43" t="s">
        <v>730</v>
      </c>
      <c r="J438" s="43" t="s">
        <v>731</v>
      </c>
      <c r="K438" s="43" t="str">
        <f>IF(LEN(D438)=10,"OK","Check")</f>
        <v>OK</v>
      </c>
      <c r="L438" s="43" t="s">
        <v>732</v>
      </c>
      <c r="M438" s="43" t="str">
        <f>IF(L438="Hold","Hold",IF(IFERROR(E438,0)&gt;=200,"High",IF(IFERROR(E438,0)&gt;=100,"Medium","Normal")))</f>
        <v>Hold</v>
      </c>
      <c r="N438" s="43" t="s">
        <v>90</v>
      </c>
      <c r="O438" s="43" t="s">
        <v>91</v>
      </c>
      <c r="P438" s="43" t="s">
        <v>92</v>
      </c>
      <c r="Q438" s="17" t="s">
        <v>93</v>
      </c>
      <c r="R438" s="45"/>
      <c r="S438" s="43"/>
      <c r="T438" s="43" t="s">
        <v>31</v>
      </c>
      <c r="U438" s="43" t="s">
        <v>94</v>
      </c>
      <c r="V438" s="43" t="s">
        <v>94</v>
      </c>
      <c r="W438" s="43" t="s">
        <v>95</v>
      </c>
      <c r="X438" s="45" t="str">
        <f>IF(AND(R438&lt;&gt;"",OR(U438="No reply",U438="Unknown")),R438+2,"")</f>
        <v/>
      </c>
      <c r="Y438" s="45"/>
      <c r="Z438" s="43" t="s">
        <v>96</v>
      </c>
      <c r="AA438" s="43" t="str">
        <f>IF(L438="Hold","Do not send",IF(T438="Not sent","Send WhatsApp",IF(U438="Demo booked","Prepare demo",IF(W438="Booked","Prepare demo",IF(AND(X438&lt;&gt;"",Y438=""),"Send follow-up","Review")))))</f>
        <v>Do not send</v>
      </c>
      <c r="AB438" s="43"/>
      <c r="AC438" s="43" t="s">
        <v>733</v>
      </c>
      <c r="AD438" s="43">
        <f>IF(AA438="Prepare demo",1,IF(AA438="Send follow-up",2,IF(AA438="Send WhatsApp",3,IF(AA438="Review",4,IF(AA438="Do not send",9,5)))))</f>
        <v>9</v>
      </c>
      <c r="AE438" s="43">
        <f>IF(M438="High",1,IF(M438="Medium",2,IF(M438="Normal",3,IF(M438="Hold",9,4))))</f>
        <v>9</v>
      </c>
      <c r="AF438" s="43">
        <f>IF(T438="Read",1,IF(T438="Delivered",2,IF(T438="Sent",3,IF(T438="Not sent",4,IF(T438="Failed",9,5)))))</f>
        <v>4</v>
      </c>
      <c r="AG438" s="43">
        <f>IF(U438="Demo booked",1,IF(U438="Interested",2,IF(U438="Replied",3,IF(U438="No reply",5,IF(U438="Not interested",8,IF(U438="Bad number",9,6))))))</f>
        <v>6</v>
      </c>
      <c r="AH438" s="46">
        <f>AD438*1000+AN438*100+AE438*10+AG438</f>
        <v>9596</v>
      </c>
      <c r="AI438" s="45">
        <f>MAX(IF(R438="",0,R438),IF(Y438="",0,Y438))</f>
        <v>0</v>
      </c>
      <c r="AJ438" s="43" t="str">
        <f ca="1">IF(AND(X438&lt;&gt;"",Y438="",X438&lt;TODAY()),"Overdue",IF(AND(X438&lt;&gt;"",Y438="",X438=TODAY()),"Due today",IF(Y438&lt;&gt;"","Follow-up sent","")))</f>
        <v/>
      </c>
      <c r="AK438" s="50" t="s">
        <v>734</v>
      </c>
      <c r="AL438" s="50" t="s">
        <v>735</v>
      </c>
      <c r="AM438" s="50" t="s">
        <v>736</v>
      </c>
      <c r="AN438" s="50">
        <v>5</v>
      </c>
      <c r="AO438" s="54" t="s">
        <v>1722</v>
      </c>
      <c r="AP438" s="57" t="s">
        <v>127</v>
      </c>
      <c r="AQ438" s="58"/>
      <c r="AR438" s="57"/>
    </row>
    <row r="439" spans="1:44" ht="54" customHeight="1" x14ac:dyDescent="0.25">
      <c r="A439" s="43" t="s">
        <v>1723</v>
      </c>
      <c r="B439" s="43" t="s">
        <v>790</v>
      </c>
      <c r="C439" s="43"/>
      <c r="D439" s="44" t="s">
        <v>1724</v>
      </c>
      <c r="E439" s="43"/>
      <c r="F439" s="43" t="s">
        <v>729</v>
      </c>
      <c r="G439" s="45"/>
      <c r="H439" s="45">
        <v>46161</v>
      </c>
      <c r="I439" s="43" t="s">
        <v>730</v>
      </c>
      <c r="J439" s="43" t="s">
        <v>731</v>
      </c>
      <c r="K439" s="43" t="str">
        <f>IF(LEN(D439)=10,"OK","Check")</f>
        <v>OK</v>
      </c>
      <c r="L439" s="43" t="s">
        <v>732</v>
      </c>
      <c r="M439" s="43" t="str">
        <f>IF(L439="Hold","Hold",IF(IFERROR(E439,0)&gt;=200,"High",IF(IFERROR(E439,0)&gt;=100,"Medium","Normal")))</f>
        <v>Hold</v>
      </c>
      <c r="N439" s="43" t="s">
        <v>90</v>
      </c>
      <c r="O439" s="43" t="s">
        <v>91</v>
      </c>
      <c r="P439" s="43" t="s">
        <v>92</v>
      </c>
      <c r="Q439" s="17" t="s">
        <v>93</v>
      </c>
      <c r="R439" s="45"/>
      <c r="S439" s="43"/>
      <c r="T439" s="43" t="s">
        <v>31</v>
      </c>
      <c r="U439" s="43" t="s">
        <v>94</v>
      </c>
      <c r="V439" s="43" t="s">
        <v>94</v>
      </c>
      <c r="W439" s="43" t="s">
        <v>95</v>
      </c>
      <c r="X439" s="45" t="str">
        <f>IF(AND(R439&lt;&gt;"",OR(U439="No reply",U439="Unknown")),R439+2,"")</f>
        <v/>
      </c>
      <c r="Y439" s="45"/>
      <c r="Z439" s="43" t="s">
        <v>96</v>
      </c>
      <c r="AA439" s="43" t="str">
        <f>IF(L439="Hold","Do not send",IF(T439="Not sent","Send WhatsApp",IF(U439="Demo booked","Prepare demo",IF(W439="Booked","Prepare demo",IF(AND(X439&lt;&gt;"",Y439=""),"Send follow-up","Review")))))</f>
        <v>Do not send</v>
      </c>
      <c r="AB439" s="43"/>
      <c r="AC439" s="43" t="s">
        <v>733</v>
      </c>
      <c r="AD439" s="43">
        <f>IF(AA439="Prepare demo",1,IF(AA439="Send follow-up",2,IF(AA439="Send WhatsApp",3,IF(AA439="Review",4,IF(AA439="Do not send",9,5)))))</f>
        <v>9</v>
      </c>
      <c r="AE439" s="43">
        <f>IF(M439="High",1,IF(M439="Medium",2,IF(M439="Normal",3,IF(M439="Hold",9,4))))</f>
        <v>9</v>
      </c>
      <c r="AF439" s="43">
        <f>IF(T439="Read",1,IF(T439="Delivered",2,IF(T439="Sent",3,IF(T439="Not sent",4,IF(T439="Failed",9,5)))))</f>
        <v>4</v>
      </c>
      <c r="AG439" s="43">
        <f>IF(U439="Demo booked",1,IF(U439="Interested",2,IF(U439="Replied",3,IF(U439="No reply",5,IF(U439="Not interested",8,IF(U439="Bad number",9,6))))))</f>
        <v>6</v>
      </c>
      <c r="AH439" s="46">
        <f>AD439*1000+AN439*100+AE439*10+AG439</f>
        <v>9596</v>
      </c>
      <c r="AI439" s="45">
        <f>MAX(IF(R439="",0,R439),IF(Y439="",0,Y439))</f>
        <v>0</v>
      </c>
      <c r="AJ439" s="43" t="str">
        <f ca="1">IF(AND(X439&lt;&gt;"",Y439="",X439&lt;TODAY()),"Overdue",IF(AND(X439&lt;&gt;"",Y439="",X439=TODAY()),"Due today",IF(Y439&lt;&gt;"","Follow-up sent","")))</f>
        <v/>
      </c>
      <c r="AK439" s="50" t="s">
        <v>734</v>
      </c>
      <c r="AL439" s="50" t="s">
        <v>735</v>
      </c>
      <c r="AM439" s="50" t="s">
        <v>736</v>
      </c>
      <c r="AN439" s="50">
        <v>5</v>
      </c>
      <c r="AO439" s="54" t="s">
        <v>1725</v>
      </c>
      <c r="AP439" s="57" t="s">
        <v>127</v>
      </c>
      <c r="AQ439" s="58"/>
      <c r="AR439" s="57"/>
    </row>
    <row r="440" spans="1:44" ht="54" customHeight="1" x14ac:dyDescent="0.25">
      <c r="A440" s="43" t="s">
        <v>1726</v>
      </c>
      <c r="B440" s="43" t="s">
        <v>790</v>
      </c>
      <c r="C440" s="43"/>
      <c r="D440" s="44" t="s">
        <v>1727</v>
      </c>
      <c r="E440" s="43"/>
      <c r="F440" s="43" t="s">
        <v>729</v>
      </c>
      <c r="G440" s="45"/>
      <c r="H440" s="45">
        <v>46161</v>
      </c>
      <c r="I440" s="43" t="s">
        <v>730</v>
      </c>
      <c r="J440" s="43" t="s">
        <v>731</v>
      </c>
      <c r="K440" s="43" t="str">
        <f>IF(LEN(D440)=10,"OK","Check")</f>
        <v>OK</v>
      </c>
      <c r="L440" s="43" t="s">
        <v>732</v>
      </c>
      <c r="M440" s="43" t="str">
        <f>IF(L440="Hold","Hold",IF(IFERROR(E440,0)&gt;=200,"High",IF(IFERROR(E440,0)&gt;=100,"Medium","Normal")))</f>
        <v>Hold</v>
      </c>
      <c r="N440" s="43" t="s">
        <v>90</v>
      </c>
      <c r="O440" s="43" t="s">
        <v>91</v>
      </c>
      <c r="P440" s="43" t="s">
        <v>92</v>
      </c>
      <c r="Q440" s="17" t="s">
        <v>93</v>
      </c>
      <c r="R440" s="45"/>
      <c r="S440" s="43"/>
      <c r="T440" s="43" t="s">
        <v>31</v>
      </c>
      <c r="U440" s="43" t="s">
        <v>94</v>
      </c>
      <c r="V440" s="43" t="s">
        <v>94</v>
      </c>
      <c r="W440" s="43" t="s">
        <v>95</v>
      </c>
      <c r="X440" s="45" t="str">
        <f>IF(AND(R440&lt;&gt;"",OR(U440="No reply",U440="Unknown")),R440+2,"")</f>
        <v/>
      </c>
      <c r="Y440" s="45"/>
      <c r="Z440" s="43" t="s">
        <v>96</v>
      </c>
      <c r="AA440" s="43" t="str">
        <f>IF(L440="Hold","Do not send",IF(T440="Not sent","Send WhatsApp",IF(U440="Demo booked","Prepare demo",IF(W440="Booked","Prepare demo",IF(AND(X440&lt;&gt;"",Y440=""),"Send follow-up","Review")))))</f>
        <v>Do not send</v>
      </c>
      <c r="AB440" s="43"/>
      <c r="AC440" s="43" t="s">
        <v>733</v>
      </c>
      <c r="AD440" s="43">
        <f>IF(AA440="Prepare demo",1,IF(AA440="Send follow-up",2,IF(AA440="Send WhatsApp",3,IF(AA440="Review",4,IF(AA440="Do not send",9,5)))))</f>
        <v>9</v>
      </c>
      <c r="AE440" s="43">
        <f>IF(M440="High",1,IF(M440="Medium",2,IF(M440="Normal",3,IF(M440="Hold",9,4))))</f>
        <v>9</v>
      </c>
      <c r="AF440" s="43">
        <f>IF(T440="Read",1,IF(T440="Delivered",2,IF(T440="Sent",3,IF(T440="Not sent",4,IF(T440="Failed",9,5)))))</f>
        <v>4</v>
      </c>
      <c r="AG440" s="43">
        <f>IF(U440="Demo booked",1,IF(U440="Interested",2,IF(U440="Replied",3,IF(U440="No reply",5,IF(U440="Not interested",8,IF(U440="Bad number",9,6))))))</f>
        <v>6</v>
      </c>
      <c r="AH440" s="46">
        <f>AD440*1000+AN440*100+AE440*10+AG440</f>
        <v>9596</v>
      </c>
      <c r="AI440" s="45">
        <f>MAX(IF(R440="",0,R440),IF(Y440="",0,Y440))</f>
        <v>0</v>
      </c>
      <c r="AJ440" s="43" t="str">
        <f ca="1">IF(AND(X440&lt;&gt;"",Y440="",X440&lt;TODAY()),"Overdue",IF(AND(X440&lt;&gt;"",Y440="",X440=TODAY()),"Due today",IF(Y440&lt;&gt;"","Follow-up sent","")))</f>
        <v/>
      </c>
      <c r="AK440" s="50" t="s">
        <v>734</v>
      </c>
      <c r="AL440" s="50" t="s">
        <v>735</v>
      </c>
      <c r="AM440" s="50" t="s">
        <v>736</v>
      </c>
      <c r="AN440" s="50">
        <v>5</v>
      </c>
      <c r="AO440" s="54" t="s">
        <v>1728</v>
      </c>
      <c r="AP440" s="57" t="s">
        <v>127</v>
      </c>
      <c r="AQ440" s="58"/>
      <c r="AR440" s="57"/>
    </row>
    <row r="441" spans="1:44" ht="54" customHeight="1" x14ac:dyDescent="0.25">
      <c r="A441" s="43" t="s">
        <v>1729</v>
      </c>
      <c r="B441" s="43" t="s">
        <v>1277</v>
      </c>
      <c r="C441" s="43" t="s">
        <v>1277</v>
      </c>
      <c r="D441" s="44" t="s">
        <v>1730</v>
      </c>
      <c r="E441" s="43"/>
      <c r="F441" s="43" t="s">
        <v>729</v>
      </c>
      <c r="G441" s="45"/>
      <c r="H441" s="45">
        <v>46161</v>
      </c>
      <c r="I441" s="43" t="s">
        <v>730</v>
      </c>
      <c r="J441" s="43" t="s">
        <v>731</v>
      </c>
      <c r="K441" s="43" t="str">
        <f>IF(LEN(D441)=10,"OK","Check")</f>
        <v>OK</v>
      </c>
      <c r="L441" s="43" t="s">
        <v>732</v>
      </c>
      <c r="M441" s="43" t="str">
        <f>IF(L441="Hold","Hold",IF(IFERROR(E441,0)&gt;=200,"High",IF(IFERROR(E441,0)&gt;=100,"Medium","Normal")))</f>
        <v>Hold</v>
      </c>
      <c r="N441" s="43" t="s">
        <v>90</v>
      </c>
      <c r="O441" s="43" t="s">
        <v>91</v>
      </c>
      <c r="P441" s="43" t="s">
        <v>92</v>
      </c>
      <c r="Q441" s="17" t="s">
        <v>93</v>
      </c>
      <c r="R441" s="45"/>
      <c r="S441" s="43"/>
      <c r="T441" s="43" t="s">
        <v>31</v>
      </c>
      <c r="U441" s="43" t="s">
        <v>94</v>
      </c>
      <c r="V441" s="43" t="s">
        <v>94</v>
      </c>
      <c r="W441" s="43" t="s">
        <v>95</v>
      </c>
      <c r="X441" s="45" t="str">
        <f>IF(AND(R441&lt;&gt;"",OR(U441="No reply",U441="Unknown")),R441+2,"")</f>
        <v/>
      </c>
      <c r="Y441" s="45"/>
      <c r="Z441" s="43" t="s">
        <v>96</v>
      </c>
      <c r="AA441" s="43" t="str">
        <f>IF(L441="Hold","Do not send",IF(T441="Not sent","Send WhatsApp",IF(U441="Demo booked","Prepare demo",IF(W441="Booked","Prepare demo",IF(AND(X441&lt;&gt;"",Y441=""),"Send follow-up","Review")))))</f>
        <v>Do not send</v>
      </c>
      <c r="AB441" s="43"/>
      <c r="AC441" s="43" t="s">
        <v>733</v>
      </c>
      <c r="AD441" s="43">
        <f>IF(AA441="Prepare demo",1,IF(AA441="Send follow-up",2,IF(AA441="Send WhatsApp",3,IF(AA441="Review",4,IF(AA441="Do not send",9,5)))))</f>
        <v>9</v>
      </c>
      <c r="AE441" s="43">
        <f>IF(M441="High",1,IF(M441="Medium",2,IF(M441="Normal",3,IF(M441="Hold",9,4))))</f>
        <v>9</v>
      </c>
      <c r="AF441" s="43">
        <f>IF(T441="Read",1,IF(T441="Delivered",2,IF(T441="Sent",3,IF(T441="Not sent",4,IF(T441="Failed",9,5)))))</f>
        <v>4</v>
      </c>
      <c r="AG441" s="43">
        <f>IF(U441="Demo booked",1,IF(U441="Interested",2,IF(U441="Replied",3,IF(U441="No reply",5,IF(U441="Not interested",8,IF(U441="Bad number",9,6))))))</f>
        <v>6</v>
      </c>
      <c r="AH441" s="46">
        <f>AD441*1000+AN441*100+AE441*10+AG441</f>
        <v>9596</v>
      </c>
      <c r="AI441" s="45">
        <f>MAX(IF(R441="",0,R441),IF(Y441="",0,Y441))</f>
        <v>0</v>
      </c>
      <c r="AJ441" s="43" t="str">
        <f ca="1">IF(AND(X441&lt;&gt;"",Y441="",X441&lt;TODAY()),"Overdue",IF(AND(X441&lt;&gt;"",Y441="",X441=TODAY()),"Due today",IF(Y441&lt;&gt;"","Follow-up sent","")))</f>
        <v/>
      </c>
      <c r="AK441" s="50" t="s">
        <v>734</v>
      </c>
      <c r="AL441" s="50" t="s">
        <v>735</v>
      </c>
      <c r="AM441" s="50" t="s">
        <v>736</v>
      </c>
      <c r="AN441" s="50">
        <v>5</v>
      </c>
      <c r="AO441" s="54" t="s">
        <v>1731</v>
      </c>
      <c r="AP441" s="57" t="s">
        <v>127</v>
      </c>
      <c r="AQ441" s="58"/>
      <c r="AR441" s="57"/>
    </row>
    <row r="442" spans="1:44" ht="54" customHeight="1" x14ac:dyDescent="0.25">
      <c r="A442" s="43" t="s">
        <v>1732</v>
      </c>
      <c r="B442" s="43" t="s">
        <v>790</v>
      </c>
      <c r="C442" s="43"/>
      <c r="D442" s="44" t="s">
        <v>1733</v>
      </c>
      <c r="E442" s="43"/>
      <c r="F442" s="43" t="s">
        <v>729</v>
      </c>
      <c r="G442" s="45"/>
      <c r="H442" s="45">
        <v>46161</v>
      </c>
      <c r="I442" s="43" t="s">
        <v>730</v>
      </c>
      <c r="J442" s="43" t="s">
        <v>731</v>
      </c>
      <c r="K442" s="43" t="str">
        <f>IF(LEN(D442)=10,"OK","Check")</f>
        <v>OK</v>
      </c>
      <c r="L442" s="43" t="s">
        <v>732</v>
      </c>
      <c r="M442" s="43" t="str">
        <f>IF(L442="Hold","Hold",IF(IFERROR(E442,0)&gt;=200,"High",IF(IFERROR(E442,0)&gt;=100,"Medium","Normal")))</f>
        <v>Hold</v>
      </c>
      <c r="N442" s="43" t="s">
        <v>90</v>
      </c>
      <c r="O442" s="43" t="s">
        <v>91</v>
      </c>
      <c r="P442" s="43" t="s">
        <v>92</v>
      </c>
      <c r="Q442" s="17" t="s">
        <v>93</v>
      </c>
      <c r="R442" s="45"/>
      <c r="S442" s="43"/>
      <c r="T442" s="43" t="s">
        <v>31</v>
      </c>
      <c r="U442" s="43" t="s">
        <v>94</v>
      </c>
      <c r="V442" s="43" t="s">
        <v>94</v>
      </c>
      <c r="W442" s="43" t="s">
        <v>95</v>
      </c>
      <c r="X442" s="45" t="str">
        <f>IF(AND(R442&lt;&gt;"",OR(U442="No reply",U442="Unknown")),R442+2,"")</f>
        <v/>
      </c>
      <c r="Y442" s="45"/>
      <c r="Z442" s="43" t="s">
        <v>96</v>
      </c>
      <c r="AA442" s="43" t="str">
        <f>IF(L442="Hold","Do not send",IF(T442="Not sent","Send WhatsApp",IF(U442="Demo booked","Prepare demo",IF(W442="Booked","Prepare demo",IF(AND(X442&lt;&gt;"",Y442=""),"Send follow-up","Review")))))</f>
        <v>Do not send</v>
      </c>
      <c r="AB442" s="43"/>
      <c r="AC442" s="43" t="s">
        <v>733</v>
      </c>
      <c r="AD442" s="43">
        <f>IF(AA442="Prepare demo",1,IF(AA442="Send follow-up",2,IF(AA442="Send WhatsApp",3,IF(AA442="Review",4,IF(AA442="Do not send",9,5)))))</f>
        <v>9</v>
      </c>
      <c r="AE442" s="43">
        <f>IF(M442="High",1,IF(M442="Medium",2,IF(M442="Normal",3,IF(M442="Hold",9,4))))</f>
        <v>9</v>
      </c>
      <c r="AF442" s="43">
        <f>IF(T442="Read",1,IF(T442="Delivered",2,IF(T442="Sent",3,IF(T442="Not sent",4,IF(T442="Failed",9,5)))))</f>
        <v>4</v>
      </c>
      <c r="AG442" s="43">
        <f>IF(U442="Demo booked",1,IF(U442="Interested",2,IF(U442="Replied",3,IF(U442="No reply",5,IF(U442="Not interested",8,IF(U442="Bad number",9,6))))))</f>
        <v>6</v>
      </c>
      <c r="AH442" s="46">
        <f>AD442*1000+AN442*100+AE442*10+AG442</f>
        <v>9596</v>
      </c>
      <c r="AI442" s="45">
        <f>MAX(IF(R442="",0,R442),IF(Y442="",0,Y442))</f>
        <v>0</v>
      </c>
      <c r="AJ442" s="43" t="str">
        <f ca="1">IF(AND(X442&lt;&gt;"",Y442="",X442&lt;TODAY()),"Overdue",IF(AND(X442&lt;&gt;"",Y442="",X442=TODAY()),"Due today",IF(Y442&lt;&gt;"","Follow-up sent","")))</f>
        <v/>
      </c>
      <c r="AK442" s="50" t="s">
        <v>734</v>
      </c>
      <c r="AL442" s="50" t="s">
        <v>735</v>
      </c>
      <c r="AM442" s="50" t="s">
        <v>736</v>
      </c>
      <c r="AN442" s="50">
        <v>5</v>
      </c>
      <c r="AO442" s="54" t="s">
        <v>1734</v>
      </c>
      <c r="AP442" s="57" t="s">
        <v>127</v>
      </c>
      <c r="AQ442" s="58"/>
      <c r="AR442" s="57"/>
    </row>
    <row r="443" spans="1:44" ht="54" customHeight="1" x14ac:dyDescent="0.25">
      <c r="A443" s="43" t="s">
        <v>1735</v>
      </c>
      <c r="B443" s="43" t="s">
        <v>790</v>
      </c>
      <c r="C443" s="43"/>
      <c r="D443" s="44" t="s">
        <v>1736</v>
      </c>
      <c r="E443" s="43"/>
      <c r="F443" s="43" t="s">
        <v>729</v>
      </c>
      <c r="G443" s="45"/>
      <c r="H443" s="45">
        <v>46161</v>
      </c>
      <c r="I443" s="43" t="s">
        <v>730</v>
      </c>
      <c r="J443" s="43" t="s">
        <v>731</v>
      </c>
      <c r="K443" s="43" t="str">
        <f>IF(LEN(D443)=10,"OK","Check")</f>
        <v>OK</v>
      </c>
      <c r="L443" s="43" t="s">
        <v>732</v>
      </c>
      <c r="M443" s="43" t="str">
        <f>IF(L443="Hold","Hold",IF(IFERROR(E443,0)&gt;=200,"High",IF(IFERROR(E443,0)&gt;=100,"Medium","Normal")))</f>
        <v>Hold</v>
      </c>
      <c r="N443" s="43" t="s">
        <v>90</v>
      </c>
      <c r="O443" s="43" t="s">
        <v>91</v>
      </c>
      <c r="P443" s="43" t="s">
        <v>92</v>
      </c>
      <c r="Q443" s="17" t="s">
        <v>93</v>
      </c>
      <c r="R443" s="45"/>
      <c r="S443" s="43"/>
      <c r="T443" s="43" t="s">
        <v>31</v>
      </c>
      <c r="U443" s="43" t="s">
        <v>94</v>
      </c>
      <c r="V443" s="43" t="s">
        <v>94</v>
      </c>
      <c r="W443" s="43" t="s">
        <v>95</v>
      </c>
      <c r="X443" s="45" t="str">
        <f>IF(AND(R443&lt;&gt;"",OR(U443="No reply",U443="Unknown")),R443+2,"")</f>
        <v/>
      </c>
      <c r="Y443" s="45"/>
      <c r="Z443" s="43" t="s">
        <v>96</v>
      </c>
      <c r="AA443" s="43" t="str">
        <f>IF(L443="Hold","Do not send",IF(T443="Not sent","Send WhatsApp",IF(U443="Demo booked","Prepare demo",IF(W443="Booked","Prepare demo",IF(AND(X443&lt;&gt;"",Y443=""),"Send follow-up","Review")))))</f>
        <v>Do not send</v>
      </c>
      <c r="AB443" s="43"/>
      <c r="AC443" s="43" t="s">
        <v>733</v>
      </c>
      <c r="AD443" s="43">
        <f>IF(AA443="Prepare demo",1,IF(AA443="Send follow-up",2,IF(AA443="Send WhatsApp",3,IF(AA443="Review",4,IF(AA443="Do not send",9,5)))))</f>
        <v>9</v>
      </c>
      <c r="AE443" s="43">
        <f>IF(M443="High",1,IF(M443="Medium",2,IF(M443="Normal",3,IF(M443="Hold",9,4))))</f>
        <v>9</v>
      </c>
      <c r="AF443" s="43">
        <f>IF(T443="Read",1,IF(T443="Delivered",2,IF(T443="Sent",3,IF(T443="Not sent",4,IF(T443="Failed",9,5)))))</f>
        <v>4</v>
      </c>
      <c r="AG443" s="43">
        <f>IF(U443="Demo booked",1,IF(U443="Interested",2,IF(U443="Replied",3,IF(U443="No reply",5,IF(U443="Not interested",8,IF(U443="Bad number",9,6))))))</f>
        <v>6</v>
      </c>
      <c r="AH443" s="46">
        <f>AD443*1000+AN443*100+AE443*10+AG443</f>
        <v>9596</v>
      </c>
      <c r="AI443" s="45">
        <f>MAX(IF(R443="",0,R443),IF(Y443="",0,Y443))</f>
        <v>0</v>
      </c>
      <c r="AJ443" s="43" t="str">
        <f ca="1">IF(AND(X443&lt;&gt;"",Y443="",X443&lt;TODAY()),"Overdue",IF(AND(X443&lt;&gt;"",Y443="",X443=TODAY()),"Due today",IF(Y443&lt;&gt;"","Follow-up sent","")))</f>
        <v/>
      </c>
      <c r="AK443" s="50" t="s">
        <v>734</v>
      </c>
      <c r="AL443" s="50" t="s">
        <v>735</v>
      </c>
      <c r="AM443" s="50" t="s">
        <v>736</v>
      </c>
      <c r="AN443" s="50">
        <v>5</v>
      </c>
      <c r="AO443" s="54" t="s">
        <v>1737</v>
      </c>
      <c r="AP443" s="57" t="s">
        <v>127</v>
      </c>
      <c r="AQ443" s="58"/>
      <c r="AR443" s="57"/>
    </row>
    <row r="444" spans="1:44" ht="54" customHeight="1" x14ac:dyDescent="0.25">
      <c r="A444" s="43" t="s">
        <v>1738</v>
      </c>
      <c r="B444" s="43" t="s">
        <v>790</v>
      </c>
      <c r="C444" s="43"/>
      <c r="D444" s="44" t="s">
        <v>1739</v>
      </c>
      <c r="E444" s="43"/>
      <c r="F444" s="43" t="s">
        <v>729</v>
      </c>
      <c r="G444" s="45"/>
      <c r="H444" s="45">
        <v>46161</v>
      </c>
      <c r="I444" s="43" t="s">
        <v>730</v>
      </c>
      <c r="J444" s="43" t="s">
        <v>731</v>
      </c>
      <c r="K444" s="43" t="str">
        <f>IF(LEN(D444)=10,"OK","Check")</f>
        <v>OK</v>
      </c>
      <c r="L444" s="43" t="s">
        <v>732</v>
      </c>
      <c r="M444" s="43" t="str">
        <f>IF(L444="Hold","Hold",IF(IFERROR(E444,0)&gt;=200,"High",IF(IFERROR(E444,0)&gt;=100,"Medium","Normal")))</f>
        <v>Hold</v>
      </c>
      <c r="N444" s="43" t="s">
        <v>90</v>
      </c>
      <c r="O444" s="43" t="s">
        <v>91</v>
      </c>
      <c r="P444" s="43" t="s">
        <v>92</v>
      </c>
      <c r="Q444" s="17" t="s">
        <v>93</v>
      </c>
      <c r="R444" s="45"/>
      <c r="S444" s="43"/>
      <c r="T444" s="43" t="s">
        <v>31</v>
      </c>
      <c r="U444" s="43" t="s">
        <v>94</v>
      </c>
      <c r="V444" s="43" t="s">
        <v>94</v>
      </c>
      <c r="W444" s="43" t="s">
        <v>95</v>
      </c>
      <c r="X444" s="45" t="str">
        <f>IF(AND(R444&lt;&gt;"",OR(U444="No reply",U444="Unknown")),R444+2,"")</f>
        <v/>
      </c>
      <c r="Y444" s="45"/>
      <c r="Z444" s="43" t="s">
        <v>96</v>
      </c>
      <c r="AA444" s="43" t="str">
        <f>IF(L444="Hold","Do not send",IF(T444="Not sent","Send WhatsApp",IF(U444="Demo booked","Prepare demo",IF(W444="Booked","Prepare demo",IF(AND(X444&lt;&gt;"",Y444=""),"Send follow-up","Review")))))</f>
        <v>Do not send</v>
      </c>
      <c r="AB444" s="43"/>
      <c r="AC444" s="43" t="s">
        <v>733</v>
      </c>
      <c r="AD444" s="43">
        <f>IF(AA444="Prepare demo",1,IF(AA444="Send follow-up",2,IF(AA444="Send WhatsApp",3,IF(AA444="Review",4,IF(AA444="Do not send",9,5)))))</f>
        <v>9</v>
      </c>
      <c r="AE444" s="43">
        <f>IF(M444="High",1,IF(M444="Medium",2,IF(M444="Normal",3,IF(M444="Hold",9,4))))</f>
        <v>9</v>
      </c>
      <c r="AF444" s="43">
        <f>IF(T444="Read",1,IF(T444="Delivered",2,IF(T444="Sent",3,IF(T444="Not sent",4,IF(T444="Failed",9,5)))))</f>
        <v>4</v>
      </c>
      <c r="AG444" s="43">
        <f>IF(U444="Demo booked",1,IF(U444="Interested",2,IF(U444="Replied",3,IF(U444="No reply",5,IF(U444="Not interested",8,IF(U444="Bad number",9,6))))))</f>
        <v>6</v>
      </c>
      <c r="AH444" s="46">
        <f>AD444*1000+AN444*100+AE444*10+AG444</f>
        <v>9596</v>
      </c>
      <c r="AI444" s="45">
        <f>MAX(IF(R444="",0,R444),IF(Y444="",0,Y444))</f>
        <v>0</v>
      </c>
      <c r="AJ444" s="43" t="str">
        <f ca="1">IF(AND(X444&lt;&gt;"",Y444="",X444&lt;TODAY()),"Overdue",IF(AND(X444&lt;&gt;"",Y444="",X444=TODAY()),"Due today",IF(Y444&lt;&gt;"","Follow-up sent","")))</f>
        <v/>
      </c>
      <c r="AK444" s="50" t="s">
        <v>734</v>
      </c>
      <c r="AL444" s="50" t="s">
        <v>735</v>
      </c>
      <c r="AM444" s="50" t="s">
        <v>736</v>
      </c>
      <c r="AN444" s="50">
        <v>5</v>
      </c>
      <c r="AO444" s="54" t="s">
        <v>1740</v>
      </c>
      <c r="AP444" s="57" t="s">
        <v>127</v>
      </c>
      <c r="AQ444" s="58"/>
      <c r="AR444" s="57"/>
    </row>
    <row r="445" spans="1:44" ht="54" customHeight="1" x14ac:dyDescent="0.25">
      <c r="A445" s="43" t="s">
        <v>1741</v>
      </c>
      <c r="B445" s="43" t="s">
        <v>790</v>
      </c>
      <c r="C445" s="43"/>
      <c r="D445" s="44" t="s">
        <v>1742</v>
      </c>
      <c r="E445" s="43"/>
      <c r="F445" s="43" t="s">
        <v>729</v>
      </c>
      <c r="G445" s="45"/>
      <c r="H445" s="45">
        <v>46161</v>
      </c>
      <c r="I445" s="43" t="s">
        <v>730</v>
      </c>
      <c r="J445" s="43" t="s">
        <v>731</v>
      </c>
      <c r="K445" s="43" t="str">
        <f>IF(LEN(D445)=10,"OK","Check")</f>
        <v>OK</v>
      </c>
      <c r="L445" s="43" t="s">
        <v>732</v>
      </c>
      <c r="M445" s="43" t="str">
        <f>IF(L445="Hold","Hold",IF(IFERROR(E445,0)&gt;=200,"High",IF(IFERROR(E445,0)&gt;=100,"Medium","Normal")))</f>
        <v>Hold</v>
      </c>
      <c r="N445" s="43" t="s">
        <v>90</v>
      </c>
      <c r="O445" s="43" t="s">
        <v>91</v>
      </c>
      <c r="P445" s="43" t="s">
        <v>92</v>
      </c>
      <c r="Q445" s="17" t="s">
        <v>93</v>
      </c>
      <c r="R445" s="45"/>
      <c r="S445" s="43"/>
      <c r="T445" s="43" t="s">
        <v>31</v>
      </c>
      <c r="U445" s="43" t="s">
        <v>94</v>
      </c>
      <c r="V445" s="43" t="s">
        <v>94</v>
      </c>
      <c r="W445" s="43" t="s">
        <v>95</v>
      </c>
      <c r="X445" s="45" t="str">
        <f>IF(AND(R445&lt;&gt;"",OR(U445="No reply",U445="Unknown")),R445+2,"")</f>
        <v/>
      </c>
      <c r="Y445" s="45"/>
      <c r="Z445" s="43" t="s">
        <v>96</v>
      </c>
      <c r="AA445" s="43" t="str">
        <f>IF(L445="Hold","Do not send",IF(T445="Not sent","Send WhatsApp",IF(U445="Demo booked","Prepare demo",IF(W445="Booked","Prepare demo",IF(AND(X445&lt;&gt;"",Y445=""),"Send follow-up","Review")))))</f>
        <v>Do not send</v>
      </c>
      <c r="AB445" s="43"/>
      <c r="AC445" s="43" t="s">
        <v>733</v>
      </c>
      <c r="AD445" s="43">
        <f>IF(AA445="Prepare demo",1,IF(AA445="Send follow-up",2,IF(AA445="Send WhatsApp",3,IF(AA445="Review",4,IF(AA445="Do not send",9,5)))))</f>
        <v>9</v>
      </c>
      <c r="AE445" s="43">
        <f>IF(M445="High",1,IF(M445="Medium",2,IF(M445="Normal",3,IF(M445="Hold",9,4))))</f>
        <v>9</v>
      </c>
      <c r="AF445" s="43">
        <f>IF(T445="Read",1,IF(T445="Delivered",2,IF(T445="Sent",3,IF(T445="Not sent",4,IF(T445="Failed",9,5)))))</f>
        <v>4</v>
      </c>
      <c r="AG445" s="43">
        <f>IF(U445="Demo booked",1,IF(U445="Interested",2,IF(U445="Replied",3,IF(U445="No reply",5,IF(U445="Not interested",8,IF(U445="Bad number",9,6))))))</f>
        <v>6</v>
      </c>
      <c r="AH445" s="46">
        <f>AD445*1000+AN445*100+AE445*10+AG445</f>
        <v>9596</v>
      </c>
      <c r="AI445" s="45">
        <f>MAX(IF(R445="",0,R445),IF(Y445="",0,Y445))</f>
        <v>0</v>
      </c>
      <c r="AJ445" s="43" t="str">
        <f ca="1">IF(AND(X445&lt;&gt;"",Y445="",X445&lt;TODAY()),"Overdue",IF(AND(X445&lt;&gt;"",Y445="",X445=TODAY()),"Due today",IF(Y445&lt;&gt;"","Follow-up sent","")))</f>
        <v/>
      </c>
      <c r="AK445" s="50" t="s">
        <v>734</v>
      </c>
      <c r="AL445" s="50" t="s">
        <v>735</v>
      </c>
      <c r="AM445" s="50" t="s">
        <v>736</v>
      </c>
      <c r="AN445" s="50">
        <v>5</v>
      </c>
      <c r="AO445" s="54" t="s">
        <v>1743</v>
      </c>
      <c r="AP445" s="57" t="s">
        <v>127</v>
      </c>
      <c r="AQ445" s="58"/>
      <c r="AR445" s="57"/>
    </row>
    <row r="446" spans="1:44" ht="54" customHeight="1" x14ac:dyDescent="0.25">
      <c r="A446" s="43" t="s">
        <v>1744</v>
      </c>
      <c r="B446" s="43" t="s">
        <v>790</v>
      </c>
      <c r="C446" s="43"/>
      <c r="D446" s="44" t="s">
        <v>1745</v>
      </c>
      <c r="E446" s="43"/>
      <c r="F446" s="43" t="s">
        <v>729</v>
      </c>
      <c r="G446" s="45"/>
      <c r="H446" s="45">
        <v>46161</v>
      </c>
      <c r="I446" s="43" t="s">
        <v>730</v>
      </c>
      <c r="J446" s="43" t="s">
        <v>731</v>
      </c>
      <c r="K446" s="43" t="str">
        <f>IF(LEN(D446)=10,"OK","Check")</f>
        <v>OK</v>
      </c>
      <c r="L446" s="43" t="s">
        <v>732</v>
      </c>
      <c r="M446" s="43" t="str">
        <f>IF(L446="Hold","Hold",IF(IFERROR(E446,0)&gt;=200,"High",IF(IFERROR(E446,0)&gt;=100,"Medium","Normal")))</f>
        <v>Hold</v>
      </c>
      <c r="N446" s="43" t="s">
        <v>90</v>
      </c>
      <c r="O446" s="43" t="s">
        <v>91</v>
      </c>
      <c r="P446" s="43" t="s">
        <v>92</v>
      </c>
      <c r="Q446" s="17" t="s">
        <v>93</v>
      </c>
      <c r="R446" s="45"/>
      <c r="S446" s="43"/>
      <c r="T446" s="43" t="s">
        <v>31</v>
      </c>
      <c r="U446" s="43" t="s">
        <v>94</v>
      </c>
      <c r="V446" s="43" t="s">
        <v>94</v>
      </c>
      <c r="W446" s="43" t="s">
        <v>95</v>
      </c>
      <c r="X446" s="45" t="str">
        <f>IF(AND(R446&lt;&gt;"",OR(U446="No reply",U446="Unknown")),R446+2,"")</f>
        <v/>
      </c>
      <c r="Y446" s="45"/>
      <c r="Z446" s="43" t="s">
        <v>96</v>
      </c>
      <c r="AA446" s="43" t="str">
        <f>IF(L446="Hold","Do not send",IF(T446="Not sent","Send WhatsApp",IF(U446="Demo booked","Prepare demo",IF(W446="Booked","Prepare demo",IF(AND(X446&lt;&gt;"",Y446=""),"Send follow-up","Review")))))</f>
        <v>Do not send</v>
      </c>
      <c r="AB446" s="43"/>
      <c r="AC446" s="43" t="s">
        <v>733</v>
      </c>
      <c r="AD446" s="43">
        <f>IF(AA446="Prepare demo",1,IF(AA446="Send follow-up",2,IF(AA446="Send WhatsApp",3,IF(AA446="Review",4,IF(AA446="Do not send",9,5)))))</f>
        <v>9</v>
      </c>
      <c r="AE446" s="43">
        <f>IF(M446="High",1,IF(M446="Medium",2,IF(M446="Normal",3,IF(M446="Hold",9,4))))</f>
        <v>9</v>
      </c>
      <c r="AF446" s="43">
        <f>IF(T446="Read",1,IF(T446="Delivered",2,IF(T446="Sent",3,IF(T446="Not sent",4,IF(T446="Failed",9,5)))))</f>
        <v>4</v>
      </c>
      <c r="AG446" s="43">
        <f>IF(U446="Demo booked",1,IF(U446="Interested",2,IF(U446="Replied",3,IF(U446="No reply",5,IF(U446="Not interested",8,IF(U446="Bad number",9,6))))))</f>
        <v>6</v>
      </c>
      <c r="AH446" s="46">
        <f>AD446*1000+AN446*100+AE446*10+AG446</f>
        <v>9596</v>
      </c>
      <c r="AI446" s="45">
        <f>MAX(IF(R446="",0,R446),IF(Y446="",0,Y446))</f>
        <v>0</v>
      </c>
      <c r="AJ446" s="43" t="str">
        <f ca="1">IF(AND(X446&lt;&gt;"",Y446="",X446&lt;TODAY()),"Overdue",IF(AND(X446&lt;&gt;"",Y446="",X446=TODAY()),"Due today",IF(Y446&lt;&gt;"","Follow-up sent","")))</f>
        <v/>
      </c>
      <c r="AK446" s="50" t="s">
        <v>734</v>
      </c>
      <c r="AL446" s="50" t="s">
        <v>735</v>
      </c>
      <c r="AM446" s="50" t="s">
        <v>736</v>
      </c>
      <c r="AN446" s="50">
        <v>5</v>
      </c>
      <c r="AO446" s="54" t="s">
        <v>1746</v>
      </c>
      <c r="AP446" s="57" t="s">
        <v>127</v>
      </c>
      <c r="AQ446" s="58"/>
      <c r="AR446" s="57"/>
    </row>
    <row r="447" spans="1:44" ht="54" customHeight="1" x14ac:dyDescent="0.25">
      <c r="A447" s="43" t="s">
        <v>1747</v>
      </c>
      <c r="B447" s="43" t="s">
        <v>790</v>
      </c>
      <c r="C447" s="43"/>
      <c r="D447" s="44" t="s">
        <v>1748</v>
      </c>
      <c r="E447" s="43"/>
      <c r="F447" s="43" t="s">
        <v>729</v>
      </c>
      <c r="G447" s="45"/>
      <c r="H447" s="45">
        <v>46161</v>
      </c>
      <c r="I447" s="43" t="s">
        <v>730</v>
      </c>
      <c r="J447" s="43" t="s">
        <v>731</v>
      </c>
      <c r="K447" s="43" t="str">
        <f>IF(LEN(D447)=10,"OK","Check")</f>
        <v>OK</v>
      </c>
      <c r="L447" s="43" t="s">
        <v>732</v>
      </c>
      <c r="M447" s="43" t="str">
        <f>IF(L447="Hold","Hold",IF(IFERROR(E447,0)&gt;=200,"High",IF(IFERROR(E447,0)&gt;=100,"Medium","Normal")))</f>
        <v>Hold</v>
      </c>
      <c r="N447" s="43" t="s">
        <v>90</v>
      </c>
      <c r="O447" s="43" t="s">
        <v>91</v>
      </c>
      <c r="P447" s="43" t="s">
        <v>92</v>
      </c>
      <c r="Q447" s="17" t="s">
        <v>93</v>
      </c>
      <c r="R447" s="45"/>
      <c r="S447" s="43"/>
      <c r="T447" s="43" t="s">
        <v>31</v>
      </c>
      <c r="U447" s="43" t="s">
        <v>94</v>
      </c>
      <c r="V447" s="43" t="s">
        <v>94</v>
      </c>
      <c r="W447" s="43" t="s">
        <v>95</v>
      </c>
      <c r="X447" s="45" t="str">
        <f>IF(AND(R447&lt;&gt;"",OR(U447="No reply",U447="Unknown")),R447+2,"")</f>
        <v/>
      </c>
      <c r="Y447" s="45"/>
      <c r="Z447" s="43" t="s">
        <v>96</v>
      </c>
      <c r="AA447" s="43" t="str">
        <f>IF(L447="Hold","Do not send",IF(T447="Not sent","Send WhatsApp",IF(U447="Demo booked","Prepare demo",IF(W447="Booked","Prepare demo",IF(AND(X447&lt;&gt;"",Y447=""),"Send follow-up","Review")))))</f>
        <v>Do not send</v>
      </c>
      <c r="AB447" s="43"/>
      <c r="AC447" s="43" t="s">
        <v>733</v>
      </c>
      <c r="AD447" s="43">
        <f>IF(AA447="Prepare demo",1,IF(AA447="Send follow-up",2,IF(AA447="Send WhatsApp",3,IF(AA447="Review",4,IF(AA447="Do not send",9,5)))))</f>
        <v>9</v>
      </c>
      <c r="AE447" s="43">
        <f>IF(M447="High",1,IF(M447="Medium",2,IF(M447="Normal",3,IF(M447="Hold",9,4))))</f>
        <v>9</v>
      </c>
      <c r="AF447" s="43">
        <f>IF(T447="Read",1,IF(T447="Delivered",2,IF(T447="Sent",3,IF(T447="Not sent",4,IF(T447="Failed",9,5)))))</f>
        <v>4</v>
      </c>
      <c r="AG447" s="43">
        <f>IF(U447="Demo booked",1,IF(U447="Interested",2,IF(U447="Replied",3,IF(U447="No reply",5,IF(U447="Not interested",8,IF(U447="Bad number",9,6))))))</f>
        <v>6</v>
      </c>
      <c r="AH447" s="46">
        <f>AD447*1000+AN447*100+AE447*10+AG447</f>
        <v>9596</v>
      </c>
      <c r="AI447" s="45">
        <f>MAX(IF(R447="",0,R447),IF(Y447="",0,Y447))</f>
        <v>0</v>
      </c>
      <c r="AJ447" s="43" t="str">
        <f ca="1">IF(AND(X447&lt;&gt;"",Y447="",X447&lt;TODAY()),"Overdue",IF(AND(X447&lt;&gt;"",Y447="",X447=TODAY()),"Due today",IF(Y447&lt;&gt;"","Follow-up sent","")))</f>
        <v/>
      </c>
      <c r="AK447" s="50" t="s">
        <v>734</v>
      </c>
      <c r="AL447" s="50" t="s">
        <v>735</v>
      </c>
      <c r="AM447" s="50" t="s">
        <v>736</v>
      </c>
      <c r="AN447" s="50">
        <v>5</v>
      </c>
      <c r="AO447" s="54" t="s">
        <v>1749</v>
      </c>
      <c r="AP447" s="57" t="s">
        <v>127</v>
      </c>
      <c r="AQ447" s="58"/>
      <c r="AR447" s="57"/>
    </row>
    <row r="448" spans="1:44" ht="54" customHeight="1" x14ac:dyDescent="0.25">
      <c r="A448" s="43" t="s">
        <v>1750</v>
      </c>
      <c r="B448" s="43" t="s">
        <v>790</v>
      </c>
      <c r="C448" s="43"/>
      <c r="D448" s="44" t="s">
        <v>1751</v>
      </c>
      <c r="E448" s="43"/>
      <c r="F448" s="43" t="s">
        <v>729</v>
      </c>
      <c r="G448" s="45"/>
      <c r="H448" s="45">
        <v>46161</v>
      </c>
      <c r="I448" s="43" t="s">
        <v>730</v>
      </c>
      <c r="J448" s="43" t="s">
        <v>731</v>
      </c>
      <c r="K448" s="43" t="str">
        <f>IF(LEN(D448)=10,"OK","Check")</f>
        <v>OK</v>
      </c>
      <c r="L448" s="43" t="s">
        <v>732</v>
      </c>
      <c r="M448" s="43" t="str">
        <f>IF(L448="Hold","Hold",IF(IFERROR(E448,0)&gt;=200,"High",IF(IFERROR(E448,0)&gt;=100,"Medium","Normal")))</f>
        <v>Hold</v>
      </c>
      <c r="N448" s="43" t="s">
        <v>90</v>
      </c>
      <c r="O448" s="43" t="s">
        <v>91</v>
      </c>
      <c r="P448" s="43" t="s">
        <v>92</v>
      </c>
      <c r="Q448" s="17" t="s">
        <v>93</v>
      </c>
      <c r="R448" s="45"/>
      <c r="S448" s="43"/>
      <c r="T448" s="43" t="s">
        <v>31</v>
      </c>
      <c r="U448" s="43" t="s">
        <v>94</v>
      </c>
      <c r="V448" s="43" t="s">
        <v>94</v>
      </c>
      <c r="W448" s="43" t="s">
        <v>95</v>
      </c>
      <c r="X448" s="45" t="str">
        <f>IF(AND(R448&lt;&gt;"",OR(U448="No reply",U448="Unknown")),R448+2,"")</f>
        <v/>
      </c>
      <c r="Y448" s="45"/>
      <c r="Z448" s="43" t="s">
        <v>96</v>
      </c>
      <c r="AA448" s="43" t="str">
        <f>IF(L448="Hold","Do not send",IF(T448="Not sent","Send WhatsApp",IF(U448="Demo booked","Prepare demo",IF(W448="Booked","Prepare demo",IF(AND(X448&lt;&gt;"",Y448=""),"Send follow-up","Review")))))</f>
        <v>Do not send</v>
      </c>
      <c r="AB448" s="43"/>
      <c r="AC448" s="43" t="s">
        <v>733</v>
      </c>
      <c r="AD448" s="43">
        <f>IF(AA448="Prepare demo",1,IF(AA448="Send follow-up",2,IF(AA448="Send WhatsApp",3,IF(AA448="Review",4,IF(AA448="Do not send",9,5)))))</f>
        <v>9</v>
      </c>
      <c r="AE448" s="43">
        <f>IF(M448="High",1,IF(M448="Medium",2,IF(M448="Normal",3,IF(M448="Hold",9,4))))</f>
        <v>9</v>
      </c>
      <c r="AF448" s="43">
        <f>IF(T448="Read",1,IF(T448="Delivered",2,IF(T448="Sent",3,IF(T448="Not sent",4,IF(T448="Failed",9,5)))))</f>
        <v>4</v>
      </c>
      <c r="AG448" s="43">
        <f>IF(U448="Demo booked",1,IF(U448="Interested",2,IF(U448="Replied",3,IF(U448="No reply",5,IF(U448="Not interested",8,IF(U448="Bad number",9,6))))))</f>
        <v>6</v>
      </c>
      <c r="AH448" s="46">
        <f>AD448*1000+AN448*100+AE448*10+AG448</f>
        <v>9596</v>
      </c>
      <c r="AI448" s="45">
        <f>MAX(IF(R448="",0,R448),IF(Y448="",0,Y448))</f>
        <v>0</v>
      </c>
      <c r="AJ448" s="43" t="str">
        <f ca="1">IF(AND(X448&lt;&gt;"",Y448="",X448&lt;TODAY()),"Overdue",IF(AND(X448&lt;&gt;"",Y448="",X448=TODAY()),"Due today",IF(Y448&lt;&gt;"","Follow-up sent","")))</f>
        <v/>
      </c>
      <c r="AK448" s="50" t="s">
        <v>734</v>
      </c>
      <c r="AL448" s="50" t="s">
        <v>735</v>
      </c>
      <c r="AM448" s="50" t="s">
        <v>736</v>
      </c>
      <c r="AN448" s="50">
        <v>5</v>
      </c>
      <c r="AO448" s="54" t="s">
        <v>1752</v>
      </c>
      <c r="AP448" s="57" t="s">
        <v>127</v>
      </c>
      <c r="AQ448" s="58"/>
      <c r="AR448" s="57"/>
    </row>
    <row r="449" spans="1:44" ht="54" customHeight="1" x14ac:dyDescent="0.25">
      <c r="A449" s="43" t="s">
        <v>1753</v>
      </c>
      <c r="B449" s="43" t="s">
        <v>790</v>
      </c>
      <c r="C449" s="43"/>
      <c r="D449" s="44" t="s">
        <v>1754</v>
      </c>
      <c r="E449" s="43"/>
      <c r="F449" s="43" t="s">
        <v>729</v>
      </c>
      <c r="G449" s="45"/>
      <c r="H449" s="45">
        <v>46161</v>
      </c>
      <c r="I449" s="43" t="s">
        <v>730</v>
      </c>
      <c r="J449" s="43" t="s">
        <v>731</v>
      </c>
      <c r="K449" s="43" t="str">
        <f>IF(LEN(D449)=10,"OK","Check")</f>
        <v>OK</v>
      </c>
      <c r="L449" s="43" t="s">
        <v>732</v>
      </c>
      <c r="M449" s="43" t="str">
        <f>IF(L449="Hold","Hold",IF(IFERROR(E449,0)&gt;=200,"High",IF(IFERROR(E449,0)&gt;=100,"Medium","Normal")))</f>
        <v>Hold</v>
      </c>
      <c r="N449" s="43" t="s">
        <v>90</v>
      </c>
      <c r="O449" s="43" t="s">
        <v>91</v>
      </c>
      <c r="P449" s="43" t="s">
        <v>92</v>
      </c>
      <c r="Q449" s="17" t="s">
        <v>93</v>
      </c>
      <c r="R449" s="45"/>
      <c r="S449" s="43"/>
      <c r="T449" s="43" t="s">
        <v>31</v>
      </c>
      <c r="U449" s="43" t="s">
        <v>94</v>
      </c>
      <c r="V449" s="43" t="s">
        <v>94</v>
      </c>
      <c r="W449" s="43" t="s">
        <v>95</v>
      </c>
      <c r="X449" s="45" t="str">
        <f>IF(AND(R449&lt;&gt;"",OR(U449="No reply",U449="Unknown")),R449+2,"")</f>
        <v/>
      </c>
      <c r="Y449" s="45"/>
      <c r="Z449" s="43" t="s">
        <v>96</v>
      </c>
      <c r="AA449" s="43" t="str">
        <f>IF(L449="Hold","Do not send",IF(T449="Not sent","Send WhatsApp",IF(U449="Demo booked","Prepare demo",IF(W449="Booked","Prepare demo",IF(AND(X449&lt;&gt;"",Y449=""),"Send follow-up","Review")))))</f>
        <v>Do not send</v>
      </c>
      <c r="AB449" s="43"/>
      <c r="AC449" s="43" t="s">
        <v>733</v>
      </c>
      <c r="AD449" s="43">
        <f>IF(AA449="Prepare demo",1,IF(AA449="Send follow-up",2,IF(AA449="Send WhatsApp",3,IF(AA449="Review",4,IF(AA449="Do not send",9,5)))))</f>
        <v>9</v>
      </c>
      <c r="AE449" s="43">
        <f>IF(M449="High",1,IF(M449="Medium",2,IF(M449="Normal",3,IF(M449="Hold",9,4))))</f>
        <v>9</v>
      </c>
      <c r="AF449" s="43">
        <f>IF(T449="Read",1,IF(T449="Delivered",2,IF(T449="Sent",3,IF(T449="Not sent",4,IF(T449="Failed",9,5)))))</f>
        <v>4</v>
      </c>
      <c r="AG449" s="43">
        <f>IF(U449="Demo booked",1,IF(U449="Interested",2,IF(U449="Replied",3,IF(U449="No reply",5,IF(U449="Not interested",8,IF(U449="Bad number",9,6))))))</f>
        <v>6</v>
      </c>
      <c r="AH449" s="46">
        <f>AD449*1000+AN449*100+AE449*10+AG449</f>
        <v>9596</v>
      </c>
      <c r="AI449" s="45">
        <f>MAX(IF(R449="",0,R449),IF(Y449="",0,Y449))</f>
        <v>0</v>
      </c>
      <c r="AJ449" s="43" t="str">
        <f ca="1">IF(AND(X449&lt;&gt;"",Y449="",X449&lt;TODAY()),"Overdue",IF(AND(X449&lt;&gt;"",Y449="",X449=TODAY()),"Due today",IF(Y449&lt;&gt;"","Follow-up sent","")))</f>
        <v/>
      </c>
      <c r="AK449" s="50" t="s">
        <v>734</v>
      </c>
      <c r="AL449" s="50" t="s">
        <v>735</v>
      </c>
      <c r="AM449" s="50" t="s">
        <v>736</v>
      </c>
      <c r="AN449" s="50">
        <v>5</v>
      </c>
      <c r="AO449" s="54" t="s">
        <v>1755</v>
      </c>
      <c r="AP449" s="57" t="s">
        <v>127</v>
      </c>
      <c r="AQ449" s="58"/>
      <c r="AR449" s="57"/>
    </row>
    <row r="450" spans="1:44" ht="54" customHeight="1" x14ac:dyDescent="0.25">
      <c r="A450" s="43" t="s">
        <v>1756</v>
      </c>
      <c r="B450" s="43" t="s">
        <v>790</v>
      </c>
      <c r="C450" s="43"/>
      <c r="D450" s="44" t="s">
        <v>1757</v>
      </c>
      <c r="E450" s="43"/>
      <c r="F450" s="43" t="s">
        <v>729</v>
      </c>
      <c r="G450" s="45"/>
      <c r="H450" s="45">
        <v>46161</v>
      </c>
      <c r="I450" s="43" t="s">
        <v>730</v>
      </c>
      <c r="J450" s="43" t="s">
        <v>731</v>
      </c>
      <c r="K450" s="43" t="str">
        <f>IF(LEN(D450)=10,"OK","Check")</f>
        <v>OK</v>
      </c>
      <c r="L450" s="43" t="s">
        <v>732</v>
      </c>
      <c r="M450" s="43" t="str">
        <f>IF(L450="Hold","Hold",IF(IFERROR(E450,0)&gt;=200,"High",IF(IFERROR(E450,0)&gt;=100,"Medium","Normal")))</f>
        <v>Hold</v>
      </c>
      <c r="N450" s="43" t="s">
        <v>90</v>
      </c>
      <c r="O450" s="43" t="s">
        <v>91</v>
      </c>
      <c r="P450" s="43" t="s">
        <v>92</v>
      </c>
      <c r="Q450" s="17" t="s">
        <v>93</v>
      </c>
      <c r="R450" s="45"/>
      <c r="S450" s="43"/>
      <c r="T450" s="43" t="s">
        <v>31</v>
      </c>
      <c r="U450" s="43" t="s">
        <v>94</v>
      </c>
      <c r="V450" s="43" t="s">
        <v>94</v>
      </c>
      <c r="W450" s="43" t="s">
        <v>95</v>
      </c>
      <c r="X450" s="45" t="str">
        <f>IF(AND(R450&lt;&gt;"",OR(U450="No reply",U450="Unknown")),R450+2,"")</f>
        <v/>
      </c>
      <c r="Y450" s="45"/>
      <c r="Z450" s="43" t="s">
        <v>96</v>
      </c>
      <c r="AA450" s="43" t="str">
        <f>IF(L450="Hold","Do not send",IF(T450="Not sent","Send WhatsApp",IF(U450="Demo booked","Prepare demo",IF(W450="Booked","Prepare demo",IF(AND(X450&lt;&gt;"",Y450=""),"Send follow-up","Review")))))</f>
        <v>Do not send</v>
      </c>
      <c r="AB450" s="43"/>
      <c r="AC450" s="43" t="s">
        <v>733</v>
      </c>
      <c r="AD450" s="43">
        <f>IF(AA450="Prepare demo",1,IF(AA450="Send follow-up",2,IF(AA450="Send WhatsApp",3,IF(AA450="Review",4,IF(AA450="Do not send",9,5)))))</f>
        <v>9</v>
      </c>
      <c r="AE450" s="43">
        <f>IF(M450="High",1,IF(M450="Medium",2,IF(M450="Normal",3,IF(M450="Hold",9,4))))</f>
        <v>9</v>
      </c>
      <c r="AF450" s="43">
        <f>IF(T450="Read",1,IF(T450="Delivered",2,IF(T450="Sent",3,IF(T450="Not sent",4,IF(T450="Failed",9,5)))))</f>
        <v>4</v>
      </c>
      <c r="AG450" s="43">
        <f>IF(U450="Demo booked",1,IF(U450="Interested",2,IF(U450="Replied",3,IF(U450="No reply",5,IF(U450="Not interested",8,IF(U450="Bad number",9,6))))))</f>
        <v>6</v>
      </c>
      <c r="AH450" s="46">
        <f>AD450*1000+AN450*100+AE450*10+AG450</f>
        <v>9596</v>
      </c>
      <c r="AI450" s="45">
        <f>MAX(IF(R450="",0,R450),IF(Y450="",0,Y450))</f>
        <v>0</v>
      </c>
      <c r="AJ450" s="43" t="str">
        <f ca="1">IF(AND(X450&lt;&gt;"",Y450="",X450&lt;TODAY()),"Overdue",IF(AND(X450&lt;&gt;"",Y450="",X450=TODAY()),"Due today",IF(Y450&lt;&gt;"","Follow-up sent","")))</f>
        <v/>
      </c>
      <c r="AK450" s="50" t="s">
        <v>734</v>
      </c>
      <c r="AL450" s="50" t="s">
        <v>735</v>
      </c>
      <c r="AM450" s="50" t="s">
        <v>736</v>
      </c>
      <c r="AN450" s="50">
        <v>5</v>
      </c>
      <c r="AO450" s="54" t="s">
        <v>1758</v>
      </c>
      <c r="AP450" s="57" t="s">
        <v>127</v>
      </c>
      <c r="AQ450" s="58"/>
      <c r="AR450" s="57"/>
    </row>
    <row r="451" spans="1:44" ht="54" customHeight="1" x14ac:dyDescent="0.25">
      <c r="A451" s="43" t="s">
        <v>1759</v>
      </c>
      <c r="B451" s="43" t="s">
        <v>790</v>
      </c>
      <c r="C451" s="43"/>
      <c r="D451" s="44" t="s">
        <v>1760</v>
      </c>
      <c r="E451" s="43"/>
      <c r="F451" s="43" t="s">
        <v>729</v>
      </c>
      <c r="G451" s="45"/>
      <c r="H451" s="45">
        <v>46161</v>
      </c>
      <c r="I451" s="43" t="s">
        <v>730</v>
      </c>
      <c r="J451" s="43" t="s">
        <v>731</v>
      </c>
      <c r="K451" s="43" t="str">
        <f>IF(LEN(D451)=10,"OK","Check")</f>
        <v>OK</v>
      </c>
      <c r="L451" s="43" t="s">
        <v>732</v>
      </c>
      <c r="M451" s="43" t="str">
        <f>IF(L451="Hold","Hold",IF(IFERROR(E451,0)&gt;=200,"High",IF(IFERROR(E451,0)&gt;=100,"Medium","Normal")))</f>
        <v>Hold</v>
      </c>
      <c r="N451" s="43" t="s">
        <v>90</v>
      </c>
      <c r="O451" s="43" t="s">
        <v>91</v>
      </c>
      <c r="P451" s="43" t="s">
        <v>92</v>
      </c>
      <c r="Q451" s="17" t="s">
        <v>93</v>
      </c>
      <c r="R451" s="45"/>
      <c r="S451" s="43"/>
      <c r="T451" s="43" t="s">
        <v>31</v>
      </c>
      <c r="U451" s="43" t="s">
        <v>94</v>
      </c>
      <c r="V451" s="43" t="s">
        <v>94</v>
      </c>
      <c r="W451" s="43" t="s">
        <v>95</v>
      </c>
      <c r="X451" s="45" t="str">
        <f>IF(AND(R451&lt;&gt;"",OR(U451="No reply",U451="Unknown")),R451+2,"")</f>
        <v/>
      </c>
      <c r="Y451" s="45"/>
      <c r="Z451" s="43" t="s">
        <v>96</v>
      </c>
      <c r="AA451" s="43" t="str">
        <f>IF(L451="Hold","Do not send",IF(T451="Not sent","Send WhatsApp",IF(U451="Demo booked","Prepare demo",IF(W451="Booked","Prepare demo",IF(AND(X451&lt;&gt;"",Y451=""),"Send follow-up","Review")))))</f>
        <v>Do not send</v>
      </c>
      <c r="AB451" s="43"/>
      <c r="AC451" s="43" t="s">
        <v>733</v>
      </c>
      <c r="AD451" s="43">
        <f>IF(AA451="Prepare demo",1,IF(AA451="Send follow-up",2,IF(AA451="Send WhatsApp",3,IF(AA451="Review",4,IF(AA451="Do not send",9,5)))))</f>
        <v>9</v>
      </c>
      <c r="AE451" s="43">
        <f>IF(M451="High",1,IF(M451="Medium",2,IF(M451="Normal",3,IF(M451="Hold",9,4))))</f>
        <v>9</v>
      </c>
      <c r="AF451" s="43">
        <f>IF(T451="Read",1,IF(T451="Delivered",2,IF(T451="Sent",3,IF(T451="Not sent",4,IF(T451="Failed",9,5)))))</f>
        <v>4</v>
      </c>
      <c r="AG451" s="43">
        <f>IF(U451="Demo booked",1,IF(U451="Interested",2,IF(U451="Replied",3,IF(U451="No reply",5,IF(U451="Not interested",8,IF(U451="Bad number",9,6))))))</f>
        <v>6</v>
      </c>
      <c r="AH451" s="46">
        <f>AD451*1000+AN451*100+AE451*10+AG451</f>
        <v>9596</v>
      </c>
      <c r="AI451" s="45">
        <f>MAX(IF(R451="",0,R451),IF(Y451="",0,Y451))</f>
        <v>0</v>
      </c>
      <c r="AJ451" s="43" t="str">
        <f ca="1">IF(AND(X451&lt;&gt;"",Y451="",X451&lt;TODAY()),"Overdue",IF(AND(X451&lt;&gt;"",Y451="",X451=TODAY()),"Due today",IF(Y451&lt;&gt;"","Follow-up sent","")))</f>
        <v/>
      </c>
      <c r="AK451" s="50" t="s">
        <v>734</v>
      </c>
      <c r="AL451" s="50" t="s">
        <v>735</v>
      </c>
      <c r="AM451" s="50" t="s">
        <v>736</v>
      </c>
      <c r="AN451" s="50">
        <v>5</v>
      </c>
      <c r="AO451" s="54" t="s">
        <v>1761</v>
      </c>
      <c r="AP451" s="57" t="s">
        <v>127</v>
      </c>
      <c r="AQ451" s="58"/>
      <c r="AR451" s="57"/>
    </row>
    <row r="452" spans="1:44" ht="54" customHeight="1" x14ac:dyDescent="0.25">
      <c r="A452" s="43" t="s">
        <v>1762</v>
      </c>
      <c r="B452" s="43" t="s">
        <v>790</v>
      </c>
      <c r="C452" s="43"/>
      <c r="D452" s="44" t="s">
        <v>1763</v>
      </c>
      <c r="E452" s="43"/>
      <c r="F452" s="43" t="s">
        <v>729</v>
      </c>
      <c r="G452" s="45"/>
      <c r="H452" s="45">
        <v>46161</v>
      </c>
      <c r="I452" s="43" t="s">
        <v>730</v>
      </c>
      <c r="J452" s="43" t="s">
        <v>731</v>
      </c>
      <c r="K452" s="43" t="str">
        <f>IF(LEN(D452)=10,"OK","Check")</f>
        <v>OK</v>
      </c>
      <c r="L452" s="43" t="s">
        <v>732</v>
      </c>
      <c r="M452" s="43" t="str">
        <f>IF(L452="Hold","Hold",IF(IFERROR(E452,0)&gt;=200,"High",IF(IFERROR(E452,0)&gt;=100,"Medium","Normal")))</f>
        <v>Hold</v>
      </c>
      <c r="N452" s="43" t="s">
        <v>90</v>
      </c>
      <c r="O452" s="43" t="s">
        <v>91</v>
      </c>
      <c r="P452" s="43" t="s">
        <v>92</v>
      </c>
      <c r="Q452" s="17" t="s">
        <v>93</v>
      </c>
      <c r="R452" s="45"/>
      <c r="S452" s="43"/>
      <c r="T452" s="43" t="s">
        <v>31</v>
      </c>
      <c r="U452" s="43" t="s">
        <v>94</v>
      </c>
      <c r="V452" s="43" t="s">
        <v>94</v>
      </c>
      <c r="W452" s="43" t="s">
        <v>95</v>
      </c>
      <c r="X452" s="45" t="str">
        <f>IF(AND(R452&lt;&gt;"",OR(U452="No reply",U452="Unknown")),R452+2,"")</f>
        <v/>
      </c>
      <c r="Y452" s="45"/>
      <c r="Z452" s="43" t="s">
        <v>96</v>
      </c>
      <c r="AA452" s="43" t="str">
        <f>IF(L452="Hold","Do not send",IF(T452="Not sent","Send WhatsApp",IF(U452="Demo booked","Prepare demo",IF(W452="Booked","Prepare demo",IF(AND(X452&lt;&gt;"",Y452=""),"Send follow-up","Review")))))</f>
        <v>Do not send</v>
      </c>
      <c r="AB452" s="43"/>
      <c r="AC452" s="43" t="s">
        <v>733</v>
      </c>
      <c r="AD452" s="43">
        <f>IF(AA452="Prepare demo",1,IF(AA452="Send follow-up",2,IF(AA452="Send WhatsApp",3,IF(AA452="Review",4,IF(AA452="Do not send",9,5)))))</f>
        <v>9</v>
      </c>
      <c r="AE452" s="43">
        <f>IF(M452="High",1,IF(M452="Medium",2,IF(M452="Normal",3,IF(M452="Hold",9,4))))</f>
        <v>9</v>
      </c>
      <c r="AF452" s="43">
        <f>IF(T452="Read",1,IF(T452="Delivered",2,IF(T452="Sent",3,IF(T452="Not sent",4,IF(T452="Failed",9,5)))))</f>
        <v>4</v>
      </c>
      <c r="AG452" s="43">
        <f>IF(U452="Demo booked",1,IF(U452="Interested",2,IF(U452="Replied",3,IF(U452="No reply",5,IF(U452="Not interested",8,IF(U452="Bad number",9,6))))))</f>
        <v>6</v>
      </c>
      <c r="AH452" s="46">
        <f>AD452*1000+AN452*100+AE452*10+AG452</f>
        <v>9596</v>
      </c>
      <c r="AI452" s="45">
        <f>MAX(IF(R452="",0,R452),IF(Y452="",0,Y452))</f>
        <v>0</v>
      </c>
      <c r="AJ452" s="43" t="str">
        <f ca="1">IF(AND(X452&lt;&gt;"",Y452="",X452&lt;TODAY()),"Overdue",IF(AND(X452&lt;&gt;"",Y452="",X452=TODAY()),"Due today",IF(Y452&lt;&gt;"","Follow-up sent","")))</f>
        <v/>
      </c>
      <c r="AK452" s="50" t="s">
        <v>734</v>
      </c>
      <c r="AL452" s="50" t="s">
        <v>735</v>
      </c>
      <c r="AM452" s="50" t="s">
        <v>736</v>
      </c>
      <c r="AN452" s="50">
        <v>5</v>
      </c>
      <c r="AO452" s="54" t="s">
        <v>1764</v>
      </c>
      <c r="AP452" s="57" t="s">
        <v>127</v>
      </c>
      <c r="AQ452" s="58"/>
      <c r="AR452" s="57"/>
    </row>
    <row r="453" spans="1:44" ht="54" customHeight="1" x14ac:dyDescent="0.25">
      <c r="A453" s="43" t="s">
        <v>1765</v>
      </c>
      <c r="B453" s="43" t="s">
        <v>790</v>
      </c>
      <c r="C453" s="43"/>
      <c r="D453" s="44" t="s">
        <v>1766</v>
      </c>
      <c r="E453" s="43"/>
      <c r="F453" s="43" t="s">
        <v>729</v>
      </c>
      <c r="G453" s="45"/>
      <c r="H453" s="45">
        <v>46161</v>
      </c>
      <c r="I453" s="43" t="s">
        <v>730</v>
      </c>
      <c r="J453" s="43" t="s">
        <v>731</v>
      </c>
      <c r="K453" s="43" t="str">
        <f>IF(LEN(D453)=10,"OK","Check")</f>
        <v>OK</v>
      </c>
      <c r="L453" s="43" t="s">
        <v>732</v>
      </c>
      <c r="M453" s="43" t="str">
        <f>IF(L453="Hold","Hold",IF(IFERROR(E453,0)&gt;=200,"High",IF(IFERROR(E453,0)&gt;=100,"Medium","Normal")))</f>
        <v>Hold</v>
      </c>
      <c r="N453" s="43" t="s">
        <v>90</v>
      </c>
      <c r="O453" s="43" t="s">
        <v>91</v>
      </c>
      <c r="P453" s="43" t="s">
        <v>92</v>
      </c>
      <c r="Q453" s="17" t="s">
        <v>93</v>
      </c>
      <c r="R453" s="45"/>
      <c r="S453" s="43"/>
      <c r="T453" s="43" t="s">
        <v>31</v>
      </c>
      <c r="U453" s="43" t="s">
        <v>94</v>
      </c>
      <c r="V453" s="43" t="s">
        <v>94</v>
      </c>
      <c r="W453" s="43" t="s">
        <v>95</v>
      </c>
      <c r="X453" s="45" t="str">
        <f>IF(AND(R453&lt;&gt;"",OR(U453="No reply",U453="Unknown")),R453+2,"")</f>
        <v/>
      </c>
      <c r="Y453" s="45"/>
      <c r="Z453" s="43" t="s">
        <v>96</v>
      </c>
      <c r="AA453" s="43" t="str">
        <f>IF(L453="Hold","Do not send",IF(T453="Not sent","Send WhatsApp",IF(U453="Demo booked","Prepare demo",IF(W453="Booked","Prepare demo",IF(AND(X453&lt;&gt;"",Y453=""),"Send follow-up","Review")))))</f>
        <v>Do not send</v>
      </c>
      <c r="AB453" s="43"/>
      <c r="AC453" s="43" t="s">
        <v>733</v>
      </c>
      <c r="AD453" s="43">
        <f>IF(AA453="Prepare demo",1,IF(AA453="Send follow-up",2,IF(AA453="Send WhatsApp",3,IF(AA453="Review",4,IF(AA453="Do not send",9,5)))))</f>
        <v>9</v>
      </c>
      <c r="AE453" s="43">
        <f>IF(M453="High",1,IF(M453="Medium",2,IF(M453="Normal",3,IF(M453="Hold",9,4))))</f>
        <v>9</v>
      </c>
      <c r="AF453" s="43">
        <f>IF(T453="Read",1,IF(T453="Delivered",2,IF(T453="Sent",3,IF(T453="Not sent",4,IF(T453="Failed",9,5)))))</f>
        <v>4</v>
      </c>
      <c r="AG453" s="43">
        <f>IF(U453="Demo booked",1,IF(U453="Interested",2,IF(U453="Replied",3,IF(U453="No reply",5,IF(U453="Not interested",8,IF(U453="Bad number",9,6))))))</f>
        <v>6</v>
      </c>
      <c r="AH453" s="46">
        <f>AD453*1000+AN453*100+AE453*10+AG453</f>
        <v>9596</v>
      </c>
      <c r="AI453" s="45">
        <f>MAX(IF(R453="",0,R453),IF(Y453="",0,Y453))</f>
        <v>0</v>
      </c>
      <c r="AJ453" s="43" t="str">
        <f ca="1">IF(AND(X453&lt;&gt;"",Y453="",X453&lt;TODAY()),"Overdue",IF(AND(X453&lt;&gt;"",Y453="",X453=TODAY()),"Due today",IF(Y453&lt;&gt;"","Follow-up sent","")))</f>
        <v/>
      </c>
      <c r="AK453" s="50" t="s">
        <v>734</v>
      </c>
      <c r="AL453" s="50" t="s">
        <v>735</v>
      </c>
      <c r="AM453" s="50" t="s">
        <v>736</v>
      </c>
      <c r="AN453" s="50">
        <v>5</v>
      </c>
      <c r="AO453" s="54" t="s">
        <v>1767</v>
      </c>
      <c r="AP453" s="57" t="s">
        <v>127</v>
      </c>
      <c r="AQ453" s="58"/>
      <c r="AR453" s="57"/>
    </row>
    <row r="454" spans="1:44" ht="54" customHeight="1" x14ac:dyDescent="0.25">
      <c r="A454" s="43" t="s">
        <v>1768</v>
      </c>
      <c r="B454" s="43" t="s">
        <v>790</v>
      </c>
      <c r="C454" s="43"/>
      <c r="D454" s="44" t="s">
        <v>1769</v>
      </c>
      <c r="E454" s="43"/>
      <c r="F454" s="43" t="s">
        <v>729</v>
      </c>
      <c r="G454" s="45"/>
      <c r="H454" s="45">
        <v>46161</v>
      </c>
      <c r="I454" s="43" t="s">
        <v>730</v>
      </c>
      <c r="J454" s="43" t="s">
        <v>731</v>
      </c>
      <c r="K454" s="43" t="str">
        <f>IF(LEN(D454)=10,"OK","Check")</f>
        <v>OK</v>
      </c>
      <c r="L454" s="43" t="s">
        <v>732</v>
      </c>
      <c r="M454" s="43" t="str">
        <f>IF(L454="Hold","Hold",IF(IFERROR(E454,0)&gt;=200,"High",IF(IFERROR(E454,0)&gt;=100,"Medium","Normal")))</f>
        <v>Hold</v>
      </c>
      <c r="N454" s="43" t="s">
        <v>90</v>
      </c>
      <c r="O454" s="43" t="s">
        <v>91</v>
      </c>
      <c r="P454" s="43" t="s">
        <v>92</v>
      </c>
      <c r="Q454" s="17" t="s">
        <v>93</v>
      </c>
      <c r="R454" s="45"/>
      <c r="S454" s="43"/>
      <c r="T454" s="43" t="s">
        <v>31</v>
      </c>
      <c r="U454" s="43" t="s">
        <v>94</v>
      </c>
      <c r="V454" s="43" t="s">
        <v>94</v>
      </c>
      <c r="W454" s="43" t="s">
        <v>95</v>
      </c>
      <c r="X454" s="45" t="str">
        <f>IF(AND(R454&lt;&gt;"",OR(U454="No reply",U454="Unknown")),R454+2,"")</f>
        <v/>
      </c>
      <c r="Y454" s="45"/>
      <c r="Z454" s="43" t="s">
        <v>96</v>
      </c>
      <c r="AA454" s="43" t="str">
        <f>IF(L454="Hold","Do not send",IF(T454="Not sent","Send WhatsApp",IF(U454="Demo booked","Prepare demo",IF(W454="Booked","Prepare demo",IF(AND(X454&lt;&gt;"",Y454=""),"Send follow-up","Review")))))</f>
        <v>Do not send</v>
      </c>
      <c r="AB454" s="43"/>
      <c r="AC454" s="43" t="s">
        <v>733</v>
      </c>
      <c r="AD454" s="43">
        <f>IF(AA454="Prepare demo",1,IF(AA454="Send follow-up",2,IF(AA454="Send WhatsApp",3,IF(AA454="Review",4,IF(AA454="Do not send",9,5)))))</f>
        <v>9</v>
      </c>
      <c r="AE454" s="43">
        <f>IF(M454="High",1,IF(M454="Medium",2,IF(M454="Normal",3,IF(M454="Hold",9,4))))</f>
        <v>9</v>
      </c>
      <c r="AF454" s="43">
        <f>IF(T454="Read",1,IF(T454="Delivered",2,IF(T454="Sent",3,IF(T454="Not sent",4,IF(T454="Failed",9,5)))))</f>
        <v>4</v>
      </c>
      <c r="AG454" s="43">
        <f>IF(U454="Demo booked",1,IF(U454="Interested",2,IF(U454="Replied",3,IF(U454="No reply",5,IF(U454="Not interested",8,IF(U454="Bad number",9,6))))))</f>
        <v>6</v>
      </c>
      <c r="AH454" s="46">
        <f>AD454*1000+AN454*100+AE454*10+AG454</f>
        <v>9596</v>
      </c>
      <c r="AI454" s="45">
        <f>MAX(IF(R454="",0,R454),IF(Y454="",0,Y454))</f>
        <v>0</v>
      </c>
      <c r="AJ454" s="43" t="str">
        <f ca="1">IF(AND(X454&lt;&gt;"",Y454="",X454&lt;TODAY()),"Overdue",IF(AND(X454&lt;&gt;"",Y454="",X454=TODAY()),"Due today",IF(Y454&lt;&gt;"","Follow-up sent","")))</f>
        <v/>
      </c>
      <c r="AK454" s="50" t="s">
        <v>734</v>
      </c>
      <c r="AL454" s="50" t="s">
        <v>735</v>
      </c>
      <c r="AM454" s="50" t="s">
        <v>736</v>
      </c>
      <c r="AN454" s="50">
        <v>5</v>
      </c>
      <c r="AO454" s="54" t="s">
        <v>1770</v>
      </c>
      <c r="AP454" s="57" t="s">
        <v>127</v>
      </c>
      <c r="AQ454" s="58"/>
      <c r="AR454" s="57"/>
    </row>
    <row r="455" spans="1:44" ht="54" customHeight="1" x14ac:dyDescent="0.25">
      <c r="A455" s="43" t="s">
        <v>1771</v>
      </c>
      <c r="B455" s="43" t="s">
        <v>790</v>
      </c>
      <c r="C455" s="43"/>
      <c r="D455" s="44" t="s">
        <v>1772</v>
      </c>
      <c r="E455" s="43"/>
      <c r="F455" s="43" t="s">
        <v>729</v>
      </c>
      <c r="G455" s="45"/>
      <c r="H455" s="45">
        <v>46161</v>
      </c>
      <c r="I455" s="43" t="s">
        <v>730</v>
      </c>
      <c r="J455" s="43" t="s">
        <v>731</v>
      </c>
      <c r="K455" s="43" t="str">
        <f>IF(LEN(D455)=10,"OK","Check")</f>
        <v>OK</v>
      </c>
      <c r="L455" s="43" t="s">
        <v>732</v>
      </c>
      <c r="M455" s="43" t="str">
        <f>IF(L455="Hold","Hold",IF(IFERROR(E455,0)&gt;=200,"High",IF(IFERROR(E455,0)&gt;=100,"Medium","Normal")))</f>
        <v>Hold</v>
      </c>
      <c r="N455" s="43" t="s">
        <v>90</v>
      </c>
      <c r="O455" s="43" t="s">
        <v>91</v>
      </c>
      <c r="P455" s="43" t="s">
        <v>92</v>
      </c>
      <c r="Q455" s="17" t="s">
        <v>93</v>
      </c>
      <c r="R455" s="45"/>
      <c r="S455" s="43"/>
      <c r="T455" s="43" t="s">
        <v>31</v>
      </c>
      <c r="U455" s="43" t="s">
        <v>94</v>
      </c>
      <c r="V455" s="43" t="s">
        <v>94</v>
      </c>
      <c r="W455" s="43" t="s">
        <v>95</v>
      </c>
      <c r="X455" s="45" t="str">
        <f>IF(AND(R455&lt;&gt;"",OR(U455="No reply",U455="Unknown")),R455+2,"")</f>
        <v/>
      </c>
      <c r="Y455" s="45"/>
      <c r="Z455" s="43" t="s">
        <v>96</v>
      </c>
      <c r="AA455" s="43" t="str">
        <f>IF(L455="Hold","Do not send",IF(T455="Not sent","Send WhatsApp",IF(U455="Demo booked","Prepare demo",IF(W455="Booked","Prepare demo",IF(AND(X455&lt;&gt;"",Y455=""),"Send follow-up","Review")))))</f>
        <v>Do not send</v>
      </c>
      <c r="AB455" s="43"/>
      <c r="AC455" s="43" t="s">
        <v>733</v>
      </c>
      <c r="AD455" s="43">
        <f>IF(AA455="Prepare demo",1,IF(AA455="Send follow-up",2,IF(AA455="Send WhatsApp",3,IF(AA455="Review",4,IF(AA455="Do not send",9,5)))))</f>
        <v>9</v>
      </c>
      <c r="AE455" s="43">
        <f>IF(M455="High",1,IF(M455="Medium",2,IF(M455="Normal",3,IF(M455="Hold",9,4))))</f>
        <v>9</v>
      </c>
      <c r="AF455" s="43">
        <f>IF(T455="Read",1,IF(T455="Delivered",2,IF(T455="Sent",3,IF(T455="Not sent",4,IF(T455="Failed",9,5)))))</f>
        <v>4</v>
      </c>
      <c r="AG455" s="43">
        <f>IF(U455="Demo booked",1,IF(U455="Interested",2,IF(U455="Replied",3,IF(U455="No reply",5,IF(U455="Not interested",8,IF(U455="Bad number",9,6))))))</f>
        <v>6</v>
      </c>
      <c r="AH455" s="46">
        <f>AD455*1000+AN455*100+AE455*10+AG455</f>
        <v>9596</v>
      </c>
      <c r="AI455" s="45">
        <f>MAX(IF(R455="",0,R455),IF(Y455="",0,Y455))</f>
        <v>0</v>
      </c>
      <c r="AJ455" s="43" t="str">
        <f ca="1">IF(AND(X455&lt;&gt;"",Y455="",X455&lt;TODAY()),"Overdue",IF(AND(X455&lt;&gt;"",Y455="",X455=TODAY()),"Due today",IF(Y455&lt;&gt;"","Follow-up sent","")))</f>
        <v/>
      </c>
      <c r="AK455" s="50" t="s">
        <v>734</v>
      </c>
      <c r="AL455" s="50" t="s">
        <v>735</v>
      </c>
      <c r="AM455" s="50" t="s">
        <v>736</v>
      </c>
      <c r="AN455" s="50">
        <v>5</v>
      </c>
      <c r="AO455" s="54" t="s">
        <v>1773</v>
      </c>
      <c r="AP455" s="57" t="s">
        <v>127</v>
      </c>
      <c r="AQ455" s="58"/>
      <c r="AR455" s="57"/>
    </row>
    <row r="456" spans="1:44" ht="54" customHeight="1" x14ac:dyDescent="0.25">
      <c r="A456" s="43" t="s">
        <v>1774</v>
      </c>
      <c r="B456" s="43" t="s">
        <v>790</v>
      </c>
      <c r="C456" s="43"/>
      <c r="D456" s="44" t="s">
        <v>1775</v>
      </c>
      <c r="E456" s="43"/>
      <c r="F456" s="43" t="s">
        <v>729</v>
      </c>
      <c r="G456" s="45"/>
      <c r="H456" s="45">
        <v>46161</v>
      </c>
      <c r="I456" s="43" t="s">
        <v>730</v>
      </c>
      <c r="J456" s="43" t="s">
        <v>731</v>
      </c>
      <c r="K456" s="43" t="str">
        <f>IF(LEN(D456)=10,"OK","Check")</f>
        <v>OK</v>
      </c>
      <c r="L456" s="43" t="s">
        <v>732</v>
      </c>
      <c r="M456" s="43" t="str">
        <f>IF(L456="Hold","Hold",IF(IFERROR(E456,0)&gt;=200,"High",IF(IFERROR(E456,0)&gt;=100,"Medium","Normal")))</f>
        <v>Hold</v>
      </c>
      <c r="N456" s="43" t="s">
        <v>90</v>
      </c>
      <c r="O456" s="43" t="s">
        <v>91</v>
      </c>
      <c r="P456" s="43" t="s">
        <v>92</v>
      </c>
      <c r="Q456" s="17" t="s">
        <v>93</v>
      </c>
      <c r="R456" s="45"/>
      <c r="S456" s="43"/>
      <c r="T456" s="43" t="s">
        <v>31</v>
      </c>
      <c r="U456" s="43" t="s">
        <v>94</v>
      </c>
      <c r="V456" s="43" t="s">
        <v>94</v>
      </c>
      <c r="W456" s="43" t="s">
        <v>95</v>
      </c>
      <c r="X456" s="45" t="str">
        <f>IF(AND(R456&lt;&gt;"",OR(U456="No reply",U456="Unknown")),R456+2,"")</f>
        <v/>
      </c>
      <c r="Y456" s="45"/>
      <c r="Z456" s="43" t="s">
        <v>96</v>
      </c>
      <c r="AA456" s="43" t="str">
        <f>IF(L456="Hold","Do not send",IF(T456="Not sent","Send WhatsApp",IF(U456="Demo booked","Prepare demo",IF(W456="Booked","Prepare demo",IF(AND(X456&lt;&gt;"",Y456=""),"Send follow-up","Review")))))</f>
        <v>Do not send</v>
      </c>
      <c r="AB456" s="43"/>
      <c r="AC456" s="43" t="s">
        <v>733</v>
      </c>
      <c r="AD456" s="43">
        <f>IF(AA456="Prepare demo",1,IF(AA456="Send follow-up",2,IF(AA456="Send WhatsApp",3,IF(AA456="Review",4,IF(AA456="Do not send",9,5)))))</f>
        <v>9</v>
      </c>
      <c r="AE456" s="43">
        <f>IF(M456="High",1,IF(M456="Medium",2,IF(M456="Normal",3,IF(M456="Hold",9,4))))</f>
        <v>9</v>
      </c>
      <c r="AF456" s="43">
        <f>IF(T456="Read",1,IF(T456="Delivered",2,IF(T456="Sent",3,IF(T456="Not sent",4,IF(T456="Failed",9,5)))))</f>
        <v>4</v>
      </c>
      <c r="AG456" s="43">
        <f>IF(U456="Demo booked",1,IF(U456="Interested",2,IF(U456="Replied",3,IF(U456="No reply",5,IF(U456="Not interested",8,IF(U456="Bad number",9,6))))))</f>
        <v>6</v>
      </c>
      <c r="AH456" s="46">
        <f>AD456*1000+AN456*100+AE456*10+AG456</f>
        <v>9596</v>
      </c>
      <c r="AI456" s="45">
        <f>MAX(IF(R456="",0,R456),IF(Y456="",0,Y456))</f>
        <v>0</v>
      </c>
      <c r="AJ456" s="43" t="str">
        <f ca="1">IF(AND(X456&lt;&gt;"",Y456="",X456&lt;TODAY()),"Overdue",IF(AND(X456&lt;&gt;"",Y456="",X456=TODAY()),"Due today",IF(Y456&lt;&gt;"","Follow-up sent","")))</f>
        <v/>
      </c>
      <c r="AK456" s="50" t="s">
        <v>734</v>
      </c>
      <c r="AL456" s="50" t="s">
        <v>735</v>
      </c>
      <c r="AM456" s="50" t="s">
        <v>736</v>
      </c>
      <c r="AN456" s="50">
        <v>5</v>
      </c>
      <c r="AO456" s="54" t="s">
        <v>1776</v>
      </c>
      <c r="AP456" s="57" t="s">
        <v>127</v>
      </c>
      <c r="AQ456" s="58"/>
      <c r="AR456" s="57"/>
    </row>
    <row r="457" spans="1:44" ht="54" customHeight="1" x14ac:dyDescent="0.25">
      <c r="A457" s="43" t="s">
        <v>1777</v>
      </c>
      <c r="B457" s="43" t="s">
        <v>790</v>
      </c>
      <c r="C457" s="43"/>
      <c r="D457" s="44" t="s">
        <v>1778</v>
      </c>
      <c r="E457" s="43"/>
      <c r="F457" s="43" t="s">
        <v>729</v>
      </c>
      <c r="G457" s="45"/>
      <c r="H457" s="45">
        <v>46161</v>
      </c>
      <c r="I457" s="43" t="s">
        <v>730</v>
      </c>
      <c r="J457" s="43" t="s">
        <v>731</v>
      </c>
      <c r="K457" s="43" t="str">
        <f>IF(LEN(D457)=10,"OK","Check")</f>
        <v>OK</v>
      </c>
      <c r="L457" s="43" t="s">
        <v>732</v>
      </c>
      <c r="M457" s="43" t="str">
        <f>IF(L457="Hold","Hold",IF(IFERROR(E457,0)&gt;=200,"High",IF(IFERROR(E457,0)&gt;=100,"Medium","Normal")))</f>
        <v>Hold</v>
      </c>
      <c r="N457" s="43" t="s">
        <v>90</v>
      </c>
      <c r="O457" s="43" t="s">
        <v>91</v>
      </c>
      <c r="P457" s="43" t="s">
        <v>92</v>
      </c>
      <c r="Q457" s="17" t="s">
        <v>93</v>
      </c>
      <c r="R457" s="45"/>
      <c r="S457" s="43"/>
      <c r="T457" s="43" t="s">
        <v>31</v>
      </c>
      <c r="U457" s="43" t="s">
        <v>94</v>
      </c>
      <c r="V457" s="43" t="s">
        <v>94</v>
      </c>
      <c r="W457" s="43" t="s">
        <v>95</v>
      </c>
      <c r="X457" s="45" t="str">
        <f>IF(AND(R457&lt;&gt;"",OR(U457="No reply",U457="Unknown")),R457+2,"")</f>
        <v/>
      </c>
      <c r="Y457" s="45"/>
      <c r="Z457" s="43" t="s">
        <v>96</v>
      </c>
      <c r="AA457" s="43" t="str">
        <f>IF(L457="Hold","Do not send",IF(T457="Not sent","Send WhatsApp",IF(U457="Demo booked","Prepare demo",IF(W457="Booked","Prepare demo",IF(AND(X457&lt;&gt;"",Y457=""),"Send follow-up","Review")))))</f>
        <v>Do not send</v>
      </c>
      <c r="AB457" s="43"/>
      <c r="AC457" s="43" t="s">
        <v>733</v>
      </c>
      <c r="AD457" s="43">
        <f>IF(AA457="Prepare demo",1,IF(AA457="Send follow-up",2,IF(AA457="Send WhatsApp",3,IF(AA457="Review",4,IF(AA457="Do not send",9,5)))))</f>
        <v>9</v>
      </c>
      <c r="AE457" s="43">
        <f>IF(M457="High",1,IF(M457="Medium",2,IF(M457="Normal",3,IF(M457="Hold",9,4))))</f>
        <v>9</v>
      </c>
      <c r="AF457" s="43">
        <f>IF(T457="Read",1,IF(T457="Delivered",2,IF(T457="Sent",3,IF(T457="Not sent",4,IF(T457="Failed",9,5)))))</f>
        <v>4</v>
      </c>
      <c r="AG457" s="43">
        <f>IF(U457="Demo booked",1,IF(U457="Interested",2,IF(U457="Replied",3,IF(U457="No reply",5,IF(U457="Not interested",8,IF(U457="Bad number",9,6))))))</f>
        <v>6</v>
      </c>
      <c r="AH457" s="46">
        <f>AD457*1000+AN457*100+AE457*10+AG457</f>
        <v>9596</v>
      </c>
      <c r="AI457" s="45">
        <f>MAX(IF(R457="",0,R457),IF(Y457="",0,Y457))</f>
        <v>0</v>
      </c>
      <c r="AJ457" s="43" t="str">
        <f ca="1">IF(AND(X457&lt;&gt;"",Y457="",X457&lt;TODAY()),"Overdue",IF(AND(X457&lt;&gt;"",Y457="",X457=TODAY()),"Due today",IF(Y457&lt;&gt;"","Follow-up sent","")))</f>
        <v/>
      </c>
      <c r="AK457" s="50" t="s">
        <v>734</v>
      </c>
      <c r="AL457" s="50" t="s">
        <v>735</v>
      </c>
      <c r="AM457" s="50" t="s">
        <v>736</v>
      </c>
      <c r="AN457" s="50">
        <v>5</v>
      </c>
      <c r="AO457" s="54" t="s">
        <v>1779</v>
      </c>
      <c r="AP457" s="57" t="s">
        <v>127</v>
      </c>
      <c r="AQ457" s="58"/>
      <c r="AR457" s="57"/>
    </row>
    <row r="458" spans="1:44" ht="54" customHeight="1" x14ac:dyDescent="0.25">
      <c r="A458" s="43" t="s">
        <v>1780</v>
      </c>
      <c r="B458" s="43" t="s">
        <v>790</v>
      </c>
      <c r="C458" s="43"/>
      <c r="D458" s="44" t="s">
        <v>1781</v>
      </c>
      <c r="E458" s="43"/>
      <c r="F458" s="43" t="s">
        <v>729</v>
      </c>
      <c r="G458" s="45"/>
      <c r="H458" s="45">
        <v>46161</v>
      </c>
      <c r="I458" s="43" t="s">
        <v>730</v>
      </c>
      <c r="J458" s="43" t="s">
        <v>731</v>
      </c>
      <c r="K458" s="43" t="str">
        <f>IF(LEN(D458)=10,"OK","Check")</f>
        <v>OK</v>
      </c>
      <c r="L458" s="43" t="s">
        <v>732</v>
      </c>
      <c r="M458" s="43" t="str">
        <f>IF(L458="Hold","Hold",IF(IFERROR(E458,0)&gt;=200,"High",IF(IFERROR(E458,0)&gt;=100,"Medium","Normal")))</f>
        <v>Hold</v>
      </c>
      <c r="N458" s="43" t="s">
        <v>90</v>
      </c>
      <c r="O458" s="43" t="s">
        <v>91</v>
      </c>
      <c r="P458" s="43" t="s">
        <v>92</v>
      </c>
      <c r="Q458" s="17" t="s">
        <v>93</v>
      </c>
      <c r="R458" s="45"/>
      <c r="S458" s="43"/>
      <c r="T458" s="43" t="s">
        <v>31</v>
      </c>
      <c r="U458" s="43" t="s">
        <v>94</v>
      </c>
      <c r="V458" s="43" t="s">
        <v>94</v>
      </c>
      <c r="W458" s="43" t="s">
        <v>95</v>
      </c>
      <c r="X458" s="45" t="str">
        <f>IF(AND(R458&lt;&gt;"",OR(U458="No reply",U458="Unknown")),R458+2,"")</f>
        <v/>
      </c>
      <c r="Y458" s="45"/>
      <c r="Z458" s="43" t="s">
        <v>96</v>
      </c>
      <c r="AA458" s="43" t="str">
        <f>IF(L458="Hold","Do not send",IF(T458="Not sent","Send WhatsApp",IF(U458="Demo booked","Prepare demo",IF(W458="Booked","Prepare demo",IF(AND(X458&lt;&gt;"",Y458=""),"Send follow-up","Review")))))</f>
        <v>Do not send</v>
      </c>
      <c r="AB458" s="43"/>
      <c r="AC458" s="43" t="s">
        <v>733</v>
      </c>
      <c r="AD458" s="43">
        <f>IF(AA458="Prepare demo",1,IF(AA458="Send follow-up",2,IF(AA458="Send WhatsApp",3,IF(AA458="Review",4,IF(AA458="Do not send",9,5)))))</f>
        <v>9</v>
      </c>
      <c r="AE458" s="43">
        <f>IF(M458="High",1,IF(M458="Medium",2,IF(M458="Normal",3,IF(M458="Hold",9,4))))</f>
        <v>9</v>
      </c>
      <c r="AF458" s="43">
        <f>IF(T458="Read",1,IF(T458="Delivered",2,IF(T458="Sent",3,IF(T458="Not sent",4,IF(T458="Failed",9,5)))))</f>
        <v>4</v>
      </c>
      <c r="AG458" s="43">
        <f>IF(U458="Demo booked",1,IF(U458="Interested",2,IF(U458="Replied",3,IF(U458="No reply",5,IF(U458="Not interested",8,IF(U458="Bad number",9,6))))))</f>
        <v>6</v>
      </c>
      <c r="AH458" s="46">
        <f>AD458*1000+AN458*100+AE458*10+AG458</f>
        <v>9596</v>
      </c>
      <c r="AI458" s="45">
        <f>MAX(IF(R458="",0,R458),IF(Y458="",0,Y458))</f>
        <v>0</v>
      </c>
      <c r="AJ458" s="43" t="str">
        <f ca="1">IF(AND(X458&lt;&gt;"",Y458="",X458&lt;TODAY()),"Overdue",IF(AND(X458&lt;&gt;"",Y458="",X458=TODAY()),"Due today",IF(Y458&lt;&gt;"","Follow-up sent","")))</f>
        <v/>
      </c>
      <c r="AK458" s="50" t="s">
        <v>734</v>
      </c>
      <c r="AL458" s="50" t="s">
        <v>735</v>
      </c>
      <c r="AM458" s="50" t="s">
        <v>736</v>
      </c>
      <c r="AN458" s="50">
        <v>5</v>
      </c>
      <c r="AO458" s="54" t="s">
        <v>1782</v>
      </c>
      <c r="AP458" s="57" t="s">
        <v>127</v>
      </c>
      <c r="AQ458" s="58"/>
      <c r="AR458" s="57"/>
    </row>
    <row r="459" spans="1:44" ht="54" customHeight="1" x14ac:dyDescent="0.25">
      <c r="A459" s="43" t="s">
        <v>1783</v>
      </c>
      <c r="B459" s="43" t="s">
        <v>790</v>
      </c>
      <c r="C459" s="43"/>
      <c r="D459" s="44" t="s">
        <v>1784</v>
      </c>
      <c r="E459" s="43"/>
      <c r="F459" s="43" t="s">
        <v>729</v>
      </c>
      <c r="G459" s="45"/>
      <c r="H459" s="45">
        <v>46161</v>
      </c>
      <c r="I459" s="43" t="s">
        <v>730</v>
      </c>
      <c r="J459" s="43" t="s">
        <v>731</v>
      </c>
      <c r="K459" s="43" t="str">
        <f>IF(LEN(D459)=10,"OK","Check")</f>
        <v>OK</v>
      </c>
      <c r="L459" s="43" t="s">
        <v>732</v>
      </c>
      <c r="M459" s="43" t="str">
        <f>IF(L459="Hold","Hold",IF(IFERROR(E459,0)&gt;=200,"High",IF(IFERROR(E459,0)&gt;=100,"Medium","Normal")))</f>
        <v>Hold</v>
      </c>
      <c r="N459" s="43" t="s">
        <v>90</v>
      </c>
      <c r="O459" s="43" t="s">
        <v>91</v>
      </c>
      <c r="P459" s="43" t="s">
        <v>92</v>
      </c>
      <c r="Q459" s="17" t="s">
        <v>93</v>
      </c>
      <c r="R459" s="45"/>
      <c r="S459" s="43"/>
      <c r="T459" s="43" t="s">
        <v>31</v>
      </c>
      <c r="U459" s="43" t="s">
        <v>94</v>
      </c>
      <c r="V459" s="43" t="s">
        <v>94</v>
      </c>
      <c r="W459" s="43" t="s">
        <v>95</v>
      </c>
      <c r="X459" s="45" t="str">
        <f>IF(AND(R459&lt;&gt;"",OR(U459="No reply",U459="Unknown")),R459+2,"")</f>
        <v/>
      </c>
      <c r="Y459" s="45"/>
      <c r="Z459" s="43" t="s">
        <v>96</v>
      </c>
      <c r="AA459" s="43" t="str">
        <f>IF(L459="Hold","Do not send",IF(T459="Not sent","Send WhatsApp",IF(U459="Demo booked","Prepare demo",IF(W459="Booked","Prepare demo",IF(AND(X459&lt;&gt;"",Y459=""),"Send follow-up","Review")))))</f>
        <v>Do not send</v>
      </c>
      <c r="AB459" s="43"/>
      <c r="AC459" s="43" t="s">
        <v>733</v>
      </c>
      <c r="AD459" s="43">
        <f>IF(AA459="Prepare demo",1,IF(AA459="Send follow-up",2,IF(AA459="Send WhatsApp",3,IF(AA459="Review",4,IF(AA459="Do not send",9,5)))))</f>
        <v>9</v>
      </c>
      <c r="AE459" s="43">
        <f>IF(M459="High",1,IF(M459="Medium",2,IF(M459="Normal",3,IF(M459="Hold",9,4))))</f>
        <v>9</v>
      </c>
      <c r="AF459" s="43">
        <f>IF(T459="Read",1,IF(T459="Delivered",2,IF(T459="Sent",3,IF(T459="Not sent",4,IF(T459="Failed",9,5)))))</f>
        <v>4</v>
      </c>
      <c r="AG459" s="43">
        <f>IF(U459="Demo booked",1,IF(U459="Interested",2,IF(U459="Replied",3,IF(U459="No reply",5,IF(U459="Not interested",8,IF(U459="Bad number",9,6))))))</f>
        <v>6</v>
      </c>
      <c r="AH459" s="46">
        <f>AD459*1000+AN459*100+AE459*10+AG459</f>
        <v>9596</v>
      </c>
      <c r="AI459" s="45">
        <f>MAX(IF(R459="",0,R459),IF(Y459="",0,Y459))</f>
        <v>0</v>
      </c>
      <c r="AJ459" s="43" t="str">
        <f ca="1">IF(AND(X459&lt;&gt;"",Y459="",X459&lt;TODAY()),"Overdue",IF(AND(X459&lt;&gt;"",Y459="",X459=TODAY()),"Due today",IF(Y459&lt;&gt;"","Follow-up sent","")))</f>
        <v/>
      </c>
      <c r="AK459" s="50" t="s">
        <v>734</v>
      </c>
      <c r="AL459" s="50" t="s">
        <v>735</v>
      </c>
      <c r="AM459" s="50" t="s">
        <v>736</v>
      </c>
      <c r="AN459" s="50">
        <v>5</v>
      </c>
      <c r="AO459" s="54" t="s">
        <v>1785</v>
      </c>
      <c r="AP459" s="57" t="s">
        <v>127</v>
      </c>
      <c r="AQ459" s="58"/>
      <c r="AR459" s="57"/>
    </row>
    <row r="460" spans="1:44" ht="54" customHeight="1" x14ac:dyDescent="0.25">
      <c r="A460" s="43" t="s">
        <v>1786</v>
      </c>
      <c r="B460" s="43" t="s">
        <v>790</v>
      </c>
      <c r="C460" s="43"/>
      <c r="D460" s="44" t="s">
        <v>1787</v>
      </c>
      <c r="E460" s="43"/>
      <c r="F460" s="43" t="s">
        <v>729</v>
      </c>
      <c r="G460" s="45"/>
      <c r="H460" s="45">
        <v>46161</v>
      </c>
      <c r="I460" s="43" t="s">
        <v>730</v>
      </c>
      <c r="J460" s="43" t="s">
        <v>731</v>
      </c>
      <c r="K460" s="43" t="str">
        <f>IF(LEN(D460)=10,"OK","Check")</f>
        <v>OK</v>
      </c>
      <c r="L460" s="43" t="s">
        <v>732</v>
      </c>
      <c r="M460" s="43" t="str">
        <f>IF(L460="Hold","Hold",IF(IFERROR(E460,0)&gt;=200,"High",IF(IFERROR(E460,0)&gt;=100,"Medium","Normal")))</f>
        <v>Hold</v>
      </c>
      <c r="N460" s="43" t="s">
        <v>90</v>
      </c>
      <c r="O460" s="43" t="s">
        <v>91</v>
      </c>
      <c r="P460" s="43" t="s">
        <v>92</v>
      </c>
      <c r="Q460" s="17" t="s">
        <v>93</v>
      </c>
      <c r="R460" s="45"/>
      <c r="S460" s="43"/>
      <c r="T460" s="43" t="s">
        <v>31</v>
      </c>
      <c r="U460" s="43" t="s">
        <v>94</v>
      </c>
      <c r="V460" s="43" t="s">
        <v>94</v>
      </c>
      <c r="W460" s="43" t="s">
        <v>95</v>
      </c>
      <c r="X460" s="45" t="str">
        <f>IF(AND(R460&lt;&gt;"",OR(U460="No reply",U460="Unknown")),R460+2,"")</f>
        <v/>
      </c>
      <c r="Y460" s="45"/>
      <c r="Z460" s="43" t="s">
        <v>96</v>
      </c>
      <c r="AA460" s="43" t="str">
        <f>IF(L460="Hold","Do not send",IF(T460="Not sent","Send WhatsApp",IF(U460="Demo booked","Prepare demo",IF(W460="Booked","Prepare demo",IF(AND(X460&lt;&gt;"",Y460=""),"Send follow-up","Review")))))</f>
        <v>Do not send</v>
      </c>
      <c r="AB460" s="43"/>
      <c r="AC460" s="43" t="s">
        <v>733</v>
      </c>
      <c r="AD460" s="43">
        <f>IF(AA460="Prepare demo",1,IF(AA460="Send follow-up",2,IF(AA460="Send WhatsApp",3,IF(AA460="Review",4,IF(AA460="Do not send",9,5)))))</f>
        <v>9</v>
      </c>
      <c r="AE460" s="43">
        <f>IF(M460="High",1,IF(M460="Medium",2,IF(M460="Normal",3,IF(M460="Hold",9,4))))</f>
        <v>9</v>
      </c>
      <c r="AF460" s="43">
        <f>IF(T460="Read",1,IF(T460="Delivered",2,IF(T460="Sent",3,IF(T460="Not sent",4,IF(T460="Failed",9,5)))))</f>
        <v>4</v>
      </c>
      <c r="AG460" s="43">
        <f>IF(U460="Demo booked",1,IF(U460="Interested",2,IF(U460="Replied",3,IF(U460="No reply",5,IF(U460="Not interested",8,IF(U460="Bad number",9,6))))))</f>
        <v>6</v>
      </c>
      <c r="AH460" s="46">
        <f>AD460*1000+AN460*100+AE460*10+AG460</f>
        <v>9596</v>
      </c>
      <c r="AI460" s="45">
        <f>MAX(IF(R460="",0,R460),IF(Y460="",0,Y460))</f>
        <v>0</v>
      </c>
      <c r="AJ460" s="43" t="str">
        <f ca="1">IF(AND(X460&lt;&gt;"",Y460="",X460&lt;TODAY()),"Overdue",IF(AND(X460&lt;&gt;"",Y460="",X460=TODAY()),"Due today",IF(Y460&lt;&gt;"","Follow-up sent","")))</f>
        <v/>
      </c>
      <c r="AK460" s="50" t="s">
        <v>734</v>
      </c>
      <c r="AL460" s="50" t="s">
        <v>735</v>
      </c>
      <c r="AM460" s="50" t="s">
        <v>736</v>
      </c>
      <c r="AN460" s="50">
        <v>5</v>
      </c>
      <c r="AO460" s="54" t="s">
        <v>1788</v>
      </c>
      <c r="AP460" s="57" t="s">
        <v>127</v>
      </c>
      <c r="AQ460" s="58"/>
      <c r="AR460" s="57"/>
    </row>
    <row r="461" spans="1:44" ht="54" customHeight="1" x14ac:dyDescent="0.25">
      <c r="A461" s="43" t="s">
        <v>1789</v>
      </c>
      <c r="B461" s="43" t="s">
        <v>790</v>
      </c>
      <c r="C461" s="43"/>
      <c r="D461" s="44" t="s">
        <v>1790</v>
      </c>
      <c r="E461" s="43"/>
      <c r="F461" s="43" t="s">
        <v>729</v>
      </c>
      <c r="G461" s="45"/>
      <c r="H461" s="45">
        <v>46161</v>
      </c>
      <c r="I461" s="43" t="s">
        <v>730</v>
      </c>
      <c r="J461" s="43" t="s">
        <v>731</v>
      </c>
      <c r="K461" s="43" t="str">
        <f>IF(LEN(D461)=10,"OK","Check")</f>
        <v>OK</v>
      </c>
      <c r="L461" s="43" t="s">
        <v>732</v>
      </c>
      <c r="M461" s="43" t="str">
        <f>IF(L461="Hold","Hold",IF(IFERROR(E461,0)&gt;=200,"High",IF(IFERROR(E461,0)&gt;=100,"Medium","Normal")))</f>
        <v>Hold</v>
      </c>
      <c r="N461" s="43" t="s">
        <v>90</v>
      </c>
      <c r="O461" s="43" t="s">
        <v>91</v>
      </c>
      <c r="P461" s="43" t="s">
        <v>92</v>
      </c>
      <c r="Q461" s="17" t="s">
        <v>93</v>
      </c>
      <c r="R461" s="45"/>
      <c r="S461" s="43"/>
      <c r="T461" s="43" t="s">
        <v>31</v>
      </c>
      <c r="U461" s="43" t="s">
        <v>94</v>
      </c>
      <c r="V461" s="43" t="s">
        <v>94</v>
      </c>
      <c r="W461" s="43" t="s">
        <v>95</v>
      </c>
      <c r="X461" s="45" t="str">
        <f>IF(AND(R461&lt;&gt;"",OR(U461="No reply",U461="Unknown")),R461+2,"")</f>
        <v/>
      </c>
      <c r="Y461" s="45"/>
      <c r="Z461" s="43" t="s">
        <v>96</v>
      </c>
      <c r="AA461" s="43" t="str">
        <f>IF(L461="Hold","Do not send",IF(T461="Not sent","Send WhatsApp",IF(U461="Demo booked","Prepare demo",IF(W461="Booked","Prepare demo",IF(AND(X461&lt;&gt;"",Y461=""),"Send follow-up","Review")))))</f>
        <v>Do not send</v>
      </c>
      <c r="AB461" s="43"/>
      <c r="AC461" s="43" t="s">
        <v>733</v>
      </c>
      <c r="AD461" s="43">
        <f>IF(AA461="Prepare demo",1,IF(AA461="Send follow-up",2,IF(AA461="Send WhatsApp",3,IF(AA461="Review",4,IF(AA461="Do not send",9,5)))))</f>
        <v>9</v>
      </c>
      <c r="AE461" s="43">
        <f>IF(M461="High",1,IF(M461="Medium",2,IF(M461="Normal",3,IF(M461="Hold",9,4))))</f>
        <v>9</v>
      </c>
      <c r="AF461" s="43">
        <f>IF(T461="Read",1,IF(T461="Delivered",2,IF(T461="Sent",3,IF(T461="Not sent",4,IF(T461="Failed",9,5)))))</f>
        <v>4</v>
      </c>
      <c r="AG461" s="43">
        <f>IF(U461="Demo booked",1,IF(U461="Interested",2,IF(U461="Replied",3,IF(U461="No reply",5,IF(U461="Not interested",8,IF(U461="Bad number",9,6))))))</f>
        <v>6</v>
      </c>
      <c r="AH461" s="46">
        <f>AD461*1000+AN461*100+AE461*10+AG461</f>
        <v>9596</v>
      </c>
      <c r="AI461" s="45">
        <f>MAX(IF(R461="",0,R461),IF(Y461="",0,Y461))</f>
        <v>0</v>
      </c>
      <c r="AJ461" s="43" t="str">
        <f ca="1">IF(AND(X461&lt;&gt;"",Y461="",X461&lt;TODAY()),"Overdue",IF(AND(X461&lt;&gt;"",Y461="",X461=TODAY()),"Due today",IF(Y461&lt;&gt;"","Follow-up sent","")))</f>
        <v/>
      </c>
      <c r="AK461" s="50" t="s">
        <v>734</v>
      </c>
      <c r="AL461" s="50" t="s">
        <v>735</v>
      </c>
      <c r="AM461" s="50" t="s">
        <v>736</v>
      </c>
      <c r="AN461" s="50">
        <v>5</v>
      </c>
      <c r="AO461" s="54" t="s">
        <v>1791</v>
      </c>
      <c r="AP461" s="57" t="s">
        <v>127</v>
      </c>
      <c r="AQ461" s="58"/>
      <c r="AR461" s="57"/>
    </row>
    <row r="462" spans="1:44" ht="54" customHeight="1" x14ac:dyDescent="0.25">
      <c r="A462" s="43" t="s">
        <v>1792</v>
      </c>
      <c r="B462" s="43" t="s">
        <v>790</v>
      </c>
      <c r="C462" s="43"/>
      <c r="D462" s="44" t="s">
        <v>1793</v>
      </c>
      <c r="E462" s="43"/>
      <c r="F462" s="43" t="s">
        <v>729</v>
      </c>
      <c r="G462" s="45"/>
      <c r="H462" s="45">
        <v>46161</v>
      </c>
      <c r="I462" s="43" t="s">
        <v>730</v>
      </c>
      <c r="J462" s="43" t="s">
        <v>731</v>
      </c>
      <c r="K462" s="43" t="str">
        <f>IF(LEN(D462)=10,"OK","Check")</f>
        <v>OK</v>
      </c>
      <c r="L462" s="43" t="s">
        <v>732</v>
      </c>
      <c r="M462" s="43" t="str">
        <f>IF(L462="Hold","Hold",IF(IFERROR(E462,0)&gt;=200,"High",IF(IFERROR(E462,0)&gt;=100,"Medium","Normal")))</f>
        <v>Hold</v>
      </c>
      <c r="N462" s="43" t="s">
        <v>90</v>
      </c>
      <c r="O462" s="43" t="s">
        <v>91</v>
      </c>
      <c r="P462" s="43" t="s">
        <v>92</v>
      </c>
      <c r="Q462" s="17" t="s">
        <v>93</v>
      </c>
      <c r="R462" s="45"/>
      <c r="S462" s="43"/>
      <c r="T462" s="43" t="s">
        <v>31</v>
      </c>
      <c r="U462" s="43" t="s">
        <v>94</v>
      </c>
      <c r="V462" s="43" t="s">
        <v>94</v>
      </c>
      <c r="W462" s="43" t="s">
        <v>95</v>
      </c>
      <c r="X462" s="45" t="str">
        <f>IF(AND(R462&lt;&gt;"",OR(U462="No reply",U462="Unknown")),R462+2,"")</f>
        <v/>
      </c>
      <c r="Y462" s="45"/>
      <c r="Z462" s="43" t="s">
        <v>96</v>
      </c>
      <c r="AA462" s="43" t="str">
        <f>IF(L462="Hold","Do not send",IF(T462="Not sent","Send WhatsApp",IF(U462="Demo booked","Prepare demo",IF(W462="Booked","Prepare demo",IF(AND(X462&lt;&gt;"",Y462=""),"Send follow-up","Review")))))</f>
        <v>Do not send</v>
      </c>
      <c r="AB462" s="43"/>
      <c r="AC462" s="43" t="s">
        <v>733</v>
      </c>
      <c r="AD462" s="43">
        <f>IF(AA462="Prepare demo",1,IF(AA462="Send follow-up",2,IF(AA462="Send WhatsApp",3,IF(AA462="Review",4,IF(AA462="Do not send",9,5)))))</f>
        <v>9</v>
      </c>
      <c r="AE462" s="43">
        <f>IF(M462="High",1,IF(M462="Medium",2,IF(M462="Normal",3,IF(M462="Hold",9,4))))</f>
        <v>9</v>
      </c>
      <c r="AF462" s="43">
        <f>IF(T462="Read",1,IF(T462="Delivered",2,IF(T462="Sent",3,IF(T462="Not sent",4,IF(T462="Failed",9,5)))))</f>
        <v>4</v>
      </c>
      <c r="AG462" s="43">
        <f>IF(U462="Demo booked",1,IF(U462="Interested",2,IF(U462="Replied",3,IF(U462="No reply",5,IF(U462="Not interested",8,IF(U462="Bad number",9,6))))))</f>
        <v>6</v>
      </c>
      <c r="AH462" s="46">
        <f>AD462*1000+AN462*100+AE462*10+AG462</f>
        <v>9596</v>
      </c>
      <c r="AI462" s="45">
        <f>MAX(IF(R462="",0,R462),IF(Y462="",0,Y462))</f>
        <v>0</v>
      </c>
      <c r="AJ462" s="43" t="str">
        <f ca="1">IF(AND(X462&lt;&gt;"",Y462="",X462&lt;TODAY()),"Overdue",IF(AND(X462&lt;&gt;"",Y462="",X462=TODAY()),"Due today",IF(Y462&lt;&gt;"","Follow-up sent","")))</f>
        <v/>
      </c>
      <c r="AK462" s="50" t="s">
        <v>734</v>
      </c>
      <c r="AL462" s="50" t="s">
        <v>735</v>
      </c>
      <c r="AM462" s="50" t="s">
        <v>736</v>
      </c>
      <c r="AN462" s="50">
        <v>5</v>
      </c>
      <c r="AO462" s="54" t="s">
        <v>1794</v>
      </c>
      <c r="AP462" s="57" t="s">
        <v>127</v>
      </c>
      <c r="AQ462" s="58"/>
      <c r="AR462" s="57"/>
    </row>
    <row r="463" spans="1:44" ht="54" customHeight="1" x14ac:dyDescent="0.25">
      <c r="A463" s="43" t="s">
        <v>1795</v>
      </c>
      <c r="B463" s="43" t="s">
        <v>790</v>
      </c>
      <c r="C463" s="43"/>
      <c r="D463" s="44" t="s">
        <v>1796</v>
      </c>
      <c r="E463" s="43"/>
      <c r="F463" s="43" t="s">
        <v>729</v>
      </c>
      <c r="G463" s="45"/>
      <c r="H463" s="45">
        <v>46161</v>
      </c>
      <c r="I463" s="43" t="s">
        <v>730</v>
      </c>
      <c r="J463" s="43" t="s">
        <v>731</v>
      </c>
      <c r="K463" s="43" t="str">
        <f>IF(LEN(D463)=10,"OK","Check")</f>
        <v>OK</v>
      </c>
      <c r="L463" s="43" t="s">
        <v>732</v>
      </c>
      <c r="M463" s="43" t="str">
        <f>IF(L463="Hold","Hold",IF(IFERROR(E463,0)&gt;=200,"High",IF(IFERROR(E463,0)&gt;=100,"Medium","Normal")))</f>
        <v>Hold</v>
      </c>
      <c r="N463" s="43" t="s">
        <v>90</v>
      </c>
      <c r="O463" s="43" t="s">
        <v>91</v>
      </c>
      <c r="P463" s="43" t="s">
        <v>92</v>
      </c>
      <c r="Q463" s="17" t="s">
        <v>93</v>
      </c>
      <c r="R463" s="45"/>
      <c r="S463" s="43"/>
      <c r="T463" s="43" t="s">
        <v>31</v>
      </c>
      <c r="U463" s="43" t="s">
        <v>94</v>
      </c>
      <c r="V463" s="43" t="s">
        <v>94</v>
      </c>
      <c r="W463" s="43" t="s">
        <v>95</v>
      </c>
      <c r="X463" s="45" t="str">
        <f>IF(AND(R463&lt;&gt;"",OR(U463="No reply",U463="Unknown")),R463+2,"")</f>
        <v/>
      </c>
      <c r="Y463" s="45"/>
      <c r="Z463" s="43" t="s">
        <v>96</v>
      </c>
      <c r="AA463" s="43" t="str">
        <f>IF(L463="Hold","Do not send",IF(T463="Not sent","Send WhatsApp",IF(U463="Demo booked","Prepare demo",IF(W463="Booked","Prepare demo",IF(AND(X463&lt;&gt;"",Y463=""),"Send follow-up","Review")))))</f>
        <v>Do not send</v>
      </c>
      <c r="AB463" s="43"/>
      <c r="AC463" s="43" t="s">
        <v>733</v>
      </c>
      <c r="AD463" s="43">
        <f>IF(AA463="Prepare demo",1,IF(AA463="Send follow-up",2,IF(AA463="Send WhatsApp",3,IF(AA463="Review",4,IF(AA463="Do not send",9,5)))))</f>
        <v>9</v>
      </c>
      <c r="AE463" s="43">
        <f>IF(M463="High",1,IF(M463="Medium",2,IF(M463="Normal",3,IF(M463="Hold",9,4))))</f>
        <v>9</v>
      </c>
      <c r="AF463" s="43">
        <f>IF(T463="Read",1,IF(T463="Delivered",2,IF(T463="Sent",3,IF(T463="Not sent",4,IF(T463="Failed",9,5)))))</f>
        <v>4</v>
      </c>
      <c r="AG463" s="43">
        <f>IF(U463="Demo booked",1,IF(U463="Interested",2,IF(U463="Replied",3,IF(U463="No reply",5,IF(U463="Not interested",8,IF(U463="Bad number",9,6))))))</f>
        <v>6</v>
      </c>
      <c r="AH463" s="46">
        <f>AD463*1000+AN463*100+AE463*10+AG463</f>
        <v>9596</v>
      </c>
      <c r="AI463" s="45">
        <f>MAX(IF(R463="",0,R463),IF(Y463="",0,Y463))</f>
        <v>0</v>
      </c>
      <c r="AJ463" s="43" t="str">
        <f ca="1">IF(AND(X463&lt;&gt;"",Y463="",X463&lt;TODAY()),"Overdue",IF(AND(X463&lt;&gt;"",Y463="",X463=TODAY()),"Due today",IF(Y463&lt;&gt;"","Follow-up sent","")))</f>
        <v/>
      </c>
      <c r="AK463" s="50" t="s">
        <v>734</v>
      </c>
      <c r="AL463" s="50" t="s">
        <v>735</v>
      </c>
      <c r="AM463" s="50" t="s">
        <v>736</v>
      </c>
      <c r="AN463" s="50">
        <v>5</v>
      </c>
      <c r="AO463" s="54" t="s">
        <v>1797</v>
      </c>
      <c r="AP463" s="57" t="s">
        <v>127</v>
      </c>
      <c r="AQ463" s="58"/>
      <c r="AR463" s="57"/>
    </row>
    <row r="464" spans="1:44" ht="54" customHeight="1" x14ac:dyDescent="0.25">
      <c r="A464" s="43" t="s">
        <v>1798</v>
      </c>
      <c r="B464" s="43" t="s">
        <v>790</v>
      </c>
      <c r="C464" s="43"/>
      <c r="D464" s="44" t="s">
        <v>1799</v>
      </c>
      <c r="E464" s="43"/>
      <c r="F464" s="43" t="s">
        <v>729</v>
      </c>
      <c r="G464" s="45"/>
      <c r="H464" s="45">
        <v>46161</v>
      </c>
      <c r="I464" s="43" t="s">
        <v>730</v>
      </c>
      <c r="J464" s="43" t="s">
        <v>731</v>
      </c>
      <c r="K464" s="43" t="str">
        <f>IF(LEN(D464)=10,"OK","Check")</f>
        <v>OK</v>
      </c>
      <c r="L464" s="43" t="s">
        <v>732</v>
      </c>
      <c r="M464" s="43" t="str">
        <f>IF(L464="Hold","Hold",IF(IFERROR(E464,0)&gt;=200,"High",IF(IFERROR(E464,0)&gt;=100,"Medium","Normal")))</f>
        <v>Hold</v>
      </c>
      <c r="N464" s="43" t="s">
        <v>90</v>
      </c>
      <c r="O464" s="43" t="s">
        <v>91</v>
      </c>
      <c r="P464" s="43" t="s">
        <v>92</v>
      </c>
      <c r="Q464" s="17" t="s">
        <v>93</v>
      </c>
      <c r="R464" s="45"/>
      <c r="S464" s="43"/>
      <c r="T464" s="43" t="s">
        <v>31</v>
      </c>
      <c r="U464" s="43" t="s">
        <v>94</v>
      </c>
      <c r="V464" s="43" t="s">
        <v>94</v>
      </c>
      <c r="W464" s="43" t="s">
        <v>95</v>
      </c>
      <c r="X464" s="45" t="str">
        <f>IF(AND(R464&lt;&gt;"",OR(U464="No reply",U464="Unknown")),R464+2,"")</f>
        <v/>
      </c>
      <c r="Y464" s="45"/>
      <c r="Z464" s="43" t="s">
        <v>96</v>
      </c>
      <c r="AA464" s="43" t="str">
        <f>IF(L464="Hold","Do not send",IF(T464="Not sent","Send WhatsApp",IF(U464="Demo booked","Prepare demo",IF(W464="Booked","Prepare demo",IF(AND(X464&lt;&gt;"",Y464=""),"Send follow-up","Review")))))</f>
        <v>Do not send</v>
      </c>
      <c r="AB464" s="43"/>
      <c r="AC464" s="43" t="s">
        <v>733</v>
      </c>
      <c r="AD464" s="43">
        <f>IF(AA464="Prepare demo",1,IF(AA464="Send follow-up",2,IF(AA464="Send WhatsApp",3,IF(AA464="Review",4,IF(AA464="Do not send",9,5)))))</f>
        <v>9</v>
      </c>
      <c r="AE464" s="43">
        <f>IF(M464="High",1,IF(M464="Medium",2,IF(M464="Normal",3,IF(M464="Hold",9,4))))</f>
        <v>9</v>
      </c>
      <c r="AF464" s="43">
        <f>IF(T464="Read",1,IF(T464="Delivered",2,IF(T464="Sent",3,IF(T464="Not sent",4,IF(T464="Failed",9,5)))))</f>
        <v>4</v>
      </c>
      <c r="AG464" s="43">
        <f>IF(U464="Demo booked",1,IF(U464="Interested",2,IF(U464="Replied",3,IF(U464="No reply",5,IF(U464="Not interested",8,IF(U464="Bad number",9,6))))))</f>
        <v>6</v>
      </c>
      <c r="AH464" s="46">
        <f>AD464*1000+AN464*100+AE464*10+AG464</f>
        <v>9596</v>
      </c>
      <c r="AI464" s="45">
        <f>MAX(IF(R464="",0,R464),IF(Y464="",0,Y464))</f>
        <v>0</v>
      </c>
      <c r="AJ464" s="43" t="str">
        <f ca="1">IF(AND(X464&lt;&gt;"",Y464="",X464&lt;TODAY()),"Overdue",IF(AND(X464&lt;&gt;"",Y464="",X464=TODAY()),"Due today",IF(Y464&lt;&gt;"","Follow-up sent","")))</f>
        <v/>
      </c>
      <c r="AK464" s="50" t="s">
        <v>734</v>
      </c>
      <c r="AL464" s="50" t="s">
        <v>735</v>
      </c>
      <c r="AM464" s="50" t="s">
        <v>736</v>
      </c>
      <c r="AN464" s="50">
        <v>5</v>
      </c>
      <c r="AO464" s="54" t="s">
        <v>1800</v>
      </c>
      <c r="AP464" s="57" t="s">
        <v>127</v>
      </c>
      <c r="AQ464" s="58"/>
      <c r="AR464" s="57"/>
    </row>
    <row r="465" spans="1:44" ht="54" customHeight="1" x14ac:dyDescent="0.25">
      <c r="A465" s="43" t="s">
        <v>1801</v>
      </c>
      <c r="B465" s="43" t="s">
        <v>790</v>
      </c>
      <c r="C465" s="43"/>
      <c r="D465" s="44" t="s">
        <v>1802</v>
      </c>
      <c r="E465" s="43"/>
      <c r="F465" s="43" t="s">
        <v>729</v>
      </c>
      <c r="G465" s="45"/>
      <c r="H465" s="45">
        <v>46161</v>
      </c>
      <c r="I465" s="43" t="s">
        <v>730</v>
      </c>
      <c r="J465" s="43" t="s">
        <v>731</v>
      </c>
      <c r="K465" s="43" t="str">
        <f>IF(LEN(D465)=10,"OK","Check")</f>
        <v>OK</v>
      </c>
      <c r="L465" s="43" t="s">
        <v>732</v>
      </c>
      <c r="M465" s="43" t="str">
        <f>IF(L465="Hold","Hold",IF(IFERROR(E465,0)&gt;=200,"High",IF(IFERROR(E465,0)&gt;=100,"Medium","Normal")))</f>
        <v>Hold</v>
      </c>
      <c r="N465" s="43" t="s">
        <v>90</v>
      </c>
      <c r="O465" s="43" t="s">
        <v>91</v>
      </c>
      <c r="P465" s="43" t="s">
        <v>92</v>
      </c>
      <c r="Q465" s="17" t="s">
        <v>93</v>
      </c>
      <c r="R465" s="45"/>
      <c r="S465" s="43"/>
      <c r="T465" s="43" t="s">
        <v>31</v>
      </c>
      <c r="U465" s="43" t="s">
        <v>94</v>
      </c>
      <c r="V465" s="43" t="s">
        <v>94</v>
      </c>
      <c r="W465" s="43" t="s">
        <v>95</v>
      </c>
      <c r="X465" s="45" t="str">
        <f>IF(AND(R465&lt;&gt;"",OR(U465="No reply",U465="Unknown")),R465+2,"")</f>
        <v/>
      </c>
      <c r="Y465" s="45"/>
      <c r="Z465" s="43" t="s">
        <v>96</v>
      </c>
      <c r="AA465" s="43" t="str">
        <f>IF(L465="Hold","Do not send",IF(T465="Not sent","Send WhatsApp",IF(U465="Demo booked","Prepare demo",IF(W465="Booked","Prepare demo",IF(AND(X465&lt;&gt;"",Y465=""),"Send follow-up","Review")))))</f>
        <v>Do not send</v>
      </c>
      <c r="AB465" s="43"/>
      <c r="AC465" s="43" t="s">
        <v>733</v>
      </c>
      <c r="AD465" s="43">
        <f>IF(AA465="Prepare demo",1,IF(AA465="Send follow-up",2,IF(AA465="Send WhatsApp",3,IF(AA465="Review",4,IF(AA465="Do not send",9,5)))))</f>
        <v>9</v>
      </c>
      <c r="AE465" s="43">
        <f>IF(M465="High",1,IF(M465="Medium",2,IF(M465="Normal",3,IF(M465="Hold",9,4))))</f>
        <v>9</v>
      </c>
      <c r="AF465" s="43">
        <f>IF(T465="Read",1,IF(T465="Delivered",2,IF(T465="Sent",3,IF(T465="Not sent",4,IF(T465="Failed",9,5)))))</f>
        <v>4</v>
      </c>
      <c r="AG465" s="43">
        <f>IF(U465="Demo booked",1,IF(U465="Interested",2,IF(U465="Replied",3,IF(U465="No reply",5,IF(U465="Not interested",8,IF(U465="Bad number",9,6))))))</f>
        <v>6</v>
      </c>
      <c r="AH465" s="46">
        <f>AD465*1000+AN465*100+AE465*10+AG465</f>
        <v>9596</v>
      </c>
      <c r="AI465" s="45">
        <f>MAX(IF(R465="",0,R465),IF(Y465="",0,Y465))</f>
        <v>0</v>
      </c>
      <c r="AJ465" s="43" t="str">
        <f ca="1">IF(AND(X465&lt;&gt;"",Y465="",X465&lt;TODAY()),"Overdue",IF(AND(X465&lt;&gt;"",Y465="",X465=TODAY()),"Due today",IF(Y465&lt;&gt;"","Follow-up sent","")))</f>
        <v/>
      </c>
      <c r="AK465" s="50" t="s">
        <v>734</v>
      </c>
      <c r="AL465" s="50" t="s">
        <v>735</v>
      </c>
      <c r="AM465" s="50" t="s">
        <v>736</v>
      </c>
      <c r="AN465" s="50">
        <v>5</v>
      </c>
      <c r="AO465" s="54" t="s">
        <v>1803</v>
      </c>
      <c r="AP465" s="57" t="s">
        <v>127</v>
      </c>
      <c r="AQ465" s="58"/>
      <c r="AR465" s="57"/>
    </row>
    <row r="466" spans="1:44" ht="54" customHeight="1" x14ac:dyDescent="0.25">
      <c r="A466" s="43" t="s">
        <v>1804</v>
      </c>
      <c r="B466" s="43" t="s">
        <v>790</v>
      </c>
      <c r="C466" s="43"/>
      <c r="D466" s="44" t="s">
        <v>1805</v>
      </c>
      <c r="E466" s="43"/>
      <c r="F466" s="43" t="s">
        <v>729</v>
      </c>
      <c r="G466" s="45"/>
      <c r="H466" s="45">
        <v>46161</v>
      </c>
      <c r="I466" s="43" t="s">
        <v>730</v>
      </c>
      <c r="J466" s="43" t="s">
        <v>731</v>
      </c>
      <c r="K466" s="43" t="str">
        <f>IF(LEN(D466)=10,"OK","Check")</f>
        <v>OK</v>
      </c>
      <c r="L466" s="43" t="s">
        <v>732</v>
      </c>
      <c r="M466" s="43" t="str">
        <f>IF(L466="Hold","Hold",IF(IFERROR(E466,0)&gt;=200,"High",IF(IFERROR(E466,0)&gt;=100,"Medium","Normal")))</f>
        <v>Hold</v>
      </c>
      <c r="N466" s="43" t="s">
        <v>90</v>
      </c>
      <c r="O466" s="43" t="s">
        <v>91</v>
      </c>
      <c r="P466" s="43" t="s">
        <v>92</v>
      </c>
      <c r="Q466" s="17" t="s">
        <v>93</v>
      </c>
      <c r="R466" s="45"/>
      <c r="S466" s="43"/>
      <c r="T466" s="43" t="s">
        <v>31</v>
      </c>
      <c r="U466" s="43" t="s">
        <v>94</v>
      </c>
      <c r="V466" s="43" t="s">
        <v>94</v>
      </c>
      <c r="W466" s="43" t="s">
        <v>95</v>
      </c>
      <c r="X466" s="45" t="str">
        <f>IF(AND(R466&lt;&gt;"",OR(U466="No reply",U466="Unknown")),R466+2,"")</f>
        <v/>
      </c>
      <c r="Y466" s="45"/>
      <c r="Z466" s="43" t="s">
        <v>96</v>
      </c>
      <c r="AA466" s="43" t="str">
        <f>IF(L466="Hold","Do not send",IF(T466="Not sent","Send WhatsApp",IF(U466="Demo booked","Prepare demo",IF(W466="Booked","Prepare demo",IF(AND(X466&lt;&gt;"",Y466=""),"Send follow-up","Review")))))</f>
        <v>Do not send</v>
      </c>
      <c r="AB466" s="43"/>
      <c r="AC466" s="43" t="s">
        <v>733</v>
      </c>
      <c r="AD466" s="43">
        <f>IF(AA466="Prepare demo",1,IF(AA466="Send follow-up",2,IF(AA466="Send WhatsApp",3,IF(AA466="Review",4,IF(AA466="Do not send",9,5)))))</f>
        <v>9</v>
      </c>
      <c r="AE466" s="43">
        <f>IF(M466="High",1,IF(M466="Medium",2,IF(M466="Normal",3,IF(M466="Hold",9,4))))</f>
        <v>9</v>
      </c>
      <c r="AF466" s="43">
        <f>IF(T466="Read",1,IF(T466="Delivered",2,IF(T466="Sent",3,IF(T466="Not sent",4,IF(T466="Failed",9,5)))))</f>
        <v>4</v>
      </c>
      <c r="AG466" s="43">
        <f>IF(U466="Demo booked",1,IF(U466="Interested",2,IF(U466="Replied",3,IF(U466="No reply",5,IF(U466="Not interested",8,IF(U466="Bad number",9,6))))))</f>
        <v>6</v>
      </c>
      <c r="AH466" s="46">
        <f>AD466*1000+AN466*100+AE466*10+AG466</f>
        <v>9596</v>
      </c>
      <c r="AI466" s="45">
        <f>MAX(IF(R466="",0,R466),IF(Y466="",0,Y466))</f>
        <v>0</v>
      </c>
      <c r="AJ466" s="43" t="str">
        <f ca="1">IF(AND(X466&lt;&gt;"",Y466="",X466&lt;TODAY()),"Overdue",IF(AND(X466&lt;&gt;"",Y466="",X466=TODAY()),"Due today",IF(Y466&lt;&gt;"","Follow-up sent","")))</f>
        <v/>
      </c>
      <c r="AK466" s="50" t="s">
        <v>734</v>
      </c>
      <c r="AL466" s="50" t="s">
        <v>735</v>
      </c>
      <c r="AM466" s="50" t="s">
        <v>736</v>
      </c>
      <c r="AN466" s="50">
        <v>5</v>
      </c>
      <c r="AO466" s="54" t="s">
        <v>1806</v>
      </c>
      <c r="AP466" s="57" t="s">
        <v>127</v>
      </c>
      <c r="AQ466" s="58"/>
      <c r="AR466" s="57"/>
    </row>
    <row r="467" spans="1:44" ht="54" customHeight="1" x14ac:dyDescent="0.25">
      <c r="A467" s="43" t="s">
        <v>1807</v>
      </c>
      <c r="B467" s="43" t="s">
        <v>790</v>
      </c>
      <c r="C467" s="43"/>
      <c r="D467" s="44" t="s">
        <v>1808</v>
      </c>
      <c r="E467" s="43"/>
      <c r="F467" s="43" t="s">
        <v>729</v>
      </c>
      <c r="G467" s="45"/>
      <c r="H467" s="45">
        <v>46161</v>
      </c>
      <c r="I467" s="43" t="s">
        <v>730</v>
      </c>
      <c r="J467" s="43" t="s">
        <v>731</v>
      </c>
      <c r="K467" s="43" t="str">
        <f>IF(LEN(D467)=10,"OK","Check")</f>
        <v>OK</v>
      </c>
      <c r="L467" s="43" t="s">
        <v>732</v>
      </c>
      <c r="M467" s="43" t="str">
        <f>IF(L467="Hold","Hold",IF(IFERROR(E467,0)&gt;=200,"High",IF(IFERROR(E467,0)&gt;=100,"Medium","Normal")))</f>
        <v>Hold</v>
      </c>
      <c r="N467" s="43" t="s">
        <v>90</v>
      </c>
      <c r="O467" s="43" t="s">
        <v>91</v>
      </c>
      <c r="P467" s="43" t="s">
        <v>92</v>
      </c>
      <c r="Q467" s="17" t="s">
        <v>93</v>
      </c>
      <c r="R467" s="45"/>
      <c r="S467" s="43"/>
      <c r="T467" s="43" t="s">
        <v>31</v>
      </c>
      <c r="U467" s="43" t="s">
        <v>94</v>
      </c>
      <c r="V467" s="43" t="s">
        <v>94</v>
      </c>
      <c r="W467" s="43" t="s">
        <v>95</v>
      </c>
      <c r="X467" s="45" t="str">
        <f>IF(AND(R467&lt;&gt;"",OR(U467="No reply",U467="Unknown")),R467+2,"")</f>
        <v/>
      </c>
      <c r="Y467" s="45"/>
      <c r="Z467" s="43" t="s">
        <v>96</v>
      </c>
      <c r="AA467" s="43" t="str">
        <f>IF(L467="Hold","Do not send",IF(T467="Not sent","Send WhatsApp",IF(U467="Demo booked","Prepare demo",IF(W467="Booked","Prepare demo",IF(AND(X467&lt;&gt;"",Y467=""),"Send follow-up","Review")))))</f>
        <v>Do not send</v>
      </c>
      <c r="AB467" s="43"/>
      <c r="AC467" s="43" t="s">
        <v>733</v>
      </c>
      <c r="AD467" s="43">
        <f>IF(AA467="Prepare demo",1,IF(AA467="Send follow-up",2,IF(AA467="Send WhatsApp",3,IF(AA467="Review",4,IF(AA467="Do not send",9,5)))))</f>
        <v>9</v>
      </c>
      <c r="AE467" s="43">
        <f>IF(M467="High",1,IF(M467="Medium",2,IF(M467="Normal",3,IF(M467="Hold",9,4))))</f>
        <v>9</v>
      </c>
      <c r="AF467" s="43">
        <f>IF(T467="Read",1,IF(T467="Delivered",2,IF(T467="Sent",3,IF(T467="Not sent",4,IF(T467="Failed",9,5)))))</f>
        <v>4</v>
      </c>
      <c r="AG467" s="43">
        <f>IF(U467="Demo booked",1,IF(U467="Interested",2,IF(U467="Replied",3,IF(U467="No reply",5,IF(U467="Not interested",8,IF(U467="Bad number",9,6))))))</f>
        <v>6</v>
      </c>
      <c r="AH467" s="46">
        <f>AD467*1000+AN467*100+AE467*10+AG467</f>
        <v>9596</v>
      </c>
      <c r="AI467" s="45">
        <f>MAX(IF(R467="",0,R467),IF(Y467="",0,Y467))</f>
        <v>0</v>
      </c>
      <c r="AJ467" s="43" t="str">
        <f ca="1">IF(AND(X467&lt;&gt;"",Y467="",X467&lt;TODAY()),"Overdue",IF(AND(X467&lt;&gt;"",Y467="",X467=TODAY()),"Due today",IF(Y467&lt;&gt;"","Follow-up sent","")))</f>
        <v/>
      </c>
      <c r="AK467" s="50" t="s">
        <v>734</v>
      </c>
      <c r="AL467" s="50" t="s">
        <v>735</v>
      </c>
      <c r="AM467" s="50" t="s">
        <v>736</v>
      </c>
      <c r="AN467" s="50">
        <v>5</v>
      </c>
      <c r="AO467" s="54" t="s">
        <v>1809</v>
      </c>
      <c r="AP467" s="57" t="s">
        <v>127</v>
      </c>
      <c r="AQ467" s="58"/>
      <c r="AR467" s="57"/>
    </row>
    <row r="468" spans="1:44" ht="54" customHeight="1" x14ac:dyDescent="0.25">
      <c r="A468" s="43" t="s">
        <v>1810</v>
      </c>
      <c r="B468" s="43" t="s">
        <v>1811</v>
      </c>
      <c r="C468" s="43" t="s">
        <v>1811</v>
      </c>
      <c r="D468" s="44" t="s">
        <v>1812</v>
      </c>
      <c r="E468" s="43"/>
      <c r="F468" s="43" t="s">
        <v>729</v>
      </c>
      <c r="G468" s="45"/>
      <c r="H468" s="45">
        <v>46161</v>
      </c>
      <c r="I468" s="43" t="s">
        <v>730</v>
      </c>
      <c r="J468" s="43" t="s">
        <v>731</v>
      </c>
      <c r="K468" s="43" t="str">
        <f>IF(LEN(D468)=10,"OK","Check")</f>
        <v>OK</v>
      </c>
      <c r="L468" s="43" t="s">
        <v>732</v>
      </c>
      <c r="M468" s="43" t="str">
        <f>IF(L468="Hold","Hold",IF(IFERROR(E468,0)&gt;=200,"High",IF(IFERROR(E468,0)&gt;=100,"Medium","Normal")))</f>
        <v>Hold</v>
      </c>
      <c r="N468" s="43" t="s">
        <v>90</v>
      </c>
      <c r="O468" s="43" t="s">
        <v>91</v>
      </c>
      <c r="P468" s="43" t="s">
        <v>92</v>
      </c>
      <c r="Q468" s="17" t="s">
        <v>93</v>
      </c>
      <c r="R468" s="45"/>
      <c r="S468" s="43"/>
      <c r="T468" s="43" t="s">
        <v>31</v>
      </c>
      <c r="U468" s="43" t="s">
        <v>94</v>
      </c>
      <c r="V468" s="43" t="s">
        <v>94</v>
      </c>
      <c r="W468" s="43" t="s">
        <v>95</v>
      </c>
      <c r="X468" s="45" t="str">
        <f>IF(AND(R468&lt;&gt;"",OR(U468="No reply",U468="Unknown")),R468+2,"")</f>
        <v/>
      </c>
      <c r="Y468" s="45"/>
      <c r="Z468" s="43" t="s">
        <v>96</v>
      </c>
      <c r="AA468" s="43" t="str">
        <f>IF(L468="Hold","Do not send",IF(T468="Not sent","Send WhatsApp",IF(U468="Demo booked","Prepare demo",IF(W468="Booked","Prepare demo",IF(AND(X468&lt;&gt;"",Y468=""),"Send follow-up","Review")))))</f>
        <v>Do not send</v>
      </c>
      <c r="AB468" s="43"/>
      <c r="AC468" s="43" t="s">
        <v>733</v>
      </c>
      <c r="AD468" s="43">
        <f>IF(AA468="Prepare demo",1,IF(AA468="Send follow-up",2,IF(AA468="Send WhatsApp",3,IF(AA468="Review",4,IF(AA468="Do not send",9,5)))))</f>
        <v>9</v>
      </c>
      <c r="AE468" s="43">
        <f>IF(M468="High",1,IF(M468="Medium",2,IF(M468="Normal",3,IF(M468="Hold",9,4))))</f>
        <v>9</v>
      </c>
      <c r="AF468" s="43">
        <f>IF(T468="Read",1,IF(T468="Delivered",2,IF(T468="Sent",3,IF(T468="Not sent",4,IF(T468="Failed",9,5)))))</f>
        <v>4</v>
      </c>
      <c r="AG468" s="43">
        <f>IF(U468="Demo booked",1,IF(U468="Interested",2,IF(U468="Replied",3,IF(U468="No reply",5,IF(U468="Not interested",8,IF(U468="Bad number",9,6))))))</f>
        <v>6</v>
      </c>
      <c r="AH468" s="46">
        <f>AD468*1000+AN468*100+AE468*10+AG468</f>
        <v>9596</v>
      </c>
      <c r="AI468" s="45">
        <f>MAX(IF(R468="",0,R468),IF(Y468="",0,Y468))</f>
        <v>0</v>
      </c>
      <c r="AJ468" s="43" t="str">
        <f ca="1">IF(AND(X468&lt;&gt;"",Y468="",X468&lt;TODAY()),"Overdue",IF(AND(X468&lt;&gt;"",Y468="",X468=TODAY()),"Due today",IF(Y468&lt;&gt;"","Follow-up sent","")))</f>
        <v/>
      </c>
      <c r="AK468" s="50" t="s">
        <v>734</v>
      </c>
      <c r="AL468" s="50" t="s">
        <v>735</v>
      </c>
      <c r="AM468" s="50" t="s">
        <v>736</v>
      </c>
      <c r="AN468" s="50">
        <v>5</v>
      </c>
      <c r="AO468" s="54" t="s">
        <v>1813</v>
      </c>
      <c r="AP468" s="57" t="s">
        <v>127</v>
      </c>
      <c r="AQ468" s="58"/>
      <c r="AR468" s="57"/>
    </row>
    <row r="469" spans="1:44" ht="54" customHeight="1" x14ac:dyDescent="0.25">
      <c r="A469" s="43" t="s">
        <v>1814</v>
      </c>
      <c r="B469" s="43" t="s">
        <v>790</v>
      </c>
      <c r="C469" s="43"/>
      <c r="D469" s="44" t="s">
        <v>1815</v>
      </c>
      <c r="E469" s="43"/>
      <c r="F469" s="43" t="s">
        <v>729</v>
      </c>
      <c r="G469" s="45"/>
      <c r="H469" s="45">
        <v>46161</v>
      </c>
      <c r="I469" s="43" t="s">
        <v>730</v>
      </c>
      <c r="J469" s="43" t="s">
        <v>731</v>
      </c>
      <c r="K469" s="43" t="str">
        <f>IF(LEN(D469)=10,"OK","Check")</f>
        <v>OK</v>
      </c>
      <c r="L469" s="43" t="s">
        <v>732</v>
      </c>
      <c r="M469" s="43" t="str">
        <f>IF(L469="Hold","Hold",IF(IFERROR(E469,0)&gt;=200,"High",IF(IFERROR(E469,0)&gt;=100,"Medium","Normal")))</f>
        <v>Hold</v>
      </c>
      <c r="N469" s="43" t="s">
        <v>90</v>
      </c>
      <c r="O469" s="43" t="s">
        <v>91</v>
      </c>
      <c r="P469" s="43" t="s">
        <v>92</v>
      </c>
      <c r="Q469" s="17" t="s">
        <v>93</v>
      </c>
      <c r="R469" s="45"/>
      <c r="S469" s="43"/>
      <c r="T469" s="43" t="s">
        <v>31</v>
      </c>
      <c r="U469" s="43" t="s">
        <v>94</v>
      </c>
      <c r="V469" s="43" t="s">
        <v>94</v>
      </c>
      <c r="W469" s="43" t="s">
        <v>95</v>
      </c>
      <c r="X469" s="45" t="str">
        <f>IF(AND(R469&lt;&gt;"",OR(U469="No reply",U469="Unknown")),R469+2,"")</f>
        <v/>
      </c>
      <c r="Y469" s="45"/>
      <c r="Z469" s="43" t="s">
        <v>96</v>
      </c>
      <c r="AA469" s="43" t="str">
        <f>IF(L469="Hold","Do not send",IF(T469="Not sent","Send WhatsApp",IF(U469="Demo booked","Prepare demo",IF(W469="Booked","Prepare demo",IF(AND(X469&lt;&gt;"",Y469=""),"Send follow-up","Review")))))</f>
        <v>Do not send</v>
      </c>
      <c r="AB469" s="43"/>
      <c r="AC469" s="43" t="s">
        <v>733</v>
      </c>
      <c r="AD469" s="43">
        <f>IF(AA469="Prepare demo",1,IF(AA469="Send follow-up",2,IF(AA469="Send WhatsApp",3,IF(AA469="Review",4,IF(AA469="Do not send",9,5)))))</f>
        <v>9</v>
      </c>
      <c r="AE469" s="43">
        <f>IF(M469="High",1,IF(M469="Medium",2,IF(M469="Normal",3,IF(M469="Hold",9,4))))</f>
        <v>9</v>
      </c>
      <c r="AF469" s="43">
        <f>IF(T469="Read",1,IF(T469="Delivered",2,IF(T469="Sent",3,IF(T469="Not sent",4,IF(T469="Failed",9,5)))))</f>
        <v>4</v>
      </c>
      <c r="AG469" s="43">
        <f>IF(U469="Demo booked",1,IF(U469="Interested",2,IF(U469="Replied",3,IF(U469="No reply",5,IF(U469="Not interested",8,IF(U469="Bad number",9,6))))))</f>
        <v>6</v>
      </c>
      <c r="AH469" s="46">
        <f>AD469*1000+AN469*100+AE469*10+AG469</f>
        <v>9596</v>
      </c>
      <c r="AI469" s="45">
        <f>MAX(IF(R469="",0,R469),IF(Y469="",0,Y469))</f>
        <v>0</v>
      </c>
      <c r="AJ469" s="43" t="str">
        <f ca="1">IF(AND(X469&lt;&gt;"",Y469="",X469&lt;TODAY()),"Overdue",IF(AND(X469&lt;&gt;"",Y469="",X469=TODAY()),"Due today",IF(Y469&lt;&gt;"","Follow-up sent","")))</f>
        <v/>
      </c>
      <c r="AK469" s="50" t="s">
        <v>734</v>
      </c>
      <c r="AL469" s="50" t="s">
        <v>735</v>
      </c>
      <c r="AM469" s="50" t="s">
        <v>736</v>
      </c>
      <c r="AN469" s="50">
        <v>5</v>
      </c>
      <c r="AO469" s="54" t="s">
        <v>1816</v>
      </c>
      <c r="AP469" s="57" t="s">
        <v>127</v>
      </c>
      <c r="AQ469" s="58"/>
      <c r="AR469" s="57"/>
    </row>
    <row r="470" spans="1:44" ht="54" customHeight="1" x14ac:dyDescent="0.25">
      <c r="A470" s="43" t="s">
        <v>1817</v>
      </c>
      <c r="B470" s="43" t="s">
        <v>790</v>
      </c>
      <c r="C470" s="43"/>
      <c r="D470" s="44" t="s">
        <v>1818</v>
      </c>
      <c r="E470" s="43"/>
      <c r="F470" s="43" t="s">
        <v>729</v>
      </c>
      <c r="G470" s="45"/>
      <c r="H470" s="45">
        <v>46161</v>
      </c>
      <c r="I470" s="43" t="s">
        <v>730</v>
      </c>
      <c r="J470" s="43" t="s">
        <v>731</v>
      </c>
      <c r="K470" s="43" t="str">
        <f>IF(LEN(D470)=10,"OK","Check")</f>
        <v>OK</v>
      </c>
      <c r="L470" s="43" t="s">
        <v>732</v>
      </c>
      <c r="M470" s="43" t="str">
        <f>IF(L470="Hold","Hold",IF(IFERROR(E470,0)&gt;=200,"High",IF(IFERROR(E470,0)&gt;=100,"Medium","Normal")))</f>
        <v>Hold</v>
      </c>
      <c r="N470" s="43" t="s">
        <v>90</v>
      </c>
      <c r="O470" s="43" t="s">
        <v>91</v>
      </c>
      <c r="P470" s="43" t="s">
        <v>92</v>
      </c>
      <c r="Q470" s="17" t="s">
        <v>93</v>
      </c>
      <c r="R470" s="45"/>
      <c r="S470" s="43"/>
      <c r="T470" s="43" t="s">
        <v>31</v>
      </c>
      <c r="U470" s="43" t="s">
        <v>94</v>
      </c>
      <c r="V470" s="43" t="s">
        <v>94</v>
      </c>
      <c r="W470" s="43" t="s">
        <v>95</v>
      </c>
      <c r="X470" s="45" t="str">
        <f>IF(AND(R470&lt;&gt;"",OR(U470="No reply",U470="Unknown")),R470+2,"")</f>
        <v/>
      </c>
      <c r="Y470" s="45"/>
      <c r="Z470" s="43" t="s">
        <v>96</v>
      </c>
      <c r="AA470" s="43" t="str">
        <f>IF(L470="Hold","Do not send",IF(T470="Not sent","Send WhatsApp",IF(U470="Demo booked","Prepare demo",IF(W470="Booked","Prepare demo",IF(AND(X470&lt;&gt;"",Y470=""),"Send follow-up","Review")))))</f>
        <v>Do not send</v>
      </c>
      <c r="AB470" s="43"/>
      <c r="AC470" s="43" t="s">
        <v>733</v>
      </c>
      <c r="AD470" s="43">
        <f>IF(AA470="Prepare demo",1,IF(AA470="Send follow-up",2,IF(AA470="Send WhatsApp",3,IF(AA470="Review",4,IF(AA470="Do not send",9,5)))))</f>
        <v>9</v>
      </c>
      <c r="AE470" s="43">
        <f>IF(M470="High",1,IF(M470="Medium",2,IF(M470="Normal",3,IF(M470="Hold",9,4))))</f>
        <v>9</v>
      </c>
      <c r="AF470" s="43">
        <f>IF(T470="Read",1,IF(T470="Delivered",2,IF(T470="Sent",3,IF(T470="Not sent",4,IF(T470="Failed",9,5)))))</f>
        <v>4</v>
      </c>
      <c r="AG470" s="43">
        <f>IF(U470="Demo booked",1,IF(U470="Interested",2,IF(U470="Replied",3,IF(U470="No reply",5,IF(U470="Not interested",8,IF(U470="Bad number",9,6))))))</f>
        <v>6</v>
      </c>
      <c r="AH470" s="46">
        <f>AD470*1000+AN470*100+AE470*10+AG470</f>
        <v>9596</v>
      </c>
      <c r="AI470" s="45">
        <f>MAX(IF(R470="",0,R470),IF(Y470="",0,Y470))</f>
        <v>0</v>
      </c>
      <c r="AJ470" s="43" t="str">
        <f ca="1">IF(AND(X470&lt;&gt;"",Y470="",X470&lt;TODAY()),"Overdue",IF(AND(X470&lt;&gt;"",Y470="",X470=TODAY()),"Due today",IF(Y470&lt;&gt;"","Follow-up sent","")))</f>
        <v/>
      </c>
      <c r="AK470" s="50" t="s">
        <v>734</v>
      </c>
      <c r="AL470" s="50" t="s">
        <v>735</v>
      </c>
      <c r="AM470" s="50" t="s">
        <v>736</v>
      </c>
      <c r="AN470" s="50">
        <v>5</v>
      </c>
      <c r="AO470" s="54" t="s">
        <v>1819</v>
      </c>
      <c r="AP470" s="57" t="s">
        <v>127</v>
      </c>
      <c r="AQ470" s="58"/>
      <c r="AR470" s="57"/>
    </row>
    <row r="471" spans="1:44" ht="54" customHeight="1" x14ac:dyDescent="0.25">
      <c r="A471" s="43" t="s">
        <v>1820</v>
      </c>
      <c r="B471" s="43" t="s">
        <v>790</v>
      </c>
      <c r="C471" s="43"/>
      <c r="D471" s="44" t="s">
        <v>1821</v>
      </c>
      <c r="E471" s="43"/>
      <c r="F471" s="43" t="s">
        <v>729</v>
      </c>
      <c r="G471" s="45"/>
      <c r="H471" s="45">
        <v>46161</v>
      </c>
      <c r="I471" s="43" t="s">
        <v>730</v>
      </c>
      <c r="J471" s="43" t="s">
        <v>731</v>
      </c>
      <c r="K471" s="43" t="str">
        <f>IF(LEN(D471)=10,"OK","Check")</f>
        <v>OK</v>
      </c>
      <c r="L471" s="43" t="s">
        <v>732</v>
      </c>
      <c r="M471" s="43" t="str">
        <f>IF(L471="Hold","Hold",IF(IFERROR(E471,0)&gt;=200,"High",IF(IFERROR(E471,0)&gt;=100,"Medium","Normal")))</f>
        <v>Hold</v>
      </c>
      <c r="N471" s="43" t="s">
        <v>90</v>
      </c>
      <c r="O471" s="43" t="s">
        <v>91</v>
      </c>
      <c r="P471" s="43" t="s">
        <v>92</v>
      </c>
      <c r="Q471" s="17" t="s">
        <v>93</v>
      </c>
      <c r="R471" s="45"/>
      <c r="S471" s="43"/>
      <c r="T471" s="43" t="s">
        <v>31</v>
      </c>
      <c r="U471" s="43" t="s">
        <v>94</v>
      </c>
      <c r="V471" s="43" t="s">
        <v>94</v>
      </c>
      <c r="W471" s="43" t="s">
        <v>95</v>
      </c>
      <c r="X471" s="45" t="str">
        <f>IF(AND(R471&lt;&gt;"",OR(U471="No reply",U471="Unknown")),R471+2,"")</f>
        <v/>
      </c>
      <c r="Y471" s="45"/>
      <c r="Z471" s="43" t="s">
        <v>96</v>
      </c>
      <c r="AA471" s="43" t="str">
        <f>IF(L471="Hold","Do not send",IF(T471="Not sent","Send WhatsApp",IF(U471="Demo booked","Prepare demo",IF(W471="Booked","Prepare demo",IF(AND(X471&lt;&gt;"",Y471=""),"Send follow-up","Review")))))</f>
        <v>Do not send</v>
      </c>
      <c r="AB471" s="43"/>
      <c r="AC471" s="43" t="s">
        <v>733</v>
      </c>
      <c r="AD471" s="43">
        <f>IF(AA471="Prepare demo",1,IF(AA471="Send follow-up",2,IF(AA471="Send WhatsApp",3,IF(AA471="Review",4,IF(AA471="Do not send",9,5)))))</f>
        <v>9</v>
      </c>
      <c r="AE471" s="43">
        <f>IF(M471="High",1,IF(M471="Medium",2,IF(M471="Normal",3,IF(M471="Hold",9,4))))</f>
        <v>9</v>
      </c>
      <c r="AF471" s="43">
        <f>IF(T471="Read",1,IF(T471="Delivered",2,IF(T471="Sent",3,IF(T471="Not sent",4,IF(T471="Failed",9,5)))))</f>
        <v>4</v>
      </c>
      <c r="AG471" s="43">
        <f>IF(U471="Demo booked",1,IF(U471="Interested",2,IF(U471="Replied",3,IF(U471="No reply",5,IF(U471="Not interested",8,IF(U471="Bad number",9,6))))))</f>
        <v>6</v>
      </c>
      <c r="AH471" s="46">
        <f>AD471*1000+AN471*100+AE471*10+AG471</f>
        <v>9596</v>
      </c>
      <c r="AI471" s="45">
        <f>MAX(IF(R471="",0,R471),IF(Y471="",0,Y471))</f>
        <v>0</v>
      </c>
      <c r="AJ471" s="43" t="str">
        <f ca="1">IF(AND(X471&lt;&gt;"",Y471="",X471&lt;TODAY()),"Overdue",IF(AND(X471&lt;&gt;"",Y471="",X471=TODAY()),"Due today",IF(Y471&lt;&gt;"","Follow-up sent","")))</f>
        <v/>
      </c>
      <c r="AK471" s="50" t="s">
        <v>734</v>
      </c>
      <c r="AL471" s="50" t="s">
        <v>735</v>
      </c>
      <c r="AM471" s="50" t="s">
        <v>736</v>
      </c>
      <c r="AN471" s="50">
        <v>5</v>
      </c>
      <c r="AO471" s="54" t="s">
        <v>1822</v>
      </c>
      <c r="AP471" s="57" t="s">
        <v>127</v>
      </c>
      <c r="AQ471" s="58"/>
      <c r="AR471" s="57"/>
    </row>
    <row r="472" spans="1:44" ht="54" customHeight="1" x14ac:dyDescent="0.25">
      <c r="A472" s="43" t="s">
        <v>1823</v>
      </c>
      <c r="B472" s="43" t="s">
        <v>790</v>
      </c>
      <c r="C472" s="43"/>
      <c r="D472" s="44" t="s">
        <v>1824</v>
      </c>
      <c r="E472" s="43"/>
      <c r="F472" s="43" t="s">
        <v>729</v>
      </c>
      <c r="G472" s="45"/>
      <c r="H472" s="45">
        <v>46161</v>
      </c>
      <c r="I472" s="43" t="s">
        <v>730</v>
      </c>
      <c r="J472" s="43" t="s">
        <v>731</v>
      </c>
      <c r="K472" s="43" t="str">
        <f>IF(LEN(D472)=10,"OK","Check")</f>
        <v>OK</v>
      </c>
      <c r="L472" s="43" t="s">
        <v>732</v>
      </c>
      <c r="M472" s="43" t="str">
        <f>IF(L472="Hold","Hold",IF(IFERROR(E472,0)&gt;=200,"High",IF(IFERROR(E472,0)&gt;=100,"Medium","Normal")))</f>
        <v>Hold</v>
      </c>
      <c r="N472" s="43" t="s">
        <v>90</v>
      </c>
      <c r="O472" s="43" t="s">
        <v>91</v>
      </c>
      <c r="P472" s="43" t="s">
        <v>92</v>
      </c>
      <c r="Q472" s="17" t="s">
        <v>93</v>
      </c>
      <c r="R472" s="45"/>
      <c r="S472" s="43"/>
      <c r="T472" s="43" t="s">
        <v>31</v>
      </c>
      <c r="U472" s="43" t="s">
        <v>94</v>
      </c>
      <c r="V472" s="43" t="s">
        <v>94</v>
      </c>
      <c r="W472" s="43" t="s">
        <v>95</v>
      </c>
      <c r="X472" s="45" t="str">
        <f>IF(AND(R472&lt;&gt;"",OR(U472="No reply",U472="Unknown")),R472+2,"")</f>
        <v/>
      </c>
      <c r="Y472" s="45"/>
      <c r="Z472" s="43" t="s">
        <v>96</v>
      </c>
      <c r="AA472" s="43" t="str">
        <f>IF(L472="Hold","Do not send",IF(T472="Not sent","Send WhatsApp",IF(U472="Demo booked","Prepare demo",IF(W472="Booked","Prepare demo",IF(AND(X472&lt;&gt;"",Y472=""),"Send follow-up","Review")))))</f>
        <v>Do not send</v>
      </c>
      <c r="AB472" s="43"/>
      <c r="AC472" s="43" t="s">
        <v>733</v>
      </c>
      <c r="AD472" s="43">
        <f>IF(AA472="Prepare demo",1,IF(AA472="Send follow-up",2,IF(AA472="Send WhatsApp",3,IF(AA472="Review",4,IF(AA472="Do not send",9,5)))))</f>
        <v>9</v>
      </c>
      <c r="AE472" s="43">
        <f>IF(M472="High",1,IF(M472="Medium",2,IF(M472="Normal",3,IF(M472="Hold",9,4))))</f>
        <v>9</v>
      </c>
      <c r="AF472" s="43">
        <f>IF(T472="Read",1,IF(T472="Delivered",2,IF(T472="Sent",3,IF(T472="Not sent",4,IF(T472="Failed",9,5)))))</f>
        <v>4</v>
      </c>
      <c r="AG472" s="43">
        <f>IF(U472="Demo booked",1,IF(U472="Interested",2,IF(U472="Replied",3,IF(U472="No reply",5,IF(U472="Not interested",8,IF(U472="Bad number",9,6))))))</f>
        <v>6</v>
      </c>
      <c r="AH472" s="46">
        <f>AD472*1000+AN472*100+AE472*10+AG472</f>
        <v>9596</v>
      </c>
      <c r="AI472" s="45">
        <f>MAX(IF(R472="",0,R472),IF(Y472="",0,Y472))</f>
        <v>0</v>
      </c>
      <c r="AJ472" s="43" t="str">
        <f ca="1">IF(AND(X472&lt;&gt;"",Y472="",X472&lt;TODAY()),"Overdue",IF(AND(X472&lt;&gt;"",Y472="",X472=TODAY()),"Due today",IF(Y472&lt;&gt;"","Follow-up sent","")))</f>
        <v/>
      </c>
      <c r="AK472" s="50" t="s">
        <v>734</v>
      </c>
      <c r="AL472" s="50" t="s">
        <v>735</v>
      </c>
      <c r="AM472" s="50" t="s">
        <v>736</v>
      </c>
      <c r="AN472" s="50">
        <v>5</v>
      </c>
      <c r="AO472" s="54" t="s">
        <v>1825</v>
      </c>
      <c r="AP472" s="57" t="s">
        <v>127</v>
      </c>
      <c r="AQ472" s="58"/>
      <c r="AR472" s="57"/>
    </row>
    <row r="473" spans="1:44" ht="54" customHeight="1" x14ac:dyDescent="0.25">
      <c r="A473" s="43" t="s">
        <v>1826</v>
      </c>
      <c r="B473" s="43" t="s">
        <v>790</v>
      </c>
      <c r="C473" s="43"/>
      <c r="D473" s="44" t="s">
        <v>1827</v>
      </c>
      <c r="E473" s="43"/>
      <c r="F473" s="43" t="s">
        <v>729</v>
      </c>
      <c r="G473" s="45"/>
      <c r="H473" s="45">
        <v>46161</v>
      </c>
      <c r="I473" s="43" t="s">
        <v>730</v>
      </c>
      <c r="J473" s="43" t="s">
        <v>731</v>
      </c>
      <c r="K473" s="43" t="str">
        <f>IF(LEN(D473)=10,"OK","Check")</f>
        <v>OK</v>
      </c>
      <c r="L473" s="43" t="s">
        <v>732</v>
      </c>
      <c r="M473" s="43" t="str">
        <f>IF(L473="Hold","Hold",IF(IFERROR(E473,0)&gt;=200,"High",IF(IFERROR(E473,0)&gt;=100,"Medium","Normal")))</f>
        <v>Hold</v>
      </c>
      <c r="N473" s="43" t="s">
        <v>90</v>
      </c>
      <c r="O473" s="43" t="s">
        <v>91</v>
      </c>
      <c r="P473" s="43" t="s">
        <v>92</v>
      </c>
      <c r="Q473" s="17" t="s">
        <v>93</v>
      </c>
      <c r="R473" s="45"/>
      <c r="S473" s="43"/>
      <c r="T473" s="43" t="s">
        <v>31</v>
      </c>
      <c r="U473" s="43" t="s">
        <v>94</v>
      </c>
      <c r="V473" s="43" t="s">
        <v>94</v>
      </c>
      <c r="W473" s="43" t="s">
        <v>95</v>
      </c>
      <c r="X473" s="45" t="str">
        <f>IF(AND(R473&lt;&gt;"",OR(U473="No reply",U473="Unknown")),R473+2,"")</f>
        <v/>
      </c>
      <c r="Y473" s="45"/>
      <c r="Z473" s="43" t="s">
        <v>96</v>
      </c>
      <c r="AA473" s="43" t="str">
        <f>IF(L473="Hold","Do not send",IF(T473="Not sent","Send WhatsApp",IF(U473="Demo booked","Prepare demo",IF(W473="Booked","Prepare demo",IF(AND(X473&lt;&gt;"",Y473=""),"Send follow-up","Review")))))</f>
        <v>Do not send</v>
      </c>
      <c r="AB473" s="43"/>
      <c r="AC473" s="43" t="s">
        <v>733</v>
      </c>
      <c r="AD473" s="43">
        <f>IF(AA473="Prepare demo",1,IF(AA473="Send follow-up",2,IF(AA473="Send WhatsApp",3,IF(AA473="Review",4,IF(AA473="Do not send",9,5)))))</f>
        <v>9</v>
      </c>
      <c r="AE473" s="43">
        <f>IF(M473="High",1,IF(M473="Medium",2,IF(M473="Normal",3,IF(M473="Hold",9,4))))</f>
        <v>9</v>
      </c>
      <c r="AF473" s="43">
        <f>IF(T473="Read",1,IF(T473="Delivered",2,IF(T473="Sent",3,IF(T473="Not sent",4,IF(T473="Failed",9,5)))))</f>
        <v>4</v>
      </c>
      <c r="AG473" s="43">
        <f>IF(U473="Demo booked",1,IF(U473="Interested",2,IF(U473="Replied",3,IF(U473="No reply",5,IF(U473="Not interested",8,IF(U473="Bad number",9,6))))))</f>
        <v>6</v>
      </c>
      <c r="AH473" s="46">
        <f>AD473*1000+AN473*100+AE473*10+AG473</f>
        <v>9596</v>
      </c>
      <c r="AI473" s="45">
        <f>MAX(IF(R473="",0,R473),IF(Y473="",0,Y473))</f>
        <v>0</v>
      </c>
      <c r="AJ473" s="43" t="str">
        <f ca="1">IF(AND(X473&lt;&gt;"",Y473="",X473&lt;TODAY()),"Overdue",IF(AND(X473&lt;&gt;"",Y473="",X473=TODAY()),"Due today",IF(Y473&lt;&gt;"","Follow-up sent","")))</f>
        <v/>
      </c>
      <c r="AK473" s="50" t="s">
        <v>734</v>
      </c>
      <c r="AL473" s="50" t="s">
        <v>735</v>
      </c>
      <c r="AM473" s="50" t="s">
        <v>736</v>
      </c>
      <c r="AN473" s="50">
        <v>5</v>
      </c>
      <c r="AO473" s="54" t="s">
        <v>1828</v>
      </c>
      <c r="AP473" s="57" t="s">
        <v>127</v>
      </c>
      <c r="AQ473" s="58"/>
      <c r="AR473" s="57"/>
    </row>
    <row r="474" spans="1:44" ht="54" customHeight="1" x14ac:dyDescent="0.25">
      <c r="A474" s="43" t="s">
        <v>1829</v>
      </c>
      <c r="B474" s="43" t="s">
        <v>790</v>
      </c>
      <c r="C474" s="43"/>
      <c r="D474" s="44" t="s">
        <v>1830</v>
      </c>
      <c r="E474" s="43"/>
      <c r="F474" s="43" t="s">
        <v>729</v>
      </c>
      <c r="G474" s="45"/>
      <c r="H474" s="45">
        <v>46161</v>
      </c>
      <c r="I474" s="43" t="s">
        <v>730</v>
      </c>
      <c r="J474" s="43" t="s">
        <v>731</v>
      </c>
      <c r="K474" s="43" t="str">
        <f>IF(LEN(D474)=10,"OK","Check")</f>
        <v>OK</v>
      </c>
      <c r="L474" s="43" t="s">
        <v>732</v>
      </c>
      <c r="M474" s="43" t="str">
        <f>IF(L474="Hold","Hold",IF(IFERROR(E474,0)&gt;=200,"High",IF(IFERROR(E474,0)&gt;=100,"Medium","Normal")))</f>
        <v>Hold</v>
      </c>
      <c r="N474" s="43" t="s">
        <v>90</v>
      </c>
      <c r="O474" s="43" t="s">
        <v>91</v>
      </c>
      <c r="P474" s="43" t="s">
        <v>92</v>
      </c>
      <c r="Q474" s="17" t="s">
        <v>93</v>
      </c>
      <c r="R474" s="45"/>
      <c r="S474" s="43"/>
      <c r="T474" s="43" t="s">
        <v>31</v>
      </c>
      <c r="U474" s="43" t="s">
        <v>94</v>
      </c>
      <c r="V474" s="43" t="s">
        <v>94</v>
      </c>
      <c r="W474" s="43" t="s">
        <v>95</v>
      </c>
      <c r="X474" s="45" t="str">
        <f>IF(AND(R474&lt;&gt;"",OR(U474="No reply",U474="Unknown")),R474+2,"")</f>
        <v/>
      </c>
      <c r="Y474" s="45"/>
      <c r="Z474" s="43" t="s">
        <v>96</v>
      </c>
      <c r="AA474" s="43" t="str">
        <f>IF(L474="Hold","Do not send",IF(T474="Not sent","Send WhatsApp",IF(U474="Demo booked","Prepare demo",IF(W474="Booked","Prepare demo",IF(AND(X474&lt;&gt;"",Y474=""),"Send follow-up","Review")))))</f>
        <v>Do not send</v>
      </c>
      <c r="AB474" s="43"/>
      <c r="AC474" s="43" t="s">
        <v>733</v>
      </c>
      <c r="AD474" s="43">
        <f>IF(AA474="Prepare demo",1,IF(AA474="Send follow-up",2,IF(AA474="Send WhatsApp",3,IF(AA474="Review",4,IF(AA474="Do not send",9,5)))))</f>
        <v>9</v>
      </c>
      <c r="AE474" s="43">
        <f>IF(M474="High",1,IF(M474="Medium",2,IF(M474="Normal",3,IF(M474="Hold",9,4))))</f>
        <v>9</v>
      </c>
      <c r="AF474" s="43">
        <f>IF(T474="Read",1,IF(T474="Delivered",2,IF(T474="Sent",3,IF(T474="Not sent",4,IF(T474="Failed",9,5)))))</f>
        <v>4</v>
      </c>
      <c r="AG474" s="43">
        <f>IF(U474="Demo booked",1,IF(U474="Interested",2,IF(U474="Replied",3,IF(U474="No reply",5,IF(U474="Not interested",8,IF(U474="Bad number",9,6))))))</f>
        <v>6</v>
      </c>
      <c r="AH474" s="46">
        <f>AD474*1000+AN474*100+AE474*10+AG474</f>
        <v>9596</v>
      </c>
      <c r="AI474" s="45">
        <f>MAX(IF(R474="",0,R474),IF(Y474="",0,Y474))</f>
        <v>0</v>
      </c>
      <c r="AJ474" s="43" t="str">
        <f ca="1">IF(AND(X474&lt;&gt;"",Y474="",X474&lt;TODAY()),"Overdue",IF(AND(X474&lt;&gt;"",Y474="",X474=TODAY()),"Due today",IF(Y474&lt;&gt;"","Follow-up sent","")))</f>
        <v/>
      </c>
      <c r="AK474" s="50" t="s">
        <v>734</v>
      </c>
      <c r="AL474" s="50" t="s">
        <v>735</v>
      </c>
      <c r="AM474" s="50" t="s">
        <v>736</v>
      </c>
      <c r="AN474" s="50">
        <v>5</v>
      </c>
      <c r="AO474" s="54" t="s">
        <v>1831</v>
      </c>
      <c r="AP474" s="57" t="s">
        <v>127</v>
      </c>
      <c r="AQ474" s="58"/>
      <c r="AR474" s="57"/>
    </row>
    <row r="475" spans="1:44" ht="54" customHeight="1" x14ac:dyDescent="0.25">
      <c r="A475" s="43" t="s">
        <v>1832</v>
      </c>
      <c r="B475" s="43" t="s">
        <v>790</v>
      </c>
      <c r="C475" s="43"/>
      <c r="D475" s="44" t="s">
        <v>1833</v>
      </c>
      <c r="E475" s="43"/>
      <c r="F475" s="43" t="s">
        <v>729</v>
      </c>
      <c r="G475" s="45"/>
      <c r="H475" s="45">
        <v>46161</v>
      </c>
      <c r="I475" s="43" t="s">
        <v>730</v>
      </c>
      <c r="J475" s="43" t="s">
        <v>731</v>
      </c>
      <c r="K475" s="43" t="str">
        <f>IF(LEN(D475)=10,"OK","Check")</f>
        <v>OK</v>
      </c>
      <c r="L475" s="43" t="s">
        <v>732</v>
      </c>
      <c r="M475" s="43" t="str">
        <f>IF(L475="Hold","Hold",IF(IFERROR(E475,0)&gt;=200,"High",IF(IFERROR(E475,0)&gt;=100,"Medium","Normal")))</f>
        <v>Hold</v>
      </c>
      <c r="N475" s="43" t="s">
        <v>90</v>
      </c>
      <c r="O475" s="43" t="s">
        <v>91</v>
      </c>
      <c r="P475" s="43" t="s">
        <v>92</v>
      </c>
      <c r="Q475" s="17" t="s">
        <v>93</v>
      </c>
      <c r="R475" s="45"/>
      <c r="S475" s="43"/>
      <c r="T475" s="43" t="s">
        <v>31</v>
      </c>
      <c r="U475" s="43" t="s">
        <v>94</v>
      </c>
      <c r="V475" s="43" t="s">
        <v>94</v>
      </c>
      <c r="W475" s="43" t="s">
        <v>95</v>
      </c>
      <c r="X475" s="45" t="str">
        <f>IF(AND(R475&lt;&gt;"",OR(U475="No reply",U475="Unknown")),R475+2,"")</f>
        <v/>
      </c>
      <c r="Y475" s="45"/>
      <c r="Z475" s="43" t="s">
        <v>96</v>
      </c>
      <c r="AA475" s="43" t="str">
        <f>IF(L475="Hold","Do not send",IF(T475="Not sent","Send WhatsApp",IF(U475="Demo booked","Prepare demo",IF(W475="Booked","Prepare demo",IF(AND(X475&lt;&gt;"",Y475=""),"Send follow-up","Review")))))</f>
        <v>Do not send</v>
      </c>
      <c r="AB475" s="43"/>
      <c r="AC475" s="43" t="s">
        <v>733</v>
      </c>
      <c r="AD475" s="43">
        <f>IF(AA475="Prepare demo",1,IF(AA475="Send follow-up",2,IF(AA475="Send WhatsApp",3,IF(AA475="Review",4,IF(AA475="Do not send",9,5)))))</f>
        <v>9</v>
      </c>
      <c r="AE475" s="43">
        <f>IF(M475="High",1,IF(M475="Medium",2,IF(M475="Normal",3,IF(M475="Hold",9,4))))</f>
        <v>9</v>
      </c>
      <c r="AF475" s="43">
        <f>IF(T475="Read",1,IF(T475="Delivered",2,IF(T475="Sent",3,IF(T475="Not sent",4,IF(T475="Failed",9,5)))))</f>
        <v>4</v>
      </c>
      <c r="AG475" s="43">
        <f>IF(U475="Demo booked",1,IF(U475="Interested",2,IF(U475="Replied",3,IF(U475="No reply",5,IF(U475="Not interested",8,IF(U475="Bad number",9,6))))))</f>
        <v>6</v>
      </c>
      <c r="AH475" s="46">
        <f>AD475*1000+AN475*100+AE475*10+AG475</f>
        <v>9596</v>
      </c>
      <c r="AI475" s="45">
        <f>MAX(IF(R475="",0,R475),IF(Y475="",0,Y475))</f>
        <v>0</v>
      </c>
      <c r="AJ475" s="43" t="str">
        <f ca="1">IF(AND(X475&lt;&gt;"",Y475="",X475&lt;TODAY()),"Overdue",IF(AND(X475&lt;&gt;"",Y475="",X475=TODAY()),"Due today",IF(Y475&lt;&gt;"","Follow-up sent","")))</f>
        <v/>
      </c>
      <c r="AK475" s="50" t="s">
        <v>734</v>
      </c>
      <c r="AL475" s="50" t="s">
        <v>735</v>
      </c>
      <c r="AM475" s="50" t="s">
        <v>736</v>
      </c>
      <c r="AN475" s="50">
        <v>5</v>
      </c>
      <c r="AO475" s="54" t="s">
        <v>1834</v>
      </c>
      <c r="AP475" s="57" t="s">
        <v>127</v>
      </c>
      <c r="AQ475" s="58"/>
      <c r="AR475" s="57"/>
    </row>
    <row r="476" spans="1:44" ht="54" customHeight="1" x14ac:dyDescent="0.25">
      <c r="A476" s="43" t="s">
        <v>1835</v>
      </c>
      <c r="B476" s="43" t="s">
        <v>790</v>
      </c>
      <c r="C476" s="43"/>
      <c r="D476" s="44" t="s">
        <v>1836</v>
      </c>
      <c r="E476" s="43"/>
      <c r="F476" s="43" t="s">
        <v>729</v>
      </c>
      <c r="G476" s="45"/>
      <c r="H476" s="45">
        <v>46161</v>
      </c>
      <c r="I476" s="43" t="s">
        <v>730</v>
      </c>
      <c r="J476" s="43" t="s">
        <v>731</v>
      </c>
      <c r="K476" s="43" t="str">
        <f>IF(LEN(D476)=10,"OK","Check")</f>
        <v>OK</v>
      </c>
      <c r="L476" s="43" t="s">
        <v>732</v>
      </c>
      <c r="M476" s="43" t="str">
        <f>IF(L476="Hold","Hold",IF(IFERROR(E476,0)&gt;=200,"High",IF(IFERROR(E476,0)&gt;=100,"Medium","Normal")))</f>
        <v>Hold</v>
      </c>
      <c r="N476" s="43" t="s">
        <v>90</v>
      </c>
      <c r="O476" s="43" t="s">
        <v>91</v>
      </c>
      <c r="P476" s="43" t="s">
        <v>92</v>
      </c>
      <c r="Q476" s="17" t="s">
        <v>93</v>
      </c>
      <c r="R476" s="45"/>
      <c r="S476" s="43"/>
      <c r="T476" s="43" t="s">
        <v>31</v>
      </c>
      <c r="U476" s="43" t="s">
        <v>94</v>
      </c>
      <c r="V476" s="43" t="s">
        <v>94</v>
      </c>
      <c r="W476" s="43" t="s">
        <v>95</v>
      </c>
      <c r="X476" s="45" t="str">
        <f>IF(AND(R476&lt;&gt;"",OR(U476="No reply",U476="Unknown")),R476+2,"")</f>
        <v/>
      </c>
      <c r="Y476" s="45"/>
      <c r="Z476" s="43" t="s">
        <v>96</v>
      </c>
      <c r="AA476" s="43" t="str">
        <f>IF(L476="Hold","Do not send",IF(T476="Not sent","Send WhatsApp",IF(U476="Demo booked","Prepare demo",IF(W476="Booked","Prepare demo",IF(AND(X476&lt;&gt;"",Y476=""),"Send follow-up","Review")))))</f>
        <v>Do not send</v>
      </c>
      <c r="AB476" s="43"/>
      <c r="AC476" s="43" t="s">
        <v>733</v>
      </c>
      <c r="AD476" s="43">
        <f>IF(AA476="Prepare demo",1,IF(AA476="Send follow-up",2,IF(AA476="Send WhatsApp",3,IF(AA476="Review",4,IF(AA476="Do not send",9,5)))))</f>
        <v>9</v>
      </c>
      <c r="AE476" s="43">
        <f>IF(M476="High",1,IF(M476="Medium",2,IF(M476="Normal",3,IF(M476="Hold",9,4))))</f>
        <v>9</v>
      </c>
      <c r="AF476" s="43">
        <f>IF(T476="Read",1,IF(T476="Delivered",2,IF(T476="Sent",3,IF(T476="Not sent",4,IF(T476="Failed",9,5)))))</f>
        <v>4</v>
      </c>
      <c r="AG476" s="43">
        <f>IF(U476="Demo booked",1,IF(U476="Interested",2,IF(U476="Replied",3,IF(U476="No reply",5,IF(U476="Not interested",8,IF(U476="Bad number",9,6))))))</f>
        <v>6</v>
      </c>
      <c r="AH476" s="46">
        <f>AD476*1000+AN476*100+AE476*10+AG476</f>
        <v>9596</v>
      </c>
      <c r="AI476" s="45">
        <f>MAX(IF(R476="",0,R476),IF(Y476="",0,Y476))</f>
        <v>0</v>
      </c>
      <c r="AJ476" s="43" t="str">
        <f ca="1">IF(AND(X476&lt;&gt;"",Y476="",X476&lt;TODAY()),"Overdue",IF(AND(X476&lt;&gt;"",Y476="",X476=TODAY()),"Due today",IF(Y476&lt;&gt;"","Follow-up sent","")))</f>
        <v/>
      </c>
      <c r="AK476" s="50" t="s">
        <v>734</v>
      </c>
      <c r="AL476" s="50" t="s">
        <v>735</v>
      </c>
      <c r="AM476" s="50" t="s">
        <v>736</v>
      </c>
      <c r="AN476" s="50">
        <v>5</v>
      </c>
      <c r="AO476" s="54" t="s">
        <v>1837</v>
      </c>
      <c r="AP476" s="57" t="s">
        <v>127</v>
      </c>
      <c r="AQ476" s="58"/>
      <c r="AR476" s="57"/>
    </row>
    <row r="477" spans="1:44" ht="54" customHeight="1" x14ac:dyDescent="0.25">
      <c r="A477" s="43" t="s">
        <v>1838</v>
      </c>
      <c r="B477" s="43" t="s">
        <v>790</v>
      </c>
      <c r="C477" s="43"/>
      <c r="D477" s="44" t="s">
        <v>1839</v>
      </c>
      <c r="E477" s="43"/>
      <c r="F477" s="43" t="s">
        <v>729</v>
      </c>
      <c r="G477" s="45"/>
      <c r="H477" s="45">
        <v>46161</v>
      </c>
      <c r="I477" s="43" t="s">
        <v>730</v>
      </c>
      <c r="J477" s="43" t="s">
        <v>731</v>
      </c>
      <c r="K477" s="43" t="str">
        <f>IF(LEN(D477)=10,"OK","Check")</f>
        <v>OK</v>
      </c>
      <c r="L477" s="43" t="s">
        <v>732</v>
      </c>
      <c r="M477" s="43" t="str">
        <f>IF(L477="Hold","Hold",IF(IFERROR(E477,0)&gt;=200,"High",IF(IFERROR(E477,0)&gt;=100,"Medium","Normal")))</f>
        <v>Hold</v>
      </c>
      <c r="N477" s="43" t="s">
        <v>90</v>
      </c>
      <c r="O477" s="43" t="s">
        <v>91</v>
      </c>
      <c r="P477" s="43" t="s">
        <v>92</v>
      </c>
      <c r="Q477" s="17" t="s">
        <v>93</v>
      </c>
      <c r="R477" s="45"/>
      <c r="S477" s="43"/>
      <c r="T477" s="43" t="s">
        <v>31</v>
      </c>
      <c r="U477" s="43" t="s">
        <v>94</v>
      </c>
      <c r="V477" s="43" t="s">
        <v>94</v>
      </c>
      <c r="W477" s="43" t="s">
        <v>95</v>
      </c>
      <c r="X477" s="45" t="str">
        <f>IF(AND(R477&lt;&gt;"",OR(U477="No reply",U477="Unknown")),R477+2,"")</f>
        <v/>
      </c>
      <c r="Y477" s="45"/>
      <c r="Z477" s="43" t="s">
        <v>96</v>
      </c>
      <c r="AA477" s="43" t="str">
        <f>IF(L477="Hold","Do not send",IF(T477="Not sent","Send WhatsApp",IF(U477="Demo booked","Prepare demo",IF(W477="Booked","Prepare demo",IF(AND(X477&lt;&gt;"",Y477=""),"Send follow-up","Review")))))</f>
        <v>Do not send</v>
      </c>
      <c r="AB477" s="43"/>
      <c r="AC477" s="43" t="s">
        <v>733</v>
      </c>
      <c r="AD477" s="43">
        <f>IF(AA477="Prepare demo",1,IF(AA477="Send follow-up",2,IF(AA477="Send WhatsApp",3,IF(AA477="Review",4,IF(AA477="Do not send",9,5)))))</f>
        <v>9</v>
      </c>
      <c r="AE477" s="43">
        <f>IF(M477="High",1,IF(M477="Medium",2,IF(M477="Normal",3,IF(M477="Hold",9,4))))</f>
        <v>9</v>
      </c>
      <c r="AF477" s="43">
        <f>IF(T477="Read",1,IF(T477="Delivered",2,IF(T477="Sent",3,IF(T477="Not sent",4,IF(T477="Failed",9,5)))))</f>
        <v>4</v>
      </c>
      <c r="AG477" s="43">
        <f>IF(U477="Demo booked",1,IF(U477="Interested",2,IF(U477="Replied",3,IF(U477="No reply",5,IF(U477="Not interested",8,IF(U477="Bad number",9,6))))))</f>
        <v>6</v>
      </c>
      <c r="AH477" s="46">
        <f>AD477*1000+AN477*100+AE477*10+AG477</f>
        <v>9596</v>
      </c>
      <c r="AI477" s="45">
        <f>MAX(IF(R477="",0,R477),IF(Y477="",0,Y477))</f>
        <v>0</v>
      </c>
      <c r="AJ477" s="43" t="str">
        <f ca="1">IF(AND(X477&lt;&gt;"",Y477="",X477&lt;TODAY()),"Overdue",IF(AND(X477&lt;&gt;"",Y477="",X477=TODAY()),"Due today",IF(Y477&lt;&gt;"","Follow-up sent","")))</f>
        <v/>
      </c>
      <c r="AK477" s="50" t="s">
        <v>734</v>
      </c>
      <c r="AL477" s="50" t="s">
        <v>735</v>
      </c>
      <c r="AM477" s="50" t="s">
        <v>736</v>
      </c>
      <c r="AN477" s="50">
        <v>5</v>
      </c>
      <c r="AO477" s="54" t="s">
        <v>1840</v>
      </c>
      <c r="AP477" s="57" t="s">
        <v>127</v>
      </c>
      <c r="AQ477" s="58"/>
      <c r="AR477" s="57"/>
    </row>
    <row r="478" spans="1:44" ht="54" customHeight="1" x14ac:dyDescent="0.25">
      <c r="A478" s="43" t="s">
        <v>1841</v>
      </c>
      <c r="B478" s="43" t="s">
        <v>790</v>
      </c>
      <c r="C478" s="43"/>
      <c r="D478" s="44" t="s">
        <v>1842</v>
      </c>
      <c r="E478" s="43"/>
      <c r="F478" s="43" t="s">
        <v>729</v>
      </c>
      <c r="G478" s="45"/>
      <c r="H478" s="45">
        <v>46161</v>
      </c>
      <c r="I478" s="43" t="s">
        <v>730</v>
      </c>
      <c r="J478" s="43" t="s">
        <v>731</v>
      </c>
      <c r="K478" s="43" t="str">
        <f>IF(LEN(D478)=10,"OK","Check")</f>
        <v>OK</v>
      </c>
      <c r="L478" s="43" t="s">
        <v>732</v>
      </c>
      <c r="M478" s="43" t="str">
        <f>IF(L478="Hold","Hold",IF(IFERROR(E478,0)&gt;=200,"High",IF(IFERROR(E478,0)&gt;=100,"Medium","Normal")))</f>
        <v>Hold</v>
      </c>
      <c r="N478" s="43" t="s">
        <v>90</v>
      </c>
      <c r="O478" s="43" t="s">
        <v>91</v>
      </c>
      <c r="P478" s="43" t="s">
        <v>92</v>
      </c>
      <c r="Q478" s="17" t="s">
        <v>93</v>
      </c>
      <c r="R478" s="45"/>
      <c r="S478" s="43"/>
      <c r="T478" s="43" t="s">
        <v>31</v>
      </c>
      <c r="U478" s="43" t="s">
        <v>94</v>
      </c>
      <c r="V478" s="43" t="s">
        <v>94</v>
      </c>
      <c r="W478" s="43" t="s">
        <v>95</v>
      </c>
      <c r="X478" s="45" t="str">
        <f>IF(AND(R478&lt;&gt;"",OR(U478="No reply",U478="Unknown")),R478+2,"")</f>
        <v/>
      </c>
      <c r="Y478" s="45"/>
      <c r="Z478" s="43" t="s">
        <v>96</v>
      </c>
      <c r="AA478" s="43" t="str">
        <f>IF(L478="Hold","Do not send",IF(T478="Not sent","Send WhatsApp",IF(U478="Demo booked","Prepare demo",IF(W478="Booked","Prepare demo",IF(AND(X478&lt;&gt;"",Y478=""),"Send follow-up","Review")))))</f>
        <v>Do not send</v>
      </c>
      <c r="AB478" s="43"/>
      <c r="AC478" s="43" t="s">
        <v>733</v>
      </c>
      <c r="AD478" s="43">
        <f>IF(AA478="Prepare demo",1,IF(AA478="Send follow-up",2,IF(AA478="Send WhatsApp",3,IF(AA478="Review",4,IF(AA478="Do not send",9,5)))))</f>
        <v>9</v>
      </c>
      <c r="AE478" s="43">
        <f>IF(M478="High",1,IF(M478="Medium",2,IF(M478="Normal",3,IF(M478="Hold",9,4))))</f>
        <v>9</v>
      </c>
      <c r="AF478" s="43">
        <f>IF(T478="Read",1,IF(T478="Delivered",2,IF(T478="Sent",3,IF(T478="Not sent",4,IF(T478="Failed",9,5)))))</f>
        <v>4</v>
      </c>
      <c r="AG478" s="43">
        <f>IF(U478="Demo booked",1,IF(U478="Interested",2,IF(U478="Replied",3,IF(U478="No reply",5,IF(U478="Not interested",8,IF(U478="Bad number",9,6))))))</f>
        <v>6</v>
      </c>
      <c r="AH478" s="46">
        <f>AD478*1000+AN478*100+AE478*10+AG478</f>
        <v>9596</v>
      </c>
      <c r="AI478" s="45">
        <f>MAX(IF(R478="",0,R478),IF(Y478="",0,Y478))</f>
        <v>0</v>
      </c>
      <c r="AJ478" s="43" t="str">
        <f ca="1">IF(AND(X478&lt;&gt;"",Y478="",X478&lt;TODAY()),"Overdue",IF(AND(X478&lt;&gt;"",Y478="",X478=TODAY()),"Due today",IF(Y478&lt;&gt;"","Follow-up sent","")))</f>
        <v/>
      </c>
      <c r="AK478" s="50" t="s">
        <v>734</v>
      </c>
      <c r="AL478" s="50" t="s">
        <v>735</v>
      </c>
      <c r="AM478" s="50" t="s">
        <v>736</v>
      </c>
      <c r="AN478" s="50">
        <v>5</v>
      </c>
      <c r="AO478" s="54" t="s">
        <v>1843</v>
      </c>
      <c r="AP478" s="57" t="s">
        <v>127</v>
      </c>
      <c r="AQ478" s="58"/>
      <c r="AR478" s="57"/>
    </row>
    <row r="479" spans="1:44" ht="54" customHeight="1" x14ac:dyDescent="0.25">
      <c r="A479" s="43" t="s">
        <v>1844</v>
      </c>
      <c r="B479" s="43" t="s">
        <v>790</v>
      </c>
      <c r="C479" s="43"/>
      <c r="D479" s="44" t="s">
        <v>1845</v>
      </c>
      <c r="E479" s="43"/>
      <c r="F479" s="43" t="s">
        <v>729</v>
      </c>
      <c r="G479" s="45"/>
      <c r="H479" s="45">
        <v>46161</v>
      </c>
      <c r="I479" s="43" t="s">
        <v>730</v>
      </c>
      <c r="J479" s="43" t="s">
        <v>731</v>
      </c>
      <c r="K479" s="43" t="str">
        <f>IF(LEN(D479)=10,"OK","Check")</f>
        <v>OK</v>
      </c>
      <c r="L479" s="43" t="s">
        <v>732</v>
      </c>
      <c r="M479" s="43" t="str">
        <f>IF(L479="Hold","Hold",IF(IFERROR(E479,0)&gt;=200,"High",IF(IFERROR(E479,0)&gt;=100,"Medium","Normal")))</f>
        <v>Hold</v>
      </c>
      <c r="N479" s="43" t="s">
        <v>90</v>
      </c>
      <c r="O479" s="43" t="s">
        <v>91</v>
      </c>
      <c r="P479" s="43" t="s">
        <v>92</v>
      </c>
      <c r="Q479" s="17" t="s">
        <v>93</v>
      </c>
      <c r="R479" s="45"/>
      <c r="S479" s="43"/>
      <c r="T479" s="43" t="s">
        <v>31</v>
      </c>
      <c r="U479" s="43" t="s">
        <v>94</v>
      </c>
      <c r="V479" s="43" t="s">
        <v>94</v>
      </c>
      <c r="W479" s="43" t="s">
        <v>95</v>
      </c>
      <c r="X479" s="45" t="str">
        <f>IF(AND(R479&lt;&gt;"",OR(U479="No reply",U479="Unknown")),R479+2,"")</f>
        <v/>
      </c>
      <c r="Y479" s="45"/>
      <c r="Z479" s="43" t="s">
        <v>96</v>
      </c>
      <c r="AA479" s="43" t="str">
        <f>IF(L479="Hold","Do not send",IF(T479="Not sent","Send WhatsApp",IF(U479="Demo booked","Prepare demo",IF(W479="Booked","Prepare demo",IF(AND(X479&lt;&gt;"",Y479=""),"Send follow-up","Review")))))</f>
        <v>Do not send</v>
      </c>
      <c r="AB479" s="43"/>
      <c r="AC479" s="43" t="s">
        <v>733</v>
      </c>
      <c r="AD479" s="43">
        <f>IF(AA479="Prepare demo",1,IF(AA479="Send follow-up",2,IF(AA479="Send WhatsApp",3,IF(AA479="Review",4,IF(AA479="Do not send",9,5)))))</f>
        <v>9</v>
      </c>
      <c r="AE479" s="43">
        <f>IF(M479="High",1,IF(M479="Medium",2,IF(M479="Normal",3,IF(M479="Hold",9,4))))</f>
        <v>9</v>
      </c>
      <c r="AF479" s="43">
        <f>IF(T479="Read",1,IF(T479="Delivered",2,IF(T479="Sent",3,IF(T479="Not sent",4,IF(T479="Failed",9,5)))))</f>
        <v>4</v>
      </c>
      <c r="AG479" s="43">
        <f>IF(U479="Demo booked",1,IF(U479="Interested",2,IF(U479="Replied",3,IF(U479="No reply",5,IF(U479="Not interested",8,IF(U479="Bad number",9,6))))))</f>
        <v>6</v>
      </c>
      <c r="AH479" s="46">
        <f>AD479*1000+AN479*100+AE479*10+AG479</f>
        <v>9596</v>
      </c>
      <c r="AI479" s="45">
        <f>MAX(IF(R479="",0,R479),IF(Y479="",0,Y479))</f>
        <v>0</v>
      </c>
      <c r="AJ479" s="43" t="str">
        <f ca="1">IF(AND(X479&lt;&gt;"",Y479="",X479&lt;TODAY()),"Overdue",IF(AND(X479&lt;&gt;"",Y479="",X479=TODAY()),"Due today",IF(Y479&lt;&gt;"","Follow-up sent","")))</f>
        <v/>
      </c>
      <c r="AK479" s="50" t="s">
        <v>734</v>
      </c>
      <c r="AL479" s="50" t="s">
        <v>735</v>
      </c>
      <c r="AM479" s="50" t="s">
        <v>736</v>
      </c>
      <c r="AN479" s="50">
        <v>5</v>
      </c>
      <c r="AO479" s="54" t="s">
        <v>1846</v>
      </c>
      <c r="AP479" s="57" t="s">
        <v>127</v>
      </c>
      <c r="AQ479" s="58"/>
      <c r="AR479" s="57"/>
    </row>
    <row r="480" spans="1:44" ht="54" customHeight="1" x14ac:dyDescent="0.25">
      <c r="A480" s="43" t="s">
        <v>1847</v>
      </c>
      <c r="B480" s="43" t="s">
        <v>1848</v>
      </c>
      <c r="C480" s="43" t="s">
        <v>1848</v>
      </c>
      <c r="D480" s="44" t="s">
        <v>1849</v>
      </c>
      <c r="E480" s="43"/>
      <c r="F480" s="43" t="s">
        <v>729</v>
      </c>
      <c r="G480" s="45"/>
      <c r="H480" s="45">
        <v>46161</v>
      </c>
      <c r="I480" s="43" t="s">
        <v>730</v>
      </c>
      <c r="J480" s="43" t="s">
        <v>731</v>
      </c>
      <c r="K480" s="43" t="str">
        <f>IF(LEN(D480)=10,"OK","Check")</f>
        <v>OK</v>
      </c>
      <c r="L480" s="43" t="s">
        <v>732</v>
      </c>
      <c r="M480" s="43" t="str">
        <f>IF(L480="Hold","Hold",IF(IFERROR(E480,0)&gt;=200,"High",IF(IFERROR(E480,0)&gt;=100,"Medium","Normal")))</f>
        <v>Hold</v>
      </c>
      <c r="N480" s="43" t="s">
        <v>90</v>
      </c>
      <c r="O480" s="43" t="s">
        <v>91</v>
      </c>
      <c r="P480" s="43" t="s">
        <v>92</v>
      </c>
      <c r="Q480" s="17" t="s">
        <v>93</v>
      </c>
      <c r="R480" s="45"/>
      <c r="S480" s="43"/>
      <c r="T480" s="43" t="s">
        <v>31</v>
      </c>
      <c r="U480" s="43" t="s">
        <v>94</v>
      </c>
      <c r="V480" s="43" t="s">
        <v>94</v>
      </c>
      <c r="W480" s="43" t="s">
        <v>95</v>
      </c>
      <c r="X480" s="45" t="str">
        <f>IF(AND(R480&lt;&gt;"",OR(U480="No reply",U480="Unknown")),R480+2,"")</f>
        <v/>
      </c>
      <c r="Y480" s="45"/>
      <c r="Z480" s="43" t="s">
        <v>96</v>
      </c>
      <c r="AA480" s="43" t="str">
        <f>IF(L480="Hold","Do not send",IF(T480="Not sent","Send WhatsApp",IF(U480="Demo booked","Prepare demo",IF(W480="Booked","Prepare demo",IF(AND(X480&lt;&gt;"",Y480=""),"Send follow-up","Review")))))</f>
        <v>Do not send</v>
      </c>
      <c r="AB480" s="43"/>
      <c r="AC480" s="43" t="s">
        <v>733</v>
      </c>
      <c r="AD480" s="43">
        <f>IF(AA480="Prepare demo",1,IF(AA480="Send follow-up",2,IF(AA480="Send WhatsApp",3,IF(AA480="Review",4,IF(AA480="Do not send",9,5)))))</f>
        <v>9</v>
      </c>
      <c r="AE480" s="43">
        <f>IF(M480="High",1,IF(M480="Medium",2,IF(M480="Normal",3,IF(M480="Hold",9,4))))</f>
        <v>9</v>
      </c>
      <c r="AF480" s="43">
        <f>IF(T480="Read",1,IF(T480="Delivered",2,IF(T480="Sent",3,IF(T480="Not sent",4,IF(T480="Failed",9,5)))))</f>
        <v>4</v>
      </c>
      <c r="AG480" s="43">
        <f>IF(U480="Demo booked",1,IF(U480="Interested",2,IF(U480="Replied",3,IF(U480="No reply",5,IF(U480="Not interested",8,IF(U480="Bad number",9,6))))))</f>
        <v>6</v>
      </c>
      <c r="AH480" s="46">
        <f>AD480*1000+AN480*100+AE480*10+AG480</f>
        <v>9596</v>
      </c>
      <c r="AI480" s="45">
        <f>MAX(IF(R480="",0,R480),IF(Y480="",0,Y480))</f>
        <v>0</v>
      </c>
      <c r="AJ480" s="43" t="str">
        <f ca="1">IF(AND(X480&lt;&gt;"",Y480="",X480&lt;TODAY()),"Overdue",IF(AND(X480&lt;&gt;"",Y480="",X480=TODAY()),"Due today",IF(Y480&lt;&gt;"","Follow-up sent","")))</f>
        <v/>
      </c>
      <c r="AK480" s="50" t="s">
        <v>734</v>
      </c>
      <c r="AL480" s="50" t="s">
        <v>735</v>
      </c>
      <c r="AM480" s="50" t="s">
        <v>736</v>
      </c>
      <c r="AN480" s="50">
        <v>5</v>
      </c>
      <c r="AO480" s="54" t="s">
        <v>1850</v>
      </c>
      <c r="AP480" s="57" t="s">
        <v>127</v>
      </c>
      <c r="AQ480" s="58"/>
      <c r="AR480" s="57"/>
    </row>
    <row r="481" spans="1:44" ht="54" customHeight="1" x14ac:dyDescent="0.25">
      <c r="A481" s="43" t="s">
        <v>1851</v>
      </c>
      <c r="B481" s="43" t="s">
        <v>790</v>
      </c>
      <c r="C481" s="43"/>
      <c r="D481" s="44" t="s">
        <v>1852</v>
      </c>
      <c r="E481" s="43"/>
      <c r="F481" s="43" t="s">
        <v>729</v>
      </c>
      <c r="G481" s="45"/>
      <c r="H481" s="45">
        <v>46161</v>
      </c>
      <c r="I481" s="43" t="s">
        <v>730</v>
      </c>
      <c r="J481" s="43" t="s">
        <v>731</v>
      </c>
      <c r="K481" s="43" t="str">
        <f>IF(LEN(D481)=10,"OK","Check")</f>
        <v>OK</v>
      </c>
      <c r="L481" s="43" t="s">
        <v>732</v>
      </c>
      <c r="M481" s="43" t="str">
        <f>IF(L481="Hold","Hold",IF(IFERROR(E481,0)&gt;=200,"High",IF(IFERROR(E481,0)&gt;=100,"Medium","Normal")))</f>
        <v>Hold</v>
      </c>
      <c r="N481" s="43" t="s">
        <v>90</v>
      </c>
      <c r="O481" s="43" t="s">
        <v>91</v>
      </c>
      <c r="P481" s="43" t="s">
        <v>92</v>
      </c>
      <c r="Q481" s="17" t="s">
        <v>93</v>
      </c>
      <c r="R481" s="45"/>
      <c r="S481" s="43"/>
      <c r="T481" s="43" t="s">
        <v>31</v>
      </c>
      <c r="U481" s="43" t="s">
        <v>94</v>
      </c>
      <c r="V481" s="43" t="s">
        <v>94</v>
      </c>
      <c r="W481" s="43" t="s">
        <v>95</v>
      </c>
      <c r="X481" s="45" t="str">
        <f>IF(AND(R481&lt;&gt;"",OR(U481="No reply",U481="Unknown")),R481+2,"")</f>
        <v/>
      </c>
      <c r="Y481" s="45"/>
      <c r="Z481" s="43" t="s">
        <v>96</v>
      </c>
      <c r="AA481" s="43" t="str">
        <f>IF(L481="Hold","Do not send",IF(T481="Not sent","Send WhatsApp",IF(U481="Demo booked","Prepare demo",IF(W481="Booked","Prepare demo",IF(AND(X481&lt;&gt;"",Y481=""),"Send follow-up","Review")))))</f>
        <v>Do not send</v>
      </c>
      <c r="AB481" s="43"/>
      <c r="AC481" s="43" t="s">
        <v>733</v>
      </c>
      <c r="AD481" s="43">
        <f>IF(AA481="Prepare demo",1,IF(AA481="Send follow-up",2,IF(AA481="Send WhatsApp",3,IF(AA481="Review",4,IF(AA481="Do not send",9,5)))))</f>
        <v>9</v>
      </c>
      <c r="AE481" s="43">
        <f>IF(M481="High",1,IF(M481="Medium",2,IF(M481="Normal",3,IF(M481="Hold",9,4))))</f>
        <v>9</v>
      </c>
      <c r="AF481" s="43">
        <f>IF(T481="Read",1,IF(T481="Delivered",2,IF(T481="Sent",3,IF(T481="Not sent",4,IF(T481="Failed",9,5)))))</f>
        <v>4</v>
      </c>
      <c r="AG481" s="43">
        <f>IF(U481="Demo booked",1,IF(U481="Interested",2,IF(U481="Replied",3,IF(U481="No reply",5,IF(U481="Not interested",8,IF(U481="Bad number",9,6))))))</f>
        <v>6</v>
      </c>
      <c r="AH481" s="46">
        <f>AD481*1000+AN481*100+AE481*10+AG481</f>
        <v>9596</v>
      </c>
      <c r="AI481" s="45">
        <f>MAX(IF(R481="",0,R481),IF(Y481="",0,Y481))</f>
        <v>0</v>
      </c>
      <c r="AJ481" s="43" t="str">
        <f ca="1">IF(AND(X481&lt;&gt;"",Y481="",X481&lt;TODAY()),"Overdue",IF(AND(X481&lt;&gt;"",Y481="",X481=TODAY()),"Due today",IF(Y481&lt;&gt;"","Follow-up sent","")))</f>
        <v/>
      </c>
      <c r="AK481" s="50" t="s">
        <v>734</v>
      </c>
      <c r="AL481" s="50" t="s">
        <v>735</v>
      </c>
      <c r="AM481" s="50" t="s">
        <v>736</v>
      </c>
      <c r="AN481" s="50">
        <v>5</v>
      </c>
      <c r="AO481" s="54" t="s">
        <v>1853</v>
      </c>
      <c r="AP481" s="57" t="s">
        <v>127</v>
      </c>
      <c r="AQ481" s="58"/>
      <c r="AR481" s="57"/>
    </row>
    <row r="482" spans="1:44" ht="54" customHeight="1" x14ac:dyDescent="0.25">
      <c r="A482" s="43" t="s">
        <v>1854</v>
      </c>
      <c r="B482" s="43" t="s">
        <v>790</v>
      </c>
      <c r="C482" s="43"/>
      <c r="D482" s="44" t="s">
        <v>1855</v>
      </c>
      <c r="E482" s="43"/>
      <c r="F482" s="43" t="s">
        <v>729</v>
      </c>
      <c r="G482" s="45"/>
      <c r="H482" s="45">
        <v>46161</v>
      </c>
      <c r="I482" s="43" t="s">
        <v>730</v>
      </c>
      <c r="J482" s="43" t="s">
        <v>731</v>
      </c>
      <c r="K482" s="43" t="str">
        <f>IF(LEN(D482)=10,"OK","Check")</f>
        <v>OK</v>
      </c>
      <c r="L482" s="43" t="s">
        <v>732</v>
      </c>
      <c r="M482" s="43" t="str">
        <f>IF(L482="Hold","Hold",IF(IFERROR(E482,0)&gt;=200,"High",IF(IFERROR(E482,0)&gt;=100,"Medium","Normal")))</f>
        <v>Hold</v>
      </c>
      <c r="N482" s="43" t="s">
        <v>90</v>
      </c>
      <c r="O482" s="43" t="s">
        <v>91</v>
      </c>
      <c r="P482" s="43" t="s">
        <v>92</v>
      </c>
      <c r="Q482" s="17" t="s">
        <v>93</v>
      </c>
      <c r="R482" s="45"/>
      <c r="S482" s="43"/>
      <c r="T482" s="43" t="s">
        <v>31</v>
      </c>
      <c r="U482" s="43" t="s">
        <v>94</v>
      </c>
      <c r="V482" s="43" t="s">
        <v>94</v>
      </c>
      <c r="W482" s="43" t="s">
        <v>95</v>
      </c>
      <c r="X482" s="45" t="str">
        <f>IF(AND(R482&lt;&gt;"",OR(U482="No reply",U482="Unknown")),R482+2,"")</f>
        <v/>
      </c>
      <c r="Y482" s="45"/>
      <c r="Z482" s="43" t="s">
        <v>96</v>
      </c>
      <c r="AA482" s="43" t="str">
        <f>IF(L482="Hold","Do not send",IF(T482="Not sent","Send WhatsApp",IF(U482="Demo booked","Prepare demo",IF(W482="Booked","Prepare demo",IF(AND(X482&lt;&gt;"",Y482=""),"Send follow-up","Review")))))</f>
        <v>Do not send</v>
      </c>
      <c r="AB482" s="43"/>
      <c r="AC482" s="43" t="s">
        <v>733</v>
      </c>
      <c r="AD482" s="43">
        <f>IF(AA482="Prepare demo",1,IF(AA482="Send follow-up",2,IF(AA482="Send WhatsApp",3,IF(AA482="Review",4,IF(AA482="Do not send",9,5)))))</f>
        <v>9</v>
      </c>
      <c r="AE482" s="43">
        <f>IF(M482="High",1,IF(M482="Medium",2,IF(M482="Normal",3,IF(M482="Hold",9,4))))</f>
        <v>9</v>
      </c>
      <c r="AF482" s="43">
        <f>IF(T482="Read",1,IF(T482="Delivered",2,IF(T482="Sent",3,IF(T482="Not sent",4,IF(T482="Failed",9,5)))))</f>
        <v>4</v>
      </c>
      <c r="AG482" s="43">
        <f>IF(U482="Demo booked",1,IF(U482="Interested",2,IF(U482="Replied",3,IF(U482="No reply",5,IF(U482="Not interested",8,IF(U482="Bad number",9,6))))))</f>
        <v>6</v>
      </c>
      <c r="AH482" s="46">
        <f>AD482*1000+AN482*100+AE482*10+AG482</f>
        <v>9596</v>
      </c>
      <c r="AI482" s="45">
        <f>MAX(IF(R482="",0,R482),IF(Y482="",0,Y482))</f>
        <v>0</v>
      </c>
      <c r="AJ482" s="43" t="str">
        <f ca="1">IF(AND(X482&lt;&gt;"",Y482="",X482&lt;TODAY()),"Overdue",IF(AND(X482&lt;&gt;"",Y482="",X482=TODAY()),"Due today",IF(Y482&lt;&gt;"","Follow-up sent","")))</f>
        <v/>
      </c>
      <c r="AK482" s="50" t="s">
        <v>734</v>
      </c>
      <c r="AL482" s="50" t="s">
        <v>735</v>
      </c>
      <c r="AM482" s="50" t="s">
        <v>736</v>
      </c>
      <c r="AN482" s="50">
        <v>5</v>
      </c>
      <c r="AO482" s="54" t="s">
        <v>1856</v>
      </c>
      <c r="AP482" s="57" t="s">
        <v>127</v>
      </c>
      <c r="AQ482" s="58"/>
      <c r="AR482" s="57"/>
    </row>
    <row r="483" spans="1:44" ht="54" customHeight="1" x14ac:dyDescent="0.25">
      <c r="A483" s="43" t="s">
        <v>1857</v>
      </c>
      <c r="B483" s="43" t="s">
        <v>790</v>
      </c>
      <c r="C483" s="43"/>
      <c r="D483" s="44" t="s">
        <v>1858</v>
      </c>
      <c r="E483" s="43"/>
      <c r="F483" s="43" t="s">
        <v>729</v>
      </c>
      <c r="G483" s="45"/>
      <c r="H483" s="45">
        <v>46161</v>
      </c>
      <c r="I483" s="43" t="s">
        <v>730</v>
      </c>
      <c r="J483" s="43" t="s">
        <v>731</v>
      </c>
      <c r="K483" s="43" t="str">
        <f>IF(LEN(D483)=10,"OK","Check")</f>
        <v>OK</v>
      </c>
      <c r="L483" s="43" t="s">
        <v>732</v>
      </c>
      <c r="M483" s="43" t="str">
        <f>IF(L483="Hold","Hold",IF(IFERROR(E483,0)&gt;=200,"High",IF(IFERROR(E483,0)&gt;=100,"Medium","Normal")))</f>
        <v>Hold</v>
      </c>
      <c r="N483" s="43" t="s">
        <v>90</v>
      </c>
      <c r="O483" s="43" t="s">
        <v>91</v>
      </c>
      <c r="P483" s="43" t="s">
        <v>92</v>
      </c>
      <c r="Q483" s="17" t="s">
        <v>93</v>
      </c>
      <c r="R483" s="45"/>
      <c r="S483" s="43"/>
      <c r="T483" s="43" t="s">
        <v>31</v>
      </c>
      <c r="U483" s="43" t="s">
        <v>94</v>
      </c>
      <c r="V483" s="43" t="s">
        <v>94</v>
      </c>
      <c r="W483" s="43" t="s">
        <v>95</v>
      </c>
      <c r="X483" s="45" t="str">
        <f>IF(AND(R483&lt;&gt;"",OR(U483="No reply",U483="Unknown")),R483+2,"")</f>
        <v/>
      </c>
      <c r="Y483" s="45"/>
      <c r="Z483" s="43" t="s">
        <v>96</v>
      </c>
      <c r="AA483" s="43" t="str">
        <f>IF(L483="Hold","Do not send",IF(T483="Not sent","Send WhatsApp",IF(U483="Demo booked","Prepare demo",IF(W483="Booked","Prepare demo",IF(AND(X483&lt;&gt;"",Y483=""),"Send follow-up","Review")))))</f>
        <v>Do not send</v>
      </c>
      <c r="AB483" s="43"/>
      <c r="AC483" s="43" t="s">
        <v>733</v>
      </c>
      <c r="AD483" s="43">
        <f>IF(AA483="Prepare demo",1,IF(AA483="Send follow-up",2,IF(AA483="Send WhatsApp",3,IF(AA483="Review",4,IF(AA483="Do not send",9,5)))))</f>
        <v>9</v>
      </c>
      <c r="AE483" s="43">
        <f>IF(M483="High",1,IF(M483="Medium",2,IF(M483="Normal",3,IF(M483="Hold",9,4))))</f>
        <v>9</v>
      </c>
      <c r="AF483" s="43">
        <f>IF(T483="Read",1,IF(T483="Delivered",2,IF(T483="Sent",3,IF(T483="Not sent",4,IF(T483="Failed",9,5)))))</f>
        <v>4</v>
      </c>
      <c r="AG483" s="43">
        <f>IF(U483="Demo booked",1,IF(U483="Interested",2,IF(U483="Replied",3,IF(U483="No reply",5,IF(U483="Not interested",8,IF(U483="Bad number",9,6))))))</f>
        <v>6</v>
      </c>
      <c r="AH483" s="46">
        <f>AD483*1000+AN483*100+AE483*10+AG483</f>
        <v>9596</v>
      </c>
      <c r="AI483" s="45">
        <f>MAX(IF(R483="",0,R483),IF(Y483="",0,Y483))</f>
        <v>0</v>
      </c>
      <c r="AJ483" s="43" t="str">
        <f ca="1">IF(AND(X483&lt;&gt;"",Y483="",X483&lt;TODAY()),"Overdue",IF(AND(X483&lt;&gt;"",Y483="",X483=TODAY()),"Due today",IF(Y483&lt;&gt;"","Follow-up sent","")))</f>
        <v/>
      </c>
      <c r="AK483" s="50" t="s">
        <v>734</v>
      </c>
      <c r="AL483" s="50" t="s">
        <v>735</v>
      </c>
      <c r="AM483" s="50" t="s">
        <v>736</v>
      </c>
      <c r="AN483" s="50">
        <v>5</v>
      </c>
      <c r="AO483" s="54" t="s">
        <v>1859</v>
      </c>
      <c r="AP483" s="57" t="s">
        <v>127</v>
      </c>
      <c r="AQ483" s="58"/>
      <c r="AR483" s="57"/>
    </row>
    <row r="484" spans="1:44" ht="54" customHeight="1" x14ac:dyDescent="0.25">
      <c r="A484" s="43" t="s">
        <v>1860</v>
      </c>
      <c r="B484" s="43" t="s">
        <v>790</v>
      </c>
      <c r="C484" s="43"/>
      <c r="D484" s="44" t="s">
        <v>1861</v>
      </c>
      <c r="E484" s="43"/>
      <c r="F484" s="43" t="s">
        <v>729</v>
      </c>
      <c r="G484" s="45"/>
      <c r="H484" s="45">
        <v>46161</v>
      </c>
      <c r="I484" s="43" t="s">
        <v>730</v>
      </c>
      <c r="J484" s="43" t="s">
        <v>731</v>
      </c>
      <c r="K484" s="43" t="str">
        <f>IF(LEN(D484)=10,"OK","Check")</f>
        <v>OK</v>
      </c>
      <c r="L484" s="43" t="s">
        <v>732</v>
      </c>
      <c r="M484" s="43" t="str">
        <f>IF(L484="Hold","Hold",IF(IFERROR(E484,0)&gt;=200,"High",IF(IFERROR(E484,0)&gt;=100,"Medium","Normal")))</f>
        <v>Hold</v>
      </c>
      <c r="N484" s="43" t="s">
        <v>90</v>
      </c>
      <c r="O484" s="43" t="s">
        <v>91</v>
      </c>
      <c r="P484" s="43" t="s">
        <v>92</v>
      </c>
      <c r="Q484" s="17" t="s">
        <v>93</v>
      </c>
      <c r="R484" s="45"/>
      <c r="S484" s="43"/>
      <c r="T484" s="43" t="s">
        <v>31</v>
      </c>
      <c r="U484" s="43" t="s">
        <v>94</v>
      </c>
      <c r="V484" s="43" t="s">
        <v>94</v>
      </c>
      <c r="W484" s="43" t="s">
        <v>95</v>
      </c>
      <c r="X484" s="45" t="str">
        <f>IF(AND(R484&lt;&gt;"",OR(U484="No reply",U484="Unknown")),R484+2,"")</f>
        <v/>
      </c>
      <c r="Y484" s="45"/>
      <c r="Z484" s="43" t="s">
        <v>96</v>
      </c>
      <c r="AA484" s="43" t="str">
        <f>IF(L484="Hold","Do not send",IF(T484="Not sent","Send WhatsApp",IF(U484="Demo booked","Prepare demo",IF(W484="Booked","Prepare demo",IF(AND(X484&lt;&gt;"",Y484=""),"Send follow-up","Review")))))</f>
        <v>Do not send</v>
      </c>
      <c r="AB484" s="43"/>
      <c r="AC484" s="43" t="s">
        <v>733</v>
      </c>
      <c r="AD484" s="43">
        <f>IF(AA484="Prepare demo",1,IF(AA484="Send follow-up",2,IF(AA484="Send WhatsApp",3,IF(AA484="Review",4,IF(AA484="Do not send",9,5)))))</f>
        <v>9</v>
      </c>
      <c r="AE484" s="43">
        <f>IF(M484="High",1,IF(M484="Medium",2,IF(M484="Normal",3,IF(M484="Hold",9,4))))</f>
        <v>9</v>
      </c>
      <c r="AF484" s="43">
        <f>IF(T484="Read",1,IF(T484="Delivered",2,IF(T484="Sent",3,IF(T484="Not sent",4,IF(T484="Failed",9,5)))))</f>
        <v>4</v>
      </c>
      <c r="AG484" s="43">
        <f>IF(U484="Demo booked",1,IF(U484="Interested",2,IF(U484="Replied",3,IF(U484="No reply",5,IF(U484="Not interested",8,IF(U484="Bad number",9,6))))))</f>
        <v>6</v>
      </c>
      <c r="AH484" s="46">
        <f>AD484*1000+AN484*100+AE484*10+AG484</f>
        <v>9596</v>
      </c>
      <c r="AI484" s="45">
        <f>MAX(IF(R484="",0,R484),IF(Y484="",0,Y484))</f>
        <v>0</v>
      </c>
      <c r="AJ484" s="43" t="str">
        <f ca="1">IF(AND(X484&lt;&gt;"",Y484="",X484&lt;TODAY()),"Overdue",IF(AND(X484&lt;&gt;"",Y484="",X484=TODAY()),"Due today",IF(Y484&lt;&gt;"","Follow-up sent","")))</f>
        <v/>
      </c>
      <c r="AK484" s="50" t="s">
        <v>734</v>
      </c>
      <c r="AL484" s="50" t="s">
        <v>735</v>
      </c>
      <c r="AM484" s="50" t="s">
        <v>736</v>
      </c>
      <c r="AN484" s="50">
        <v>5</v>
      </c>
      <c r="AO484" s="54" t="s">
        <v>1862</v>
      </c>
      <c r="AP484" s="57" t="s">
        <v>127</v>
      </c>
      <c r="AQ484" s="58"/>
      <c r="AR484" s="57"/>
    </row>
    <row r="485" spans="1:44" ht="54" customHeight="1" x14ac:dyDescent="0.25">
      <c r="A485" s="43" t="s">
        <v>1863</v>
      </c>
      <c r="B485" s="43" t="s">
        <v>790</v>
      </c>
      <c r="C485" s="43"/>
      <c r="D485" s="44" t="s">
        <v>1864</v>
      </c>
      <c r="E485" s="43"/>
      <c r="F485" s="43" t="s">
        <v>729</v>
      </c>
      <c r="G485" s="45"/>
      <c r="H485" s="45">
        <v>46161</v>
      </c>
      <c r="I485" s="43" t="s">
        <v>730</v>
      </c>
      <c r="J485" s="43" t="s">
        <v>731</v>
      </c>
      <c r="K485" s="43" t="str">
        <f>IF(LEN(D485)=10,"OK","Check")</f>
        <v>OK</v>
      </c>
      <c r="L485" s="43" t="s">
        <v>732</v>
      </c>
      <c r="M485" s="43" t="str">
        <f>IF(L485="Hold","Hold",IF(IFERROR(E485,0)&gt;=200,"High",IF(IFERROR(E485,0)&gt;=100,"Medium","Normal")))</f>
        <v>Hold</v>
      </c>
      <c r="N485" s="43" t="s">
        <v>90</v>
      </c>
      <c r="O485" s="43" t="s">
        <v>91</v>
      </c>
      <c r="P485" s="43" t="s">
        <v>92</v>
      </c>
      <c r="Q485" s="17" t="s">
        <v>93</v>
      </c>
      <c r="R485" s="45"/>
      <c r="S485" s="43"/>
      <c r="T485" s="43" t="s">
        <v>31</v>
      </c>
      <c r="U485" s="43" t="s">
        <v>94</v>
      </c>
      <c r="V485" s="43" t="s">
        <v>94</v>
      </c>
      <c r="W485" s="43" t="s">
        <v>95</v>
      </c>
      <c r="X485" s="45" t="str">
        <f>IF(AND(R485&lt;&gt;"",OR(U485="No reply",U485="Unknown")),R485+2,"")</f>
        <v/>
      </c>
      <c r="Y485" s="45"/>
      <c r="Z485" s="43" t="s">
        <v>96</v>
      </c>
      <c r="AA485" s="43" t="str">
        <f>IF(L485="Hold","Do not send",IF(T485="Not sent","Send WhatsApp",IF(U485="Demo booked","Prepare demo",IF(W485="Booked","Prepare demo",IF(AND(X485&lt;&gt;"",Y485=""),"Send follow-up","Review")))))</f>
        <v>Do not send</v>
      </c>
      <c r="AB485" s="43"/>
      <c r="AC485" s="43" t="s">
        <v>733</v>
      </c>
      <c r="AD485" s="43">
        <f>IF(AA485="Prepare demo",1,IF(AA485="Send follow-up",2,IF(AA485="Send WhatsApp",3,IF(AA485="Review",4,IF(AA485="Do not send",9,5)))))</f>
        <v>9</v>
      </c>
      <c r="AE485" s="43">
        <f>IF(M485="High",1,IF(M485="Medium",2,IF(M485="Normal",3,IF(M485="Hold",9,4))))</f>
        <v>9</v>
      </c>
      <c r="AF485" s="43">
        <f>IF(T485="Read",1,IF(T485="Delivered",2,IF(T485="Sent",3,IF(T485="Not sent",4,IF(T485="Failed",9,5)))))</f>
        <v>4</v>
      </c>
      <c r="AG485" s="43">
        <f>IF(U485="Demo booked",1,IF(U485="Interested",2,IF(U485="Replied",3,IF(U485="No reply",5,IF(U485="Not interested",8,IF(U485="Bad number",9,6))))))</f>
        <v>6</v>
      </c>
      <c r="AH485" s="46">
        <f>AD485*1000+AN485*100+AE485*10+AG485</f>
        <v>9596</v>
      </c>
      <c r="AI485" s="45">
        <f>MAX(IF(R485="",0,R485),IF(Y485="",0,Y485))</f>
        <v>0</v>
      </c>
      <c r="AJ485" s="43" t="str">
        <f ca="1">IF(AND(X485&lt;&gt;"",Y485="",X485&lt;TODAY()),"Overdue",IF(AND(X485&lt;&gt;"",Y485="",X485=TODAY()),"Due today",IF(Y485&lt;&gt;"","Follow-up sent","")))</f>
        <v/>
      </c>
      <c r="AK485" s="50" t="s">
        <v>734</v>
      </c>
      <c r="AL485" s="50" t="s">
        <v>735</v>
      </c>
      <c r="AM485" s="50" t="s">
        <v>736</v>
      </c>
      <c r="AN485" s="50">
        <v>5</v>
      </c>
      <c r="AO485" s="54" t="s">
        <v>1865</v>
      </c>
      <c r="AP485" s="57" t="s">
        <v>127</v>
      </c>
      <c r="AQ485" s="58"/>
      <c r="AR485" s="57"/>
    </row>
    <row r="486" spans="1:44" ht="54" customHeight="1" x14ac:dyDescent="0.25">
      <c r="A486" s="43" t="s">
        <v>1866</v>
      </c>
      <c r="B486" s="43" t="s">
        <v>790</v>
      </c>
      <c r="C486" s="43"/>
      <c r="D486" s="44" t="s">
        <v>1867</v>
      </c>
      <c r="E486" s="43"/>
      <c r="F486" s="43" t="s">
        <v>729</v>
      </c>
      <c r="G486" s="45"/>
      <c r="H486" s="45">
        <v>46161</v>
      </c>
      <c r="I486" s="43" t="s">
        <v>730</v>
      </c>
      <c r="J486" s="43" t="s">
        <v>731</v>
      </c>
      <c r="K486" s="43" t="str">
        <f>IF(LEN(D486)=10,"OK","Check")</f>
        <v>OK</v>
      </c>
      <c r="L486" s="43" t="s">
        <v>732</v>
      </c>
      <c r="M486" s="43" t="str">
        <f>IF(L486="Hold","Hold",IF(IFERROR(E486,0)&gt;=200,"High",IF(IFERROR(E486,0)&gt;=100,"Medium","Normal")))</f>
        <v>Hold</v>
      </c>
      <c r="N486" s="43" t="s">
        <v>90</v>
      </c>
      <c r="O486" s="43" t="s">
        <v>91</v>
      </c>
      <c r="P486" s="43" t="s">
        <v>92</v>
      </c>
      <c r="Q486" s="17" t="s">
        <v>93</v>
      </c>
      <c r="R486" s="45"/>
      <c r="S486" s="43"/>
      <c r="T486" s="43" t="s">
        <v>31</v>
      </c>
      <c r="U486" s="43" t="s">
        <v>94</v>
      </c>
      <c r="V486" s="43" t="s">
        <v>94</v>
      </c>
      <c r="W486" s="43" t="s">
        <v>95</v>
      </c>
      <c r="X486" s="45" t="str">
        <f>IF(AND(R486&lt;&gt;"",OR(U486="No reply",U486="Unknown")),R486+2,"")</f>
        <v/>
      </c>
      <c r="Y486" s="45"/>
      <c r="Z486" s="43" t="s">
        <v>96</v>
      </c>
      <c r="AA486" s="43" t="str">
        <f>IF(L486="Hold","Do not send",IF(T486="Not sent","Send WhatsApp",IF(U486="Demo booked","Prepare demo",IF(W486="Booked","Prepare demo",IF(AND(X486&lt;&gt;"",Y486=""),"Send follow-up","Review")))))</f>
        <v>Do not send</v>
      </c>
      <c r="AB486" s="43"/>
      <c r="AC486" s="43" t="s">
        <v>733</v>
      </c>
      <c r="AD486" s="43">
        <f>IF(AA486="Prepare demo",1,IF(AA486="Send follow-up",2,IF(AA486="Send WhatsApp",3,IF(AA486="Review",4,IF(AA486="Do not send",9,5)))))</f>
        <v>9</v>
      </c>
      <c r="AE486" s="43">
        <f>IF(M486="High",1,IF(M486="Medium",2,IF(M486="Normal",3,IF(M486="Hold",9,4))))</f>
        <v>9</v>
      </c>
      <c r="AF486" s="43">
        <f>IF(T486="Read",1,IF(T486="Delivered",2,IF(T486="Sent",3,IF(T486="Not sent",4,IF(T486="Failed",9,5)))))</f>
        <v>4</v>
      </c>
      <c r="AG486" s="43">
        <f>IF(U486="Demo booked",1,IF(U486="Interested",2,IF(U486="Replied",3,IF(U486="No reply",5,IF(U486="Not interested",8,IF(U486="Bad number",9,6))))))</f>
        <v>6</v>
      </c>
      <c r="AH486" s="46">
        <f>AD486*1000+AN486*100+AE486*10+AG486</f>
        <v>9596</v>
      </c>
      <c r="AI486" s="45">
        <f>MAX(IF(R486="",0,R486),IF(Y486="",0,Y486))</f>
        <v>0</v>
      </c>
      <c r="AJ486" s="43" t="str">
        <f ca="1">IF(AND(X486&lt;&gt;"",Y486="",X486&lt;TODAY()),"Overdue",IF(AND(X486&lt;&gt;"",Y486="",X486=TODAY()),"Due today",IF(Y486&lt;&gt;"","Follow-up sent","")))</f>
        <v/>
      </c>
      <c r="AK486" s="50" t="s">
        <v>734</v>
      </c>
      <c r="AL486" s="50" t="s">
        <v>735</v>
      </c>
      <c r="AM486" s="50" t="s">
        <v>736</v>
      </c>
      <c r="AN486" s="50">
        <v>5</v>
      </c>
      <c r="AO486" s="54" t="s">
        <v>1868</v>
      </c>
      <c r="AP486" s="57" t="s">
        <v>127</v>
      </c>
      <c r="AQ486" s="58"/>
      <c r="AR486" s="57"/>
    </row>
    <row r="487" spans="1:44" ht="54" customHeight="1" x14ac:dyDescent="0.25">
      <c r="A487" s="43" t="s">
        <v>1869</v>
      </c>
      <c r="B487" s="43" t="s">
        <v>790</v>
      </c>
      <c r="C487" s="43"/>
      <c r="D487" s="44" t="s">
        <v>1870</v>
      </c>
      <c r="E487" s="43"/>
      <c r="F487" s="43" t="s">
        <v>729</v>
      </c>
      <c r="G487" s="45"/>
      <c r="H487" s="45">
        <v>46161</v>
      </c>
      <c r="I487" s="43" t="s">
        <v>730</v>
      </c>
      <c r="J487" s="43" t="s">
        <v>731</v>
      </c>
      <c r="K487" s="43" t="str">
        <f>IF(LEN(D487)=10,"OK","Check")</f>
        <v>OK</v>
      </c>
      <c r="L487" s="43" t="s">
        <v>732</v>
      </c>
      <c r="M487" s="43" t="str">
        <f>IF(L487="Hold","Hold",IF(IFERROR(E487,0)&gt;=200,"High",IF(IFERROR(E487,0)&gt;=100,"Medium","Normal")))</f>
        <v>Hold</v>
      </c>
      <c r="N487" s="43" t="s">
        <v>90</v>
      </c>
      <c r="O487" s="43" t="s">
        <v>91</v>
      </c>
      <c r="P487" s="43" t="s">
        <v>92</v>
      </c>
      <c r="Q487" s="17" t="s">
        <v>93</v>
      </c>
      <c r="R487" s="45"/>
      <c r="S487" s="43"/>
      <c r="T487" s="43" t="s">
        <v>31</v>
      </c>
      <c r="U487" s="43" t="s">
        <v>94</v>
      </c>
      <c r="V487" s="43" t="s">
        <v>94</v>
      </c>
      <c r="W487" s="43" t="s">
        <v>95</v>
      </c>
      <c r="X487" s="45" t="str">
        <f>IF(AND(R487&lt;&gt;"",OR(U487="No reply",U487="Unknown")),R487+2,"")</f>
        <v/>
      </c>
      <c r="Y487" s="45"/>
      <c r="Z487" s="43" t="s">
        <v>96</v>
      </c>
      <c r="AA487" s="43" t="str">
        <f>IF(L487="Hold","Do not send",IF(T487="Not sent","Send WhatsApp",IF(U487="Demo booked","Prepare demo",IF(W487="Booked","Prepare demo",IF(AND(X487&lt;&gt;"",Y487=""),"Send follow-up","Review")))))</f>
        <v>Do not send</v>
      </c>
      <c r="AB487" s="43"/>
      <c r="AC487" s="43" t="s">
        <v>733</v>
      </c>
      <c r="AD487" s="43">
        <f>IF(AA487="Prepare demo",1,IF(AA487="Send follow-up",2,IF(AA487="Send WhatsApp",3,IF(AA487="Review",4,IF(AA487="Do not send",9,5)))))</f>
        <v>9</v>
      </c>
      <c r="AE487" s="43">
        <f>IF(M487="High",1,IF(M487="Medium",2,IF(M487="Normal",3,IF(M487="Hold",9,4))))</f>
        <v>9</v>
      </c>
      <c r="AF487" s="43">
        <f>IF(T487="Read",1,IF(T487="Delivered",2,IF(T487="Sent",3,IF(T487="Not sent",4,IF(T487="Failed",9,5)))))</f>
        <v>4</v>
      </c>
      <c r="AG487" s="43">
        <f>IF(U487="Demo booked",1,IF(U487="Interested",2,IF(U487="Replied",3,IF(U487="No reply",5,IF(U487="Not interested",8,IF(U487="Bad number",9,6))))))</f>
        <v>6</v>
      </c>
      <c r="AH487" s="46">
        <f>AD487*1000+AN487*100+AE487*10+AG487</f>
        <v>9596</v>
      </c>
      <c r="AI487" s="45">
        <f>MAX(IF(R487="",0,R487),IF(Y487="",0,Y487))</f>
        <v>0</v>
      </c>
      <c r="AJ487" s="43" t="str">
        <f ca="1">IF(AND(X487&lt;&gt;"",Y487="",X487&lt;TODAY()),"Overdue",IF(AND(X487&lt;&gt;"",Y487="",X487=TODAY()),"Due today",IF(Y487&lt;&gt;"","Follow-up sent","")))</f>
        <v/>
      </c>
      <c r="AK487" s="50" t="s">
        <v>734</v>
      </c>
      <c r="AL487" s="50" t="s">
        <v>735</v>
      </c>
      <c r="AM487" s="50" t="s">
        <v>736</v>
      </c>
      <c r="AN487" s="50">
        <v>5</v>
      </c>
      <c r="AO487" s="54" t="s">
        <v>1871</v>
      </c>
      <c r="AP487" s="57" t="s">
        <v>127</v>
      </c>
      <c r="AQ487" s="58"/>
      <c r="AR487" s="57"/>
    </row>
    <row r="488" spans="1:44" ht="54" customHeight="1" x14ac:dyDescent="0.25">
      <c r="A488" s="43" t="s">
        <v>1872</v>
      </c>
      <c r="B488" s="43" t="s">
        <v>790</v>
      </c>
      <c r="C488" s="43"/>
      <c r="D488" s="44" t="s">
        <v>1873</v>
      </c>
      <c r="E488" s="43"/>
      <c r="F488" s="43" t="s">
        <v>729</v>
      </c>
      <c r="G488" s="45"/>
      <c r="H488" s="45">
        <v>46161</v>
      </c>
      <c r="I488" s="43" t="s">
        <v>730</v>
      </c>
      <c r="J488" s="43" t="s">
        <v>731</v>
      </c>
      <c r="K488" s="43" t="str">
        <f>IF(LEN(D488)=10,"OK","Check")</f>
        <v>OK</v>
      </c>
      <c r="L488" s="43" t="s">
        <v>732</v>
      </c>
      <c r="M488" s="43" t="str">
        <f>IF(L488="Hold","Hold",IF(IFERROR(E488,0)&gt;=200,"High",IF(IFERROR(E488,0)&gt;=100,"Medium","Normal")))</f>
        <v>Hold</v>
      </c>
      <c r="N488" s="43" t="s">
        <v>90</v>
      </c>
      <c r="O488" s="43" t="s">
        <v>91</v>
      </c>
      <c r="P488" s="43" t="s">
        <v>92</v>
      </c>
      <c r="Q488" s="17" t="s">
        <v>93</v>
      </c>
      <c r="R488" s="45"/>
      <c r="S488" s="43"/>
      <c r="T488" s="43" t="s">
        <v>31</v>
      </c>
      <c r="U488" s="43" t="s">
        <v>94</v>
      </c>
      <c r="V488" s="43" t="s">
        <v>94</v>
      </c>
      <c r="W488" s="43" t="s">
        <v>95</v>
      </c>
      <c r="X488" s="45" t="str">
        <f>IF(AND(R488&lt;&gt;"",OR(U488="No reply",U488="Unknown")),R488+2,"")</f>
        <v/>
      </c>
      <c r="Y488" s="45"/>
      <c r="Z488" s="43" t="s">
        <v>96</v>
      </c>
      <c r="AA488" s="43" t="str">
        <f>IF(L488="Hold","Do not send",IF(T488="Not sent","Send WhatsApp",IF(U488="Demo booked","Prepare demo",IF(W488="Booked","Prepare demo",IF(AND(X488&lt;&gt;"",Y488=""),"Send follow-up","Review")))))</f>
        <v>Do not send</v>
      </c>
      <c r="AB488" s="43"/>
      <c r="AC488" s="43" t="s">
        <v>733</v>
      </c>
      <c r="AD488" s="43">
        <f>IF(AA488="Prepare demo",1,IF(AA488="Send follow-up",2,IF(AA488="Send WhatsApp",3,IF(AA488="Review",4,IF(AA488="Do not send",9,5)))))</f>
        <v>9</v>
      </c>
      <c r="AE488" s="43">
        <f>IF(M488="High",1,IF(M488="Medium",2,IF(M488="Normal",3,IF(M488="Hold",9,4))))</f>
        <v>9</v>
      </c>
      <c r="AF488" s="43">
        <f>IF(T488="Read",1,IF(T488="Delivered",2,IF(T488="Sent",3,IF(T488="Not sent",4,IF(T488="Failed",9,5)))))</f>
        <v>4</v>
      </c>
      <c r="AG488" s="43">
        <f>IF(U488="Demo booked",1,IF(U488="Interested",2,IF(U488="Replied",3,IF(U488="No reply",5,IF(U488="Not interested",8,IF(U488="Bad number",9,6))))))</f>
        <v>6</v>
      </c>
      <c r="AH488" s="46">
        <f>AD488*1000+AN488*100+AE488*10+AG488</f>
        <v>9596</v>
      </c>
      <c r="AI488" s="45">
        <f>MAX(IF(R488="",0,R488),IF(Y488="",0,Y488))</f>
        <v>0</v>
      </c>
      <c r="AJ488" s="43" t="str">
        <f ca="1">IF(AND(X488&lt;&gt;"",Y488="",X488&lt;TODAY()),"Overdue",IF(AND(X488&lt;&gt;"",Y488="",X488=TODAY()),"Due today",IF(Y488&lt;&gt;"","Follow-up sent","")))</f>
        <v/>
      </c>
      <c r="AK488" s="50" t="s">
        <v>734</v>
      </c>
      <c r="AL488" s="50" t="s">
        <v>735</v>
      </c>
      <c r="AM488" s="50" t="s">
        <v>736</v>
      </c>
      <c r="AN488" s="50">
        <v>5</v>
      </c>
      <c r="AO488" s="54" t="s">
        <v>1874</v>
      </c>
      <c r="AP488" s="57" t="s">
        <v>127</v>
      </c>
      <c r="AQ488" s="58"/>
      <c r="AR488" s="57"/>
    </row>
    <row r="489" spans="1:44" ht="54" customHeight="1" x14ac:dyDescent="0.25">
      <c r="A489" s="43" t="s">
        <v>1875</v>
      </c>
      <c r="B489" s="43" t="s">
        <v>790</v>
      </c>
      <c r="C489" s="43"/>
      <c r="D489" s="44" t="s">
        <v>1876</v>
      </c>
      <c r="E489" s="43"/>
      <c r="F489" s="43" t="s">
        <v>729</v>
      </c>
      <c r="G489" s="45"/>
      <c r="H489" s="45">
        <v>46161</v>
      </c>
      <c r="I489" s="43" t="s">
        <v>730</v>
      </c>
      <c r="J489" s="43" t="s">
        <v>731</v>
      </c>
      <c r="K489" s="43" t="str">
        <f>IF(LEN(D489)=10,"OK","Check")</f>
        <v>OK</v>
      </c>
      <c r="L489" s="43" t="s">
        <v>732</v>
      </c>
      <c r="M489" s="43" t="str">
        <f>IF(L489="Hold","Hold",IF(IFERROR(E489,0)&gt;=200,"High",IF(IFERROR(E489,0)&gt;=100,"Medium","Normal")))</f>
        <v>Hold</v>
      </c>
      <c r="N489" s="43" t="s">
        <v>90</v>
      </c>
      <c r="O489" s="43" t="s">
        <v>91</v>
      </c>
      <c r="P489" s="43" t="s">
        <v>92</v>
      </c>
      <c r="Q489" s="17" t="s">
        <v>93</v>
      </c>
      <c r="R489" s="45"/>
      <c r="S489" s="43"/>
      <c r="T489" s="43" t="s">
        <v>31</v>
      </c>
      <c r="U489" s="43" t="s">
        <v>94</v>
      </c>
      <c r="V489" s="43" t="s">
        <v>94</v>
      </c>
      <c r="W489" s="43" t="s">
        <v>95</v>
      </c>
      <c r="X489" s="45" t="str">
        <f>IF(AND(R489&lt;&gt;"",OR(U489="No reply",U489="Unknown")),R489+2,"")</f>
        <v/>
      </c>
      <c r="Y489" s="45"/>
      <c r="Z489" s="43" t="s">
        <v>96</v>
      </c>
      <c r="AA489" s="43" t="str">
        <f>IF(L489="Hold","Do not send",IF(T489="Not sent","Send WhatsApp",IF(U489="Demo booked","Prepare demo",IF(W489="Booked","Prepare demo",IF(AND(X489&lt;&gt;"",Y489=""),"Send follow-up","Review")))))</f>
        <v>Do not send</v>
      </c>
      <c r="AB489" s="43"/>
      <c r="AC489" s="43" t="s">
        <v>733</v>
      </c>
      <c r="AD489" s="43">
        <f>IF(AA489="Prepare demo",1,IF(AA489="Send follow-up",2,IF(AA489="Send WhatsApp",3,IF(AA489="Review",4,IF(AA489="Do not send",9,5)))))</f>
        <v>9</v>
      </c>
      <c r="AE489" s="43">
        <f>IF(M489="High",1,IF(M489="Medium",2,IF(M489="Normal",3,IF(M489="Hold",9,4))))</f>
        <v>9</v>
      </c>
      <c r="AF489" s="43">
        <f>IF(T489="Read",1,IF(T489="Delivered",2,IF(T489="Sent",3,IF(T489="Not sent",4,IF(T489="Failed",9,5)))))</f>
        <v>4</v>
      </c>
      <c r="AG489" s="43">
        <f>IF(U489="Demo booked",1,IF(U489="Interested",2,IF(U489="Replied",3,IF(U489="No reply",5,IF(U489="Not interested",8,IF(U489="Bad number",9,6))))))</f>
        <v>6</v>
      </c>
      <c r="AH489" s="46">
        <f>AD489*1000+AN489*100+AE489*10+AG489</f>
        <v>9596</v>
      </c>
      <c r="AI489" s="45">
        <f>MAX(IF(R489="",0,R489),IF(Y489="",0,Y489))</f>
        <v>0</v>
      </c>
      <c r="AJ489" s="43" t="str">
        <f ca="1">IF(AND(X489&lt;&gt;"",Y489="",X489&lt;TODAY()),"Overdue",IF(AND(X489&lt;&gt;"",Y489="",X489=TODAY()),"Due today",IF(Y489&lt;&gt;"","Follow-up sent","")))</f>
        <v/>
      </c>
      <c r="AK489" s="50" t="s">
        <v>734</v>
      </c>
      <c r="AL489" s="50" t="s">
        <v>735</v>
      </c>
      <c r="AM489" s="50" t="s">
        <v>736</v>
      </c>
      <c r="AN489" s="50">
        <v>5</v>
      </c>
      <c r="AO489" s="54" t="s">
        <v>1877</v>
      </c>
      <c r="AP489" s="57" t="s">
        <v>127</v>
      </c>
      <c r="AQ489" s="58"/>
      <c r="AR489" s="57"/>
    </row>
    <row r="490" spans="1:44" ht="54" customHeight="1" x14ac:dyDescent="0.25">
      <c r="A490" s="43" t="s">
        <v>1878</v>
      </c>
      <c r="B490" s="43" t="s">
        <v>790</v>
      </c>
      <c r="C490" s="43"/>
      <c r="D490" s="44" t="s">
        <v>1879</v>
      </c>
      <c r="E490" s="43"/>
      <c r="F490" s="43" t="s">
        <v>729</v>
      </c>
      <c r="G490" s="45"/>
      <c r="H490" s="45">
        <v>46161</v>
      </c>
      <c r="I490" s="43" t="s">
        <v>730</v>
      </c>
      <c r="J490" s="43" t="s">
        <v>731</v>
      </c>
      <c r="K490" s="43" t="str">
        <f>IF(LEN(D490)=10,"OK","Check")</f>
        <v>OK</v>
      </c>
      <c r="L490" s="43" t="s">
        <v>732</v>
      </c>
      <c r="M490" s="43" t="str">
        <f>IF(L490="Hold","Hold",IF(IFERROR(E490,0)&gt;=200,"High",IF(IFERROR(E490,0)&gt;=100,"Medium","Normal")))</f>
        <v>Hold</v>
      </c>
      <c r="N490" s="43" t="s">
        <v>90</v>
      </c>
      <c r="O490" s="43" t="s">
        <v>91</v>
      </c>
      <c r="P490" s="43" t="s">
        <v>92</v>
      </c>
      <c r="Q490" s="17" t="s">
        <v>93</v>
      </c>
      <c r="R490" s="45"/>
      <c r="S490" s="43"/>
      <c r="T490" s="43" t="s">
        <v>31</v>
      </c>
      <c r="U490" s="43" t="s">
        <v>94</v>
      </c>
      <c r="V490" s="43" t="s">
        <v>94</v>
      </c>
      <c r="W490" s="43" t="s">
        <v>95</v>
      </c>
      <c r="X490" s="45" t="str">
        <f>IF(AND(R490&lt;&gt;"",OR(U490="No reply",U490="Unknown")),R490+2,"")</f>
        <v/>
      </c>
      <c r="Y490" s="45"/>
      <c r="Z490" s="43" t="s">
        <v>96</v>
      </c>
      <c r="AA490" s="43" t="str">
        <f>IF(L490="Hold","Do not send",IF(T490="Not sent","Send WhatsApp",IF(U490="Demo booked","Prepare demo",IF(W490="Booked","Prepare demo",IF(AND(X490&lt;&gt;"",Y490=""),"Send follow-up","Review")))))</f>
        <v>Do not send</v>
      </c>
      <c r="AB490" s="43"/>
      <c r="AC490" s="43" t="s">
        <v>733</v>
      </c>
      <c r="AD490" s="43">
        <f>IF(AA490="Prepare demo",1,IF(AA490="Send follow-up",2,IF(AA490="Send WhatsApp",3,IF(AA490="Review",4,IF(AA490="Do not send",9,5)))))</f>
        <v>9</v>
      </c>
      <c r="AE490" s="43">
        <f>IF(M490="High",1,IF(M490="Medium",2,IF(M490="Normal",3,IF(M490="Hold",9,4))))</f>
        <v>9</v>
      </c>
      <c r="AF490" s="43">
        <f>IF(T490="Read",1,IF(T490="Delivered",2,IF(T490="Sent",3,IF(T490="Not sent",4,IF(T490="Failed",9,5)))))</f>
        <v>4</v>
      </c>
      <c r="AG490" s="43">
        <f>IF(U490="Demo booked",1,IF(U490="Interested",2,IF(U490="Replied",3,IF(U490="No reply",5,IF(U490="Not interested",8,IF(U490="Bad number",9,6))))))</f>
        <v>6</v>
      </c>
      <c r="AH490" s="46">
        <f>AD490*1000+AN490*100+AE490*10+AG490</f>
        <v>9596</v>
      </c>
      <c r="AI490" s="45">
        <f>MAX(IF(R490="",0,R490),IF(Y490="",0,Y490))</f>
        <v>0</v>
      </c>
      <c r="AJ490" s="43" t="str">
        <f ca="1">IF(AND(X490&lt;&gt;"",Y490="",X490&lt;TODAY()),"Overdue",IF(AND(X490&lt;&gt;"",Y490="",X490=TODAY()),"Due today",IF(Y490&lt;&gt;"","Follow-up sent","")))</f>
        <v/>
      </c>
      <c r="AK490" s="50" t="s">
        <v>734</v>
      </c>
      <c r="AL490" s="50" t="s">
        <v>735</v>
      </c>
      <c r="AM490" s="50" t="s">
        <v>736</v>
      </c>
      <c r="AN490" s="50">
        <v>5</v>
      </c>
      <c r="AO490" s="54" t="s">
        <v>1880</v>
      </c>
      <c r="AP490" s="57" t="s">
        <v>127</v>
      </c>
      <c r="AQ490" s="58"/>
      <c r="AR490" s="57"/>
    </row>
    <row r="491" spans="1:44" ht="54" customHeight="1" x14ac:dyDescent="0.25">
      <c r="A491" s="43" t="s">
        <v>1881</v>
      </c>
      <c r="B491" s="43" t="s">
        <v>790</v>
      </c>
      <c r="C491" s="43"/>
      <c r="D491" s="44" t="s">
        <v>1882</v>
      </c>
      <c r="E491" s="43"/>
      <c r="F491" s="43" t="s">
        <v>729</v>
      </c>
      <c r="G491" s="45"/>
      <c r="H491" s="45">
        <v>46161</v>
      </c>
      <c r="I491" s="43" t="s">
        <v>730</v>
      </c>
      <c r="J491" s="43" t="s">
        <v>731</v>
      </c>
      <c r="K491" s="43" t="str">
        <f>IF(LEN(D491)=10,"OK","Check")</f>
        <v>OK</v>
      </c>
      <c r="L491" s="43" t="s">
        <v>732</v>
      </c>
      <c r="M491" s="43" t="str">
        <f>IF(L491="Hold","Hold",IF(IFERROR(E491,0)&gt;=200,"High",IF(IFERROR(E491,0)&gt;=100,"Medium","Normal")))</f>
        <v>Hold</v>
      </c>
      <c r="N491" s="43" t="s">
        <v>90</v>
      </c>
      <c r="O491" s="43" t="s">
        <v>91</v>
      </c>
      <c r="P491" s="43" t="s">
        <v>92</v>
      </c>
      <c r="Q491" s="17" t="s">
        <v>93</v>
      </c>
      <c r="R491" s="45"/>
      <c r="S491" s="43"/>
      <c r="T491" s="43" t="s">
        <v>31</v>
      </c>
      <c r="U491" s="43" t="s">
        <v>94</v>
      </c>
      <c r="V491" s="43" t="s">
        <v>94</v>
      </c>
      <c r="W491" s="43" t="s">
        <v>95</v>
      </c>
      <c r="X491" s="45" t="str">
        <f>IF(AND(R491&lt;&gt;"",OR(U491="No reply",U491="Unknown")),R491+2,"")</f>
        <v/>
      </c>
      <c r="Y491" s="45"/>
      <c r="Z491" s="43" t="s">
        <v>96</v>
      </c>
      <c r="AA491" s="43" t="str">
        <f>IF(L491="Hold","Do not send",IF(T491="Not sent","Send WhatsApp",IF(U491="Demo booked","Prepare demo",IF(W491="Booked","Prepare demo",IF(AND(X491&lt;&gt;"",Y491=""),"Send follow-up","Review")))))</f>
        <v>Do not send</v>
      </c>
      <c r="AB491" s="43"/>
      <c r="AC491" s="43" t="s">
        <v>733</v>
      </c>
      <c r="AD491" s="43">
        <f>IF(AA491="Prepare demo",1,IF(AA491="Send follow-up",2,IF(AA491="Send WhatsApp",3,IF(AA491="Review",4,IF(AA491="Do not send",9,5)))))</f>
        <v>9</v>
      </c>
      <c r="AE491" s="43">
        <f>IF(M491="High",1,IF(M491="Medium",2,IF(M491="Normal",3,IF(M491="Hold",9,4))))</f>
        <v>9</v>
      </c>
      <c r="AF491" s="43">
        <f>IF(T491="Read",1,IF(T491="Delivered",2,IF(T491="Sent",3,IF(T491="Not sent",4,IF(T491="Failed",9,5)))))</f>
        <v>4</v>
      </c>
      <c r="AG491" s="43">
        <f>IF(U491="Demo booked",1,IF(U491="Interested",2,IF(U491="Replied",3,IF(U491="No reply",5,IF(U491="Not interested",8,IF(U491="Bad number",9,6))))))</f>
        <v>6</v>
      </c>
      <c r="AH491" s="46">
        <f>AD491*1000+AN491*100+AE491*10+AG491</f>
        <v>9596</v>
      </c>
      <c r="AI491" s="45">
        <f>MAX(IF(R491="",0,R491),IF(Y491="",0,Y491))</f>
        <v>0</v>
      </c>
      <c r="AJ491" s="43" t="str">
        <f ca="1">IF(AND(X491&lt;&gt;"",Y491="",X491&lt;TODAY()),"Overdue",IF(AND(X491&lt;&gt;"",Y491="",X491=TODAY()),"Due today",IF(Y491&lt;&gt;"","Follow-up sent","")))</f>
        <v/>
      </c>
      <c r="AK491" s="50" t="s">
        <v>734</v>
      </c>
      <c r="AL491" s="50" t="s">
        <v>735</v>
      </c>
      <c r="AM491" s="50" t="s">
        <v>736</v>
      </c>
      <c r="AN491" s="50">
        <v>5</v>
      </c>
      <c r="AO491" s="54" t="s">
        <v>1883</v>
      </c>
      <c r="AP491" s="57" t="s">
        <v>127</v>
      </c>
      <c r="AQ491" s="58"/>
      <c r="AR491" s="57"/>
    </row>
    <row r="492" spans="1:44" ht="54" customHeight="1" x14ac:dyDescent="0.25">
      <c r="A492" s="43" t="s">
        <v>1884</v>
      </c>
      <c r="B492" s="43" t="s">
        <v>790</v>
      </c>
      <c r="C492" s="43"/>
      <c r="D492" s="44" t="s">
        <v>1885</v>
      </c>
      <c r="E492" s="43"/>
      <c r="F492" s="43" t="s">
        <v>729</v>
      </c>
      <c r="G492" s="45"/>
      <c r="H492" s="45">
        <v>46161</v>
      </c>
      <c r="I492" s="43" t="s">
        <v>730</v>
      </c>
      <c r="J492" s="43" t="s">
        <v>731</v>
      </c>
      <c r="K492" s="43" t="str">
        <f>IF(LEN(D492)=10,"OK","Check")</f>
        <v>OK</v>
      </c>
      <c r="L492" s="43" t="s">
        <v>732</v>
      </c>
      <c r="M492" s="43" t="str">
        <f>IF(L492="Hold","Hold",IF(IFERROR(E492,0)&gt;=200,"High",IF(IFERROR(E492,0)&gt;=100,"Medium","Normal")))</f>
        <v>Hold</v>
      </c>
      <c r="N492" s="43" t="s">
        <v>90</v>
      </c>
      <c r="O492" s="43" t="s">
        <v>91</v>
      </c>
      <c r="P492" s="43" t="s">
        <v>92</v>
      </c>
      <c r="Q492" s="17" t="s">
        <v>93</v>
      </c>
      <c r="R492" s="45"/>
      <c r="S492" s="43"/>
      <c r="T492" s="43" t="s">
        <v>31</v>
      </c>
      <c r="U492" s="43" t="s">
        <v>94</v>
      </c>
      <c r="V492" s="43" t="s">
        <v>94</v>
      </c>
      <c r="W492" s="43" t="s">
        <v>95</v>
      </c>
      <c r="X492" s="45" t="str">
        <f>IF(AND(R492&lt;&gt;"",OR(U492="No reply",U492="Unknown")),R492+2,"")</f>
        <v/>
      </c>
      <c r="Y492" s="45"/>
      <c r="Z492" s="43" t="s">
        <v>96</v>
      </c>
      <c r="AA492" s="43" t="str">
        <f>IF(L492="Hold","Do not send",IF(T492="Not sent","Send WhatsApp",IF(U492="Demo booked","Prepare demo",IF(W492="Booked","Prepare demo",IF(AND(X492&lt;&gt;"",Y492=""),"Send follow-up","Review")))))</f>
        <v>Do not send</v>
      </c>
      <c r="AB492" s="43"/>
      <c r="AC492" s="43" t="s">
        <v>733</v>
      </c>
      <c r="AD492" s="43">
        <f>IF(AA492="Prepare demo",1,IF(AA492="Send follow-up",2,IF(AA492="Send WhatsApp",3,IF(AA492="Review",4,IF(AA492="Do not send",9,5)))))</f>
        <v>9</v>
      </c>
      <c r="AE492" s="43">
        <f>IF(M492="High",1,IF(M492="Medium",2,IF(M492="Normal",3,IF(M492="Hold",9,4))))</f>
        <v>9</v>
      </c>
      <c r="AF492" s="43">
        <f>IF(T492="Read",1,IF(T492="Delivered",2,IF(T492="Sent",3,IF(T492="Not sent",4,IF(T492="Failed",9,5)))))</f>
        <v>4</v>
      </c>
      <c r="AG492" s="43">
        <f>IF(U492="Demo booked",1,IF(U492="Interested",2,IF(U492="Replied",3,IF(U492="No reply",5,IF(U492="Not interested",8,IF(U492="Bad number",9,6))))))</f>
        <v>6</v>
      </c>
      <c r="AH492" s="46">
        <f>AD492*1000+AN492*100+AE492*10+AG492</f>
        <v>9596</v>
      </c>
      <c r="AI492" s="45">
        <f>MAX(IF(R492="",0,R492),IF(Y492="",0,Y492))</f>
        <v>0</v>
      </c>
      <c r="AJ492" s="43" t="str">
        <f ca="1">IF(AND(X492&lt;&gt;"",Y492="",X492&lt;TODAY()),"Overdue",IF(AND(X492&lt;&gt;"",Y492="",X492=TODAY()),"Due today",IF(Y492&lt;&gt;"","Follow-up sent","")))</f>
        <v/>
      </c>
      <c r="AK492" s="50" t="s">
        <v>734</v>
      </c>
      <c r="AL492" s="50" t="s">
        <v>735</v>
      </c>
      <c r="AM492" s="50" t="s">
        <v>736</v>
      </c>
      <c r="AN492" s="50">
        <v>5</v>
      </c>
      <c r="AO492" s="54" t="s">
        <v>1886</v>
      </c>
      <c r="AP492" s="57" t="s">
        <v>127</v>
      </c>
      <c r="AQ492" s="58"/>
      <c r="AR492" s="57"/>
    </row>
    <row r="493" spans="1:44" ht="54" customHeight="1" x14ac:dyDescent="0.25">
      <c r="A493" s="43" t="s">
        <v>1887</v>
      </c>
      <c r="B493" s="43" t="s">
        <v>790</v>
      </c>
      <c r="C493" s="43"/>
      <c r="D493" s="44" t="s">
        <v>1888</v>
      </c>
      <c r="E493" s="43"/>
      <c r="F493" s="43" t="s">
        <v>729</v>
      </c>
      <c r="G493" s="45"/>
      <c r="H493" s="45">
        <v>46161</v>
      </c>
      <c r="I493" s="43" t="s">
        <v>730</v>
      </c>
      <c r="J493" s="43" t="s">
        <v>731</v>
      </c>
      <c r="K493" s="43" t="str">
        <f>IF(LEN(D493)=10,"OK","Check")</f>
        <v>OK</v>
      </c>
      <c r="L493" s="43" t="s">
        <v>732</v>
      </c>
      <c r="M493" s="43" t="str">
        <f>IF(L493="Hold","Hold",IF(IFERROR(E493,0)&gt;=200,"High",IF(IFERROR(E493,0)&gt;=100,"Medium","Normal")))</f>
        <v>Hold</v>
      </c>
      <c r="N493" s="43" t="s">
        <v>90</v>
      </c>
      <c r="O493" s="43" t="s">
        <v>91</v>
      </c>
      <c r="P493" s="43" t="s">
        <v>92</v>
      </c>
      <c r="Q493" s="17" t="s">
        <v>93</v>
      </c>
      <c r="R493" s="45"/>
      <c r="S493" s="43"/>
      <c r="T493" s="43" t="s">
        <v>31</v>
      </c>
      <c r="U493" s="43" t="s">
        <v>94</v>
      </c>
      <c r="V493" s="43" t="s">
        <v>94</v>
      </c>
      <c r="W493" s="43" t="s">
        <v>95</v>
      </c>
      <c r="X493" s="45" t="str">
        <f>IF(AND(R493&lt;&gt;"",OR(U493="No reply",U493="Unknown")),R493+2,"")</f>
        <v/>
      </c>
      <c r="Y493" s="45"/>
      <c r="Z493" s="43" t="s">
        <v>96</v>
      </c>
      <c r="AA493" s="43" t="str">
        <f>IF(L493="Hold","Do not send",IF(T493="Not sent","Send WhatsApp",IF(U493="Demo booked","Prepare demo",IF(W493="Booked","Prepare demo",IF(AND(X493&lt;&gt;"",Y493=""),"Send follow-up","Review")))))</f>
        <v>Do not send</v>
      </c>
      <c r="AB493" s="43"/>
      <c r="AC493" s="43" t="s">
        <v>733</v>
      </c>
      <c r="AD493" s="43">
        <f>IF(AA493="Prepare demo",1,IF(AA493="Send follow-up",2,IF(AA493="Send WhatsApp",3,IF(AA493="Review",4,IF(AA493="Do not send",9,5)))))</f>
        <v>9</v>
      </c>
      <c r="AE493" s="43">
        <f>IF(M493="High",1,IF(M493="Medium",2,IF(M493="Normal",3,IF(M493="Hold",9,4))))</f>
        <v>9</v>
      </c>
      <c r="AF493" s="43">
        <f>IF(T493="Read",1,IF(T493="Delivered",2,IF(T493="Sent",3,IF(T493="Not sent",4,IF(T493="Failed",9,5)))))</f>
        <v>4</v>
      </c>
      <c r="AG493" s="43">
        <f>IF(U493="Demo booked",1,IF(U493="Interested",2,IF(U493="Replied",3,IF(U493="No reply",5,IF(U493="Not interested",8,IF(U493="Bad number",9,6))))))</f>
        <v>6</v>
      </c>
      <c r="AH493" s="46">
        <f>AD493*1000+AN493*100+AE493*10+AG493</f>
        <v>9596</v>
      </c>
      <c r="AI493" s="45">
        <f>MAX(IF(R493="",0,R493),IF(Y493="",0,Y493))</f>
        <v>0</v>
      </c>
      <c r="AJ493" s="43" t="str">
        <f ca="1">IF(AND(X493&lt;&gt;"",Y493="",X493&lt;TODAY()),"Overdue",IF(AND(X493&lt;&gt;"",Y493="",X493=TODAY()),"Due today",IF(Y493&lt;&gt;"","Follow-up sent","")))</f>
        <v/>
      </c>
      <c r="AK493" s="50" t="s">
        <v>734</v>
      </c>
      <c r="AL493" s="50" t="s">
        <v>735</v>
      </c>
      <c r="AM493" s="50" t="s">
        <v>736</v>
      </c>
      <c r="AN493" s="50">
        <v>5</v>
      </c>
      <c r="AO493" s="54" t="s">
        <v>1889</v>
      </c>
      <c r="AP493" s="57" t="s">
        <v>127</v>
      </c>
      <c r="AQ493" s="58"/>
      <c r="AR493" s="57"/>
    </row>
    <row r="494" spans="1:44" ht="54" customHeight="1" x14ac:dyDescent="0.25">
      <c r="A494" s="43" t="s">
        <v>1890</v>
      </c>
      <c r="B494" s="43" t="s">
        <v>790</v>
      </c>
      <c r="C494" s="43"/>
      <c r="D494" s="44" t="s">
        <v>1891</v>
      </c>
      <c r="E494" s="43"/>
      <c r="F494" s="43" t="s">
        <v>729</v>
      </c>
      <c r="G494" s="45"/>
      <c r="H494" s="45">
        <v>46161</v>
      </c>
      <c r="I494" s="43" t="s">
        <v>730</v>
      </c>
      <c r="J494" s="43" t="s">
        <v>731</v>
      </c>
      <c r="K494" s="43" t="str">
        <f>IF(LEN(D494)=10,"OK","Check")</f>
        <v>OK</v>
      </c>
      <c r="L494" s="43" t="s">
        <v>732</v>
      </c>
      <c r="M494" s="43" t="str">
        <f>IF(L494="Hold","Hold",IF(IFERROR(E494,0)&gt;=200,"High",IF(IFERROR(E494,0)&gt;=100,"Medium","Normal")))</f>
        <v>Hold</v>
      </c>
      <c r="N494" s="43" t="s">
        <v>90</v>
      </c>
      <c r="O494" s="43" t="s">
        <v>91</v>
      </c>
      <c r="P494" s="43" t="s">
        <v>92</v>
      </c>
      <c r="Q494" s="17" t="s">
        <v>93</v>
      </c>
      <c r="R494" s="45"/>
      <c r="S494" s="43"/>
      <c r="T494" s="43" t="s">
        <v>31</v>
      </c>
      <c r="U494" s="43" t="s">
        <v>94</v>
      </c>
      <c r="V494" s="43" t="s">
        <v>94</v>
      </c>
      <c r="W494" s="43" t="s">
        <v>95</v>
      </c>
      <c r="X494" s="45" t="str">
        <f>IF(AND(R494&lt;&gt;"",OR(U494="No reply",U494="Unknown")),R494+2,"")</f>
        <v/>
      </c>
      <c r="Y494" s="45"/>
      <c r="Z494" s="43" t="s">
        <v>96</v>
      </c>
      <c r="AA494" s="43" t="str">
        <f>IF(L494="Hold","Do not send",IF(T494="Not sent","Send WhatsApp",IF(U494="Demo booked","Prepare demo",IF(W494="Booked","Prepare demo",IF(AND(X494&lt;&gt;"",Y494=""),"Send follow-up","Review")))))</f>
        <v>Do not send</v>
      </c>
      <c r="AB494" s="43"/>
      <c r="AC494" s="43" t="s">
        <v>733</v>
      </c>
      <c r="AD494" s="43">
        <f>IF(AA494="Prepare demo",1,IF(AA494="Send follow-up",2,IF(AA494="Send WhatsApp",3,IF(AA494="Review",4,IF(AA494="Do not send",9,5)))))</f>
        <v>9</v>
      </c>
      <c r="AE494" s="43">
        <f>IF(M494="High",1,IF(M494="Medium",2,IF(M494="Normal",3,IF(M494="Hold",9,4))))</f>
        <v>9</v>
      </c>
      <c r="AF494" s="43">
        <f>IF(T494="Read",1,IF(T494="Delivered",2,IF(T494="Sent",3,IF(T494="Not sent",4,IF(T494="Failed",9,5)))))</f>
        <v>4</v>
      </c>
      <c r="AG494" s="43">
        <f>IF(U494="Demo booked",1,IF(U494="Interested",2,IF(U494="Replied",3,IF(U494="No reply",5,IF(U494="Not interested",8,IF(U494="Bad number",9,6))))))</f>
        <v>6</v>
      </c>
      <c r="AH494" s="46">
        <f>AD494*1000+AN494*100+AE494*10+AG494</f>
        <v>9596</v>
      </c>
      <c r="AI494" s="45">
        <f>MAX(IF(R494="",0,R494),IF(Y494="",0,Y494))</f>
        <v>0</v>
      </c>
      <c r="AJ494" s="43" t="str">
        <f ca="1">IF(AND(X494&lt;&gt;"",Y494="",X494&lt;TODAY()),"Overdue",IF(AND(X494&lt;&gt;"",Y494="",X494=TODAY()),"Due today",IF(Y494&lt;&gt;"","Follow-up sent","")))</f>
        <v/>
      </c>
      <c r="AK494" s="50" t="s">
        <v>734</v>
      </c>
      <c r="AL494" s="50" t="s">
        <v>735</v>
      </c>
      <c r="AM494" s="50" t="s">
        <v>736</v>
      </c>
      <c r="AN494" s="50">
        <v>5</v>
      </c>
      <c r="AO494" s="54" t="s">
        <v>1892</v>
      </c>
      <c r="AP494" s="57" t="s">
        <v>127</v>
      </c>
      <c r="AQ494" s="58"/>
      <c r="AR494" s="57"/>
    </row>
    <row r="495" spans="1:44" ht="54" customHeight="1" x14ac:dyDescent="0.25">
      <c r="A495" s="43" t="s">
        <v>1893</v>
      </c>
      <c r="B495" s="43" t="s">
        <v>790</v>
      </c>
      <c r="C495" s="43"/>
      <c r="D495" s="44" t="s">
        <v>1894</v>
      </c>
      <c r="E495" s="43"/>
      <c r="F495" s="43" t="s">
        <v>729</v>
      </c>
      <c r="G495" s="45"/>
      <c r="H495" s="45">
        <v>46161</v>
      </c>
      <c r="I495" s="43" t="s">
        <v>730</v>
      </c>
      <c r="J495" s="43" t="s">
        <v>731</v>
      </c>
      <c r="K495" s="43" t="str">
        <f>IF(LEN(D495)=10,"OK","Check")</f>
        <v>OK</v>
      </c>
      <c r="L495" s="43" t="s">
        <v>732</v>
      </c>
      <c r="M495" s="43" t="str">
        <f>IF(L495="Hold","Hold",IF(IFERROR(E495,0)&gt;=200,"High",IF(IFERROR(E495,0)&gt;=100,"Medium","Normal")))</f>
        <v>Hold</v>
      </c>
      <c r="N495" s="43" t="s">
        <v>90</v>
      </c>
      <c r="O495" s="43" t="s">
        <v>91</v>
      </c>
      <c r="P495" s="43" t="s">
        <v>92</v>
      </c>
      <c r="Q495" s="17" t="s">
        <v>93</v>
      </c>
      <c r="R495" s="45"/>
      <c r="S495" s="43"/>
      <c r="T495" s="43" t="s">
        <v>31</v>
      </c>
      <c r="U495" s="43" t="s">
        <v>94</v>
      </c>
      <c r="V495" s="43" t="s">
        <v>94</v>
      </c>
      <c r="W495" s="43" t="s">
        <v>95</v>
      </c>
      <c r="X495" s="45" t="str">
        <f>IF(AND(R495&lt;&gt;"",OR(U495="No reply",U495="Unknown")),R495+2,"")</f>
        <v/>
      </c>
      <c r="Y495" s="45"/>
      <c r="Z495" s="43" t="s">
        <v>96</v>
      </c>
      <c r="AA495" s="43" t="str">
        <f>IF(L495="Hold","Do not send",IF(T495="Not sent","Send WhatsApp",IF(U495="Demo booked","Prepare demo",IF(W495="Booked","Prepare demo",IF(AND(X495&lt;&gt;"",Y495=""),"Send follow-up","Review")))))</f>
        <v>Do not send</v>
      </c>
      <c r="AB495" s="43"/>
      <c r="AC495" s="43" t="s">
        <v>733</v>
      </c>
      <c r="AD495" s="43">
        <f>IF(AA495="Prepare demo",1,IF(AA495="Send follow-up",2,IF(AA495="Send WhatsApp",3,IF(AA495="Review",4,IF(AA495="Do not send",9,5)))))</f>
        <v>9</v>
      </c>
      <c r="AE495" s="43">
        <f>IF(M495="High",1,IF(M495="Medium",2,IF(M495="Normal",3,IF(M495="Hold",9,4))))</f>
        <v>9</v>
      </c>
      <c r="AF495" s="43">
        <f>IF(T495="Read",1,IF(T495="Delivered",2,IF(T495="Sent",3,IF(T495="Not sent",4,IF(T495="Failed",9,5)))))</f>
        <v>4</v>
      </c>
      <c r="AG495" s="43">
        <f>IF(U495="Demo booked",1,IF(U495="Interested",2,IF(U495="Replied",3,IF(U495="No reply",5,IF(U495="Not interested",8,IF(U495="Bad number",9,6))))))</f>
        <v>6</v>
      </c>
      <c r="AH495" s="46">
        <f>AD495*1000+AN495*100+AE495*10+AG495</f>
        <v>9596</v>
      </c>
      <c r="AI495" s="45">
        <f>MAX(IF(R495="",0,R495),IF(Y495="",0,Y495))</f>
        <v>0</v>
      </c>
      <c r="AJ495" s="43" t="str">
        <f ca="1">IF(AND(X495&lt;&gt;"",Y495="",X495&lt;TODAY()),"Overdue",IF(AND(X495&lt;&gt;"",Y495="",X495=TODAY()),"Due today",IF(Y495&lt;&gt;"","Follow-up sent","")))</f>
        <v/>
      </c>
      <c r="AK495" s="50" t="s">
        <v>734</v>
      </c>
      <c r="AL495" s="50" t="s">
        <v>735</v>
      </c>
      <c r="AM495" s="50" t="s">
        <v>736</v>
      </c>
      <c r="AN495" s="50">
        <v>5</v>
      </c>
      <c r="AO495" s="54" t="s">
        <v>1895</v>
      </c>
      <c r="AP495" s="57" t="s">
        <v>127</v>
      </c>
      <c r="AQ495" s="58"/>
      <c r="AR495" s="57"/>
    </row>
    <row r="496" spans="1:44" ht="54" customHeight="1" x14ac:dyDescent="0.25">
      <c r="A496" s="43" t="s">
        <v>1896</v>
      </c>
      <c r="B496" s="43" t="s">
        <v>790</v>
      </c>
      <c r="C496" s="43"/>
      <c r="D496" s="44" t="s">
        <v>1897</v>
      </c>
      <c r="E496" s="43"/>
      <c r="F496" s="43" t="s">
        <v>729</v>
      </c>
      <c r="G496" s="45"/>
      <c r="H496" s="45">
        <v>46161</v>
      </c>
      <c r="I496" s="43" t="s">
        <v>730</v>
      </c>
      <c r="J496" s="43" t="s">
        <v>731</v>
      </c>
      <c r="K496" s="43" t="str">
        <f>IF(LEN(D496)=10,"OK","Check")</f>
        <v>OK</v>
      </c>
      <c r="L496" s="43" t="s">
        <v>732</v>
      </c>
      <c r="M496" s="43" t="str">
        <f>IF(L496="Hold","Hold",IF(IFERROR(E496,0)&gt;=200,"High",IF(IFERROR(E496,0)&gt;=100,"Medium","Normal")))</f>
        <v>Hold</v>
      </c>
      <c r="N496" s="43" t="s">
        <v>90</v>
      </c>
      <c r="O496" s="43" t="s">
        <v>91</v>
      </c>
      <c r="P496" s="43" t="s">
        <v>92</v>
      </c>
      <c r="Q496" s="17" t="s">
        <v>93</v>
      </c>
      <c r="R496" s="45"/>
      <c r="S496" s="43"/>
      <c r="T496" s="43" t="s">
        <v>31</v>
      </c>
      <c r="U496" s="43" t="s">
        <v>94</v>
      </c>
      <c r="V496" s="43" t="s">
        <v>94</v>
      </c>
      <c r="W496" s="43" t="s">
        <v>95</v>
      </c>
      <c r="X496" s="45" t="str">
        <f>IF(AND(R496&lt;&gt;"",OR(U496="No reply",U496="Unknown")),R496+2,"")</f>
        <v/>
      </c>
      <c r="Y496" s="45"/>
      <c r="Z496" s="43" t="s">
        <v>96</v>
      </c>
      <c r="AA496" s="43" t="str">
        <f>IF(L496="Hold","Do not send",IF(T496="Not sent","Send WhatsApp",IF(U496="Demo booked","Prepare demo",IF(W496="Booked","Prepare demo",IF(AND(X496&lt;&gt;"",Y496=""),"Send follow-up","Review")))))</f>
        <v>Do not send</v>
      </c>
      <c r="AB496" s="43"/>
      <c r="AC496" s="43" t="s">
        <v>733</v>
      </c>
      <c r="AD496" s="43">
        <f>IF(AA496="Prepare demo",1,IF(AA496="Send follow-up",2,IF(AA496="Send WhatsApp",3,IF(AA496="Review",4,IF(AA496="Do not send",9,5)))))</f>
        <v>9</v>
      </c>
      <c r="AE496" s="43">
        <f>IF(M496="High",1,IF(M496="Medium",2,IF(M496="Normal",3,IF(M496="Hold",9,4))))</f>
        <v>9</v>
      </c>
      <c r="AF496" s="43">
        <f>IF(T496="Read",1,IF(T496="Delivered",2,IF(T496="Sent",3,IF(T496="Not sent",4,IF(T496="Failed",9,5)))))</f>
        <v>4</v>
      </c>
      <c r="AG496" s="43">
        <f>IF(U496="Demo booked",1,IF(U496="Interested",2,IF(U496="Replied",3,IF(U496="No reply",5,IF(U496="Not interested",8,IF(U496="Bad number",9,6))))))</f>
        <v>6</v>
      </c>
      <c r="AH496" s="46">
        <f>AD496*1000+AN496*100+AE496*10+AG496</f>
        <v>9596</v>
      </c>
      <c r="AI496" s="45">
        <f>MAX(IF(R496="",0,R496),IF(Y496="",0,Y496))</f>
        <v>0</v>
      </c>
      <c r="AJ496" s="43" t="str">
        <f ca="1">IF(AND(X496&lt;&gt;"",Y496="",X496&lt;TODAY()),"Overdue",IF(AND(X496&lt;&gt;"",Y496="",X496=TODAY()),"Due today",IF(Y496&lt;&gt;"","Follow-up sent","")))</f>
        <v/>
      </c>
      <c r="AK496" s="50" t="s">
        <v>734</v>
      </c>
      <c r="AL496" s="50" t="s">
        <v>735</v>
      </c>
      <c r="AM496" s="50" t="s">
        <v>736</v>
      </c>
      <c r="AN496" s="50">
        <v>5</v>
      </c>
      <c r="AO496" s="54" t="s">
        <v>1898</v>
      </c>
      <c r="AP496" s="57" t="s">
        <v>127</v>
      </c>
      <c r="AQ496" s="58"/>
      <c r="AR496" s="57"/>
    </row>
    <row r="497" spans="1:44" ht="54" customHeight="1" x14ac:dyDescent="0.25">
      <c r="A497" s="43" t="s">
        <v>1899</v>
      </c>
      <c r="B497" s="43" t="s">
        <v>790</v>
      </c>
      <c r="C497" s="43"/>
      <c r="D497" s="44" t="s">
        <v>1900</v>
      </c>
      <c r="E497" s="43"/>
      <c r="F497" s="43" t="s">
        <v>729</v>
      </c>
      <c r="G497" s="45"/>
      <c r="H497" s="45">
        <v>46161</v>
      </c>
      <c r="I497" s="43" t="s">
        <v>730</v>
      </c>
      <c r="J497" s="43" t="s">
        <v>731</v>
      </c>
      <c r="K497" s="43" t="str">
        <f>IF(LEN(D497)=10,"OK","Check")</f>
        <v>OK</v>
      </c>
      <c r="L497" s="43" t="s">
        <v>732</v>
      </c>
      <c r="M497" s="43" t="str">
        <f>IF(L497="Hold","Hold",IF(IFERROR(E497,0)&gt;=200,"High",IF(IFERROR(E497,0)&gt;=100,"Medium","Normal")))</f>
        <v>Hold</v>
      </c>
      <c r="N497" s="43" t="s">
        <v>90</v>
      </c>
      <c r="O497" s="43" t="s">
        <v>91</v>
      </c>
      <c r="P497" s="43" t="s">
        <v>92</v>
      </c>
      <c r="Q497" s="17" t="s">
        <v>93</v>
      </c>
      <c r="R497" s="45"/>
      <c r="S497" s="43"/>
      <c r="T497" s="43" t="s">
        <v>31</v>
      </c>
      <c r="U497" s="43" t="s">
        <v>94</v>
      </c>
      <c r="V497" s="43" t="s">
        <v>94</v>
      </c>
      <c r="W497" s="43" t="s">
        <v>95</v>
      </c>
      <c r="X497" s="45" t="str">
        <f>IF(AND(R497&lt;&gt;"",OR(U497="No reply",U497="Unknown")),R497+2,"")</f>
        <v/>
      </c>
      <c r="Y497" s="45"/>
      <c r="Z497" s="43" t="s">
        <v>96</v>
      </c>
      <c r="AA497" s="43" t="str">
        <f>IF(L497="Hold","Do not send",IF(T497="Not sent","Send WhatsApp",IF(U497="Demo booked","Prepare demo",IF(W497="Booked","Prepare demo",IF(AND(X497&lt;&gt;"",Y497=""),"Send follow-up","Review")))))</f>
        <v>Do not send</v>
      </c>
      <c r="AB497" s="43"/>
      <c r="AC497" s="43" t="s">
        <v>733</v>
      </c>
      <c r="AD497" s="43">
        <f>IF(AA497="Prepare demo",1,IF(AA497="Send follow-up",2,IF(AA497="Send WhatsApp",3,IF(AA497="Review",4,IF(AA497="Do not send",9,5)))))</f>
        <v>9</v>
      </c>
      <c r="AE497" s="43">
        <f>IF(M497="High",1,IF(M497="Medium",2,IF(M497="Normal",3,IF(M497="Hold",9,4))))</f>
        <v>9</v>
      </c>
      <c r="AF497" s="43">
        <f>IF(T497="Read",1,IF(T497="Delivered",2,IF(T497="Sent",3,IF(T497="Not sent",4,IF(T497="Failed",9,5)))))</f>
        <v>4</v>
      </c>
      <c r="AG497" s="43">
        <f>IF(U497="Demo booked",1,IF(U497="Interested",2,IF(U497="Replied",3,IF(U497="No reply",5,IF(U497="Not interested",8,IF(U497="Bad number",9,6))))))</f>
        <v>6</v>
      </c>
      <c r="AH497" s="46">
        <f>AD497*1000+AN497*100+AE497*10+AG497</f>
        <v>9596</v>
      </c>
      <c r="AI497" s="45">
        <f>MAX(IF(R497="",0,R497),IF(Y497="",0,Y497))</f>
        <v>0</v>
      </c>
      <c r="AJ497" s="43" t="str">
        <f ca="1">IF(AND(X497&lt;&gt;"",Y497="",X497&lt;TODAY()),"Overdue",IF(AND(X497&lt;&gt;"",Y497="",X497=TODAY()),"Due today",IF(Y497&lt;&gt;"","Follow-up sent","")))</f>
        <v/>
      </c>
      <c r="AK497" s="50" t="s">
        <v>734</v>
      </c>
      <c r="AL497" s="50" t="s">
        <v>735</v>
      </c>
      <c r="AM497" s="50" t="s">
        <v>736</v>
      </c>
      <c r="AN497" s="50">
        <v>5</v>
      </c>
      <c r="AO497" s="54" t="s">
        <v>1901</v>
      </c>
      <c r="AP497" s="57" t="s">
        <v>127</v>
      </c>
      <c r="AQ497" s="58"/>
      <c r="AR497" s="57"/>
    </row>
    <row r="498" spans="1:44" ht="54" customHeight="1" x14ac:dyDescent="0.25">
      <c r="A498" s="43" t="s">
        <v>1902</v>
      </c>
      <c r="B498" s="43" t="s">
        <v>790</v>
      </c>
      <c r="C498" s="43"/>
      <c r="D498" s="44" t="s">
        <v>1903</v>
      </c>
      <c r="E498" s="43"/>
      <c r="F498" s="43" t="s">
        <v>729</v>
      </c>
      <c r="G498" s="45"/>
      <c r="H498" s="45">
        <v>46161</v>
      </c>
      <c r="I498" s="43" t="s">
        <v>730</v>
      </c>
      <c r="J498" s="43" t="s">
        <v>731</v>
      </c>
      <c r="K498" s="43" t="str">
        <f>IF(LEN(D498)=10,"OK","Check")</f>
        <v>OK</v>
      </c>
      <c r="L498" s="43" t="s">
        <v>732</v>
      </c>
      <c r="M498" s="43" t="str">
        <f>IF(L498="Hold","Hold",IF(IFERROR(E498,0)&gt;=200,"High",IF(IFERROR(E498,0)&gt;=100,"Medium","Normal")))</f>
        <v>Hold</v>
      </c>
      <c r="N498" s="43" t="s">
        <v>90</v>
      </c>
      <c r="O498" s="43" t="s">
        <v>91</v>
      </c>
      <c r="P498" s="43" t="s">
        <v>92</v>
      </c>
      <c r="Q498" s="17" t="s">
        <v>93</v>
      </c>
      <c r="R498" s="45"/>
      <c r="S498" s="43"/>
      <c r="T498" s="43" t="s">
        <v>31</v>
      </c>
      <c r="U498" s="43" t="s">
        <v>94</v>
      </c>
      <c r="V498" s="43" t="s">
        <v>94</v>
      </c>
      <c r="W498" s="43" t="s">
        <v>95</v>
      </c>
      <c r="X498" s="45" t="str">
        <f>IF(AND(R498&lt;&gt;"",OR(U498="No reply",U498="Unknown")),R498+2,"")</f>
        <v/>
      </c>
      <c r="Y498" s="45"/>
      <c r="Z498" s="43" t="s">
        <v>96</v>
      </c>
      <c r="AA498" s="43" t="str">
        <f>IF(L498="Hold","Do not send",IF(T498="Not sent","Send WhatsApp",IF(U498="Demo booked","Prepare demo",IF(W498="Booked","Prepare demo",IF(AND(X498&lt;&gt;"",Y498=""),"Send follow-up","Review")))))</f>
        <v>Do not send</v>
      </c>
      <c r="AB498" s="43"/>
      <c r="AC498" s="43" t="s">
        <v>733</v>
      </c>
      <c r="AD498" s="43">
        <f>IF(AA498="Prepare demo",1,IF(AA498="Send follow-up",2,IF(AA498="Send WhatsApp",3,IF(AA498="Review",4,IF(AA498="Do not send",9,5)))))</f>
        <v>9</v>
      </c>
      <c r="AE498" s="43">
        <f>IF(M498="High",1,IF(M498="Medium",2,IF(M498="Normal",3,IF(M498="Hold",9,4))))</f>
        <v>9</v>
      </c>
      <c r="AF498" s="43">
        <f>IF(T498="Read",1,IF(T498="Delivered",2,IF(T498="Sent",3,IF(T498="Not sent",4,IF(T498="Failed",9,5)))))</f>
        <v>4</v>
      </c>
      <c r="AG498" s="43">
        <f>IF(U498="Demo booked",1,IF(U498="Interested",2,IF(U498="Replied",3,IF(U498="No reply",5,IF(U498="Not interested",8,IF(U498="Bad number",9,6))))))</f>
        <v>6</v>
      </c>
      <c r="AH498" s="46">
        <f>AD498*1000+AN498*100+AE498*10+AG498</f>
        <v>9596</v>
      </c>
      <c r="AI498" s="45">
        <f>MAX(IF(R498="",0,R498),IF(Y498="",0,Y498))</f>
        <v>0</v>
      </c>
      <c r="AJ498" s="43" t="str">
        <f ca="1">IF(AND(X498&lt;&gt;"",Y498="",X498&lt;TODAY()),"Overdue",IF(AND(X498&lt;&gt;"",Y498="",X498=TODAY()),"Due today",IF(Y498&lt;&gt;"","Follow-up sent","")))</f>
        <v/>
      </c>
      <c r="AK498" s="50" t="s">
        <v>734</v>
      </c>
      <c r="AL498" s="50" t="s">
        <v>735</v>
      </c>
      <c r="AM498" s="50" t="s">
        <v>736</v>
      </c>
      <c r="AN498" s="50">
        <v>5</v>
      </c>
      <c r="AO498" s="54" t="s">
        <v>1904</v>
      </c>
      <c r="AP498" s="57" t="s">
        <v>127</v>
      </c>
      <c r="AQ498" s="58"/>
      <c r="AR498" s="57"/>
    </row>
    <row r="499" spans="1:44" ht="54" customHeight="1" x14ac:dyDescent="0.25">
      <c r="A499" s="43" t="s">
        <v>1905</v>
      </c>
      <c r="B499" s="43" t="s">
        <v>790</v>
      </c>
      <c r="C499" s="43"/>
      <c r="D499" s="44" t="s">
        <v>1906</v>
      </c>
      <c r="E499" s="43"/>
      <c r="F499" s="43" t="s">
        <v>729</v>
      </c>
      <c r="G499" s="45"/>
      <c r="H499" s="45">
        <v>46161</v>
      </c>
      <c r="I499" s="43" t="s">
        <v>730</v>
      </c>
      <c r="J499" s="43" t="s">
        <v>731</v>
      </c>
      <c r="K499" s="43" t="str">
        <f>IF(LEN(D499)=10,"OK","Check")</f>
        <v>OK</v>
      </c>
      <c r="L499" s="43" t="s">
        <v>732</v>
      </c>
      <c r="M499" s="43" t="str">
        <f>IF(L499="Hold","Hold",IF(IFERROR(E499,0)&gt;=200,"High",IF(IFERROR(E499,0)&gt;=100,"Medium","Normal")))</f>
        <v>Hold</v>
      </c>
      <c r="N499" s="43" t="s">
        <v>90</v>
      </c>
      <c r="O499" s="43" t="s">
        <v>91</v>
      </c>
      <c r="P499" s="43" t="s">
        <v>92</v>
      </c>
      <c r="Q499" s="17" t="s">
        <v>93</v>
      </c>
      <c r="R499" s="45"/>
      <c r="S499" s="43"/>
      <c r="T499" s="43" t="s">
        <v>31</v>
      </c>
      <c r="U499" s="43" t="s">
        <v>94</v>
      </c>
      <c r="V499" s="43" t="s">
        <v>94</v>
      </c>
      <c r="W499" s="43" t="s">
        <v>95</v>
      </c>
      <c r="X499" s="45" t="str">
        <f>IF(AND(R499&lt;&gt;"",OR(U499="No reply",U499="Unknown")),R499+2,"")</f>
        <v/>
      </c>
      <c r="Y499" s="45"/>
      <c r="Z499" s="43" t="s">
        <v>96</v>
      </c>
      <c r="AA499" s="43" t="str">
        <f>IF(L499="Hold","Do not send",IF(T499="Not sent","Send WhatsApp",IF(U499="Demo booked","Prepare demo",IF(W499="Booked","Prepare demo",IF(AND(X499&lt;&gt;"",Y499=""),"Send follow-up","Review")))))</f>
        <v>Do not send</v>
      </c>
      <c r="AB499" s="43"/>
      <c r="AC499" s="43" t="s">
        <v>733</v>
      </c>
      <c r="AD499" s="43">
        <f>IF(AA499="Prepare demo",1,IF(AA499="Send follow-up",2,IF(AA499="Send WhatsApp",3,IF(AA499="Review",4,IF(AA499="Do not send",9,5)))))</f>
        <v>9</v>
      </c>
      <c r="AE499" s="43">
        <f>IF(M499="High",1,IF(M499="Medium",2,IF(M499="Normal",3,IF(M499="Hold",9,4))))</f>
        <v>9</v>
      </c>
      <c r="AF499" s="43">
        <f>IF(T499="Read",1,IF(T499="Delivered",2,IF(T499="Sent",3,IF(T499="Not sent",4,IF(T499="Failed",9,5)))))</f>
        <v>4</v>
      </c>
      <c r="AG499" s="43">
        <f>IF(U499="Demo booked",1,IF(U499="Interested",2,IF(U499="Replied",3,IF(U499="No reply",5,IF(U499="Not interested",8,IF(U499="Bad number",9,6))))))</f>
        <v>6</v>
      </c>
      <c r="AH499" s="46">
        <f>AD499*1000+AN499*100+AE499*10+AG499</f>
        <v>9596</v>
      </c>
      <c r="AI499" s="45">
        <f>MAX(IF(R499="",0,R499),IF(Y499="",0,Y499))</f>
        <v>0</v>
      </c>
      <c r="AJ499" s="43" t="str">
        <f ca="1">IF(AND(X499&lt;&gt;"",Y499="",X499&lt;TODAY()),"Overdue",IF(AND(X499&lt;&gt;"",Y499="",X499=TODAY()),"Due today",IF(Y499&lt;&gt;"","Follow-up sent","")))</f>
        <v/>
      </c>
      <c r="AK499" s="50" t="s">
        <v>734</v>
      </c>
      <c r="AL499" s="50" t="s">
        <v>735</v>
      </c>
      <c r="AM499" s="50" t="s">
        <v>736</v>
      </c>
      <c r="AN499" s="50">
        <v>5</v>
      </c>
      <c r="AO499" s="54" t="s">
        <v>1907</v>
      </c>
      <c r="AP499" s="57" t="s">
        <v>127</v>
      </c>
      <c r="AQ499" s="58"/>
      <c r="AR499" s="57"/>
    </row>
    <row r="500" spans="1:44" ht="54" customHeight="1" x14ac:dyDescent="0.25">
      <c r="A500" s="79" t="s">
        <v>246</v>
      </c>
      <c r="B500" s="79" t="s">
        <v>247</v>
      </c>
      <c r="C500" s="80"/>
      <c r="D500" s="106"/>
      <c r="E500" s="80"/>
      <c r="F500" s="79" t="s">
        <v>88</v>
      </c>
      <c r="G500" s="87">
        <v>46153</v>
      </c>
      <c r="H500" s="87">
        <v>46130</v>
      </c>
      <c r="I500" s="80"/>
      <c r="J500" s="80"/>
      <c r="K500" s="79" t="str">
        <f>IF(LEN(D500)=10,"OK","Check")</f>
        <v>Check</v>
      </c>
      <c r="L500" s="79" t="str">
        <f>IF(ISNUMBER(SEARCH("not interested",LOWER(I500&amp;" "&amp;J500))),"Hold","Send")</f>
        <v>Send</v>
      </c>
      <c r="M500" s="79" t="str">
        <f>IF(L500="Hold","Hold",IF(IFERROR(E500,0)&gt;=200,"High",IF(IFERROR(E500,0)&gt;=100,"Medium","Normal")))</f>
        <v>Normal</v>
      </c>
      <c r="N500" s="79" t="s">
        <v>90</v>
      </c>
      <c r="O500" s="79" t="s">
        <v>91</v>
      </c>
      <c r="P500" s="79" t="s">
        <v>92</v>
      </c>
      <c r="Q500" s="92" t="s">
        <v>93</v>
      </c>
      <c r="R500" s="96"/>
      <c r="S500" s="80"/>
      <c r="T500" s="79" t="s">
        <v>31</v>
      </c>
      <c r="U500" s="79" t="s">
        <v>94</v>
      </c>
      <c r="V500" s="79" t="s">
        <v>94</v>
      </c>
      <c r="W500" s="79" t="s">
        <v>95</v>
      </c>
      <c r="X500" s="87" t="str">
        <f>IF(AND(R500&lt;&gt;"",OR(U500="No reply",U500="Unknown")),R500+2,"")</f>
        <v/>
      </c>
      <c r="Y500" s="96"/>
      <c r="Z500" s="79" t="s">
        <v>96</v>
      </c>
      <c r="AA500" s="79" t="str">
        <f>IF(L500="Hold","Do not send",IF(T500="Not sent","Send WhatsApp",IF(U500="Demo booked","Prepare demo",IF(W500="Booked","Prepare demo",IF(AND(X500&lt;&gt;"",Y500=""),"Send follow-up","Review")))))</f>
        <v>Send WhatsApp</v>
      </c>
      <c r="AB500" s="80"/>
      <c r="AC500" s="80"/>
      <c r="AD500" s="97">
        <f>IF(AA500="Prepare demo",1,IF(AA500="Send follow-up",2,IF(AA500="Send WhatsApp",3,IF(AA500="Review",4,IF(AA500="Do not send",9,5)))))</f>
        <v>3</v>
      </c>
      <c r="AE500" s="97">
        <f>IF(M500="High",1,IF(M500="Medium",2,IF(M500="Normal",3,IF(M500="Hold",9,4))))</f>
        <v>3</v>
      </c>
      <c r="AF500" s="97">
        <f>IF(T500="Read",1,IF(T500="Delivered",2,IF(T500="Sent",3,IF(T500="Not sent",4,IF(T500="Failed",9,5)))))</f>
        <v>4</v>
      </c>
      <c r="AG500" s="97">
        <f>IF(U500="Demo booked",1,IF(U500="Interested",2,IF(U500="Replied",3,IF(U500="No reply",5,IF(U500="Not interested",8,IF(U500="Bad number",9,6))))))</f>
        <v>6</v>
      </c>
      <c r="AH500" s="99">
        <f>AD500*1000+AN500*100+AE500*10+AG500</f>
        <v>3136</v>
      </c>
      <c r="AI500" s="100">
        <f>MAX(IF(R500="",0,R500),IF(Y500="",0,Y500))</f>
        <v>0</v>
      </c>
      <c r="AJ500" s="97" t="str">
        <f ca="1">IF(AND(X500&lt;&gt;"",Y500="",X500&lt;TODAY()),"Overdue",IF(AND(X500&lt;&gt;"",Y500="",X500=TODAY()),"Due today",IF(Y500&lt;&gt;"","Follow-up sent","")))</f>
        <v/>
      </c>
      <c r="AK500" s="50" t="s">
        <v>97</v>
      </c>
      <c r="AL500" s="50" t="s">
        <v>98</v>
      </c>
      <c r="AM500" s="50" t="s">
        <v>99</v>
      </c>
      <c r="AN500" s="50">
        <v>1</v>
      </c>
      <c r="AO500" s="55"/>
      <c r="AP500" s="57" t="s">
        <v>127</v>
      </c>
      <c r="AQ500" s="58"/>
      <c r="AR500" s="57"/>
    </row>
    <row r="501" spans="1:44" ht="54" customHeight="1" x14ac:dyDescent="0.25">
      <c r="A501" s="78" t="s">
        <v>193</v>
      </c>
      <c r="B501" s="78" t="s">
        <v>194</v>
      </c>
      <c r="C501" s="81"/>
      <c r="D501" s="107"/>
      <c r="E501" s="81"/>
      <c r="F501" s="78" t="s">
        <v>88</v>
      </c>
      <c r="G501" s="86">
        <v>46147</v>
      </c>
      <c r="H501" s="86">
        <v>46139</v>
      </c>
      <c r="I501" s="108"/>
      <c r="J501" s="81"/>
      <c r="K501" s="78" t="str">
        <f>IF(LEN(D501)=10,"OK","Check")</f>
        <v>Check</v>
      </c>
      <c r="L501" s="78" t="str">
        <f>IF(ISNUMBER(SEARCH("not interested",LOWER(I501&amp;" "&amp;J501))),"Hold","Send")</f>
        <v>Send</v>
      </c>
      <c r="M501" s="78" t="str">
        <f>IF(L501="Hold","Hold",IF(IFERROR(E501,0)&gt;=200,"High",IF(IFERROR(E501,0)&gt;=100,"Medium","Normal")))</f>
        <v>Normal</v>
      </c>
      <c r="N501" s="78" t="s">
        <v>90</v>
      </c>
      <c r="O501" s="78" t="s">
        <v>91</v>
      </c>
      <c r="P501" s="78" t="s">
        <v>92</v>
      </c>
      <c r="Q501" s="91" t="s">
        <v>93</v>
      </c>
      <c r="R501" s="95"/>
      <c r="S501" s="81"/>
      <c r="T501" s="78" t="s">
        <v>31</v>
      </c>
      <c r="U501" s="78" t="s">
        <v>94</v>
      </c>
      <c r="V501" s="78" t="s">
        <v>94</v>
      </c>
      <c r="W501" s="78" t="s">
        <v>95</v>
      </c>
      <c r="X501" s="86" t="str">
        <f>IF(AND(R501&lt;&gt;"",OR(U501="No reply",U501="Unknown")),R501+2,"")</f>
        <v/>
      </c>
      <c r="Y501" s="95"/>
      <c r="Z501" s="78" t="s">
        <v>96</v>
      </c>
      <c r="AA501" s="78" t="str">
        <f>IF(L501="Hold","Do not send",IF(T501="Not sent","Send WhatsApp",IF(U501="Demo booked","Prepare demo",IF(W501="Booked","Prepare demo",IF(AND(X501&lt;&gt;"",Y501=""),"Send follow-up","Review")))))</f>
        <v>Send WhatsApp</v>
      </c>
      <c r="AB501" s="81"/>
      <c r="AC501" s="81"/>
      <c r="AD501" s="97">
        <f>IF(AA501="Prepare demo",1,IF(AA501="Send follow-up",2,IF(AA501="Send WhatsApp",3,IF(AA501="Review",4,IF(AA501="Do not send",9,5)))))</f>
        <v>3</v>
      </c>
      <c r="AE501" s="97">
        <f>IF(M501="High",1,IF(M501="Medium",2,IF(M501="Normal",3,IF(M501="Hold",9,4))))</f>
        <v>3</v>
      </c>
      <c r="AF501" s="97">
        <f>IF(T501="Read",1,IF(T501="Delivered",2,IF(T501="Sent",3,IF(T501="Not sent",4,IF(T501="Failed",9,5)))))</f>
        <v>4</v>
      </c>
      <c r="AG501" s="97">
        <f>IF(U501="Demo booked",1,IF(U501="Interested",2,IF(U501="Replied",3,IF(U501="No reply",5,IF(U501="Not interested",8,IF(U501="Bad number",9,6))))))</f>
        <v>6</v>
      </c>
      <c r="AH501" s="99">
        <f>AD501*1000+AN501*100+AE501*10+AG501</f>
        <v>3136</v>
      </c>
      <c r="AI501" s="100">
        <f>MAX(IF(R501="",0,R501),IF(Y501="",0,Y501))</f>
        <v>0</v>
      </c>
      <c r="AJ501" s="97" t="str">
        <f ca="1">IF(AND(X501&lt;&gt;"",Y501="",X501&lt;TODAY()),"Overdue",IF(AND(X501&lt;&gt;"",Y501="",X501=TODAY()),"Due today",IF(Y501&lt;&gt;"","Follow-up sent","")))</f>
        <v/>
      </c>
      <c r="AK501" s="50" t="s">
        <v>97</v>
      </c>
      <c r="AL501" s="50" t="s">
        <v>98</v>
      </c>
      <c r="AM501" s="50" t="s">
        <v>99</v>
      </c>
      <c r="AN501" s="50">
        <v>1</v>
      </c>
      <c r="AO501" s="55"/>
      <c r="AP501" s="57" t="s">
        <v>127</v>
      </c>
      <c r="AQ501" s="58"/>
      <c r="AR501" s="57"/>
    </row>
    <row r="502" spans="1:44" ht="54" customHeight="1" x14ac:dyDescent="0.25">
      <c r="A502" s="78" t="s">
        <v>228</v>
      </c>
      <c r="B502" s="78" t="s">
        <v>229</v>
      </c>
      <c r="C502" s="78" t="s">
        <v>230</v>
      </c>
      <c r="D502" s="107"/>
      <c r="E502" s="81"/>
      <c r="F502" s="78" t="s">
        <v>88</v>
      </c>
      <c r="G502" s="86">
        <v>46151</v>
      </c>
      <c r="H502" s="86">
        <v>46133</v>
      </c>
      <c r="I502" s="81"/>
      <c r="J502" s="81"/>
      <c r="K502" s="78" t="str">
        <f>IF(LEN(D502)=10,"OK","Check")</f>
        <v>Check</v>
      </c>
      <c r="L502" s="78" t="str">
        <f>IF(ISNUMBER(SEARCH("not interested",LOWER(I502&amp;" "&amp;J502))),"Hold","Send")</f>
        <v>Send</v>
      </c>
      <c r="M502" s="78" t="str">
        <f>IF(L502="Hold","Hold",IF(IFERROR(E502,0)&gt;=200,"High",IF(IFERROR(E502,0)&gt;=100,"Medium","Normal")))</f>
        <v>Normal</v>
      </c>
      <c r="N502" s="78" t="s">
        <v>90</v>
      </c>
      <c r="O502" s="78" t="s">
        <v>91</v>
      </c>
      <c r="P502" s="78" t="s">
        <v>92</v>
      </c>
      <c r="Q502" s="91" t="s">
        <v>93</v>
      </c>
      <c r="R502" s="95"/>
      <c r="S502" s="81"/>
      <c r="T502" s="78" t="s">
        <v>31</v>
      </c>
      <c r="U502" s="78" t="s">
        <v>94</v>
      </c>
      <c r="V502" s="78" t="s">
        <v>94</v>
      </c>
      <c r="W502" s="78" t="s">
        <v>95</v>
      </c>
      <c r="X502" s="86" t="str">
        <f>IF(AND(R502&lt;&gt;"",OR(U502="No reply",U502="Unknown")),R502+2,"")</f>
        <v/>
      </c>
      <c r="Y502" s="95"/>
      <c r="Z502" s="78" t="s">
        <v>96</v>
      </c>
      <c r="AA502" s="78" t="str">
        <f>IF(L502="Hold","Do not send",IF(T502="Not sent","Send WhatsApp",IF(U502="Demo booked","Prepare demo",IF(W502="Booked","Prepare demo",IF(AND(X502&lt;&gt;"",Y502=""),"Send follow-up","Review")))))</f>
        <v>Send WhatsApp</v>
      </c>
      <c r="AB502" s="81"/>
      <c r="AC502" s="81"/>
      <c r="AD502" s="97">
        <f>IF(AA502="Prepare demo",1,IF(AA502="Send follow-up",2,IF(AA502="Send WhatsApp",3,IF(AA502="Review",4,IF(AA502="Do not send",9,5)))))</f>
        <v>3</v>
      </c>
      <c r="AE502" s="97">
        <f>IF(M502="High",1,IF(M502="Medium",2,IF(M502="Normal",3,IF(M502="Hold",9,4))))</f>
        <v>3</v>
      </c>
      <c r="AF502" s="97">
        <f>IF(T502="Read",1,IF(T502="Delivered",2,IF(T502="Sent",3,IF(T502="Not sent",4,IF(T502="Failed",9,5)))))</f>
        <v>4</v>
      </c>
      <c r="AG502" s="97">
        <f>IF(U502="Demo booked",1,IF(U502="Interested",2,IF(U502="Replied",3,IF(U502="No reply",5,IF(U502="Not interested",8,IF(U502="Bad number",9,6))))))</f>
        <v>6</v>
      </c>
      <c r="AH502" s="99">
        <f>AD502*1000+AN502*100+AE502*10+AG502</f>
        <v>3136</v>
      </c>
      <c r="AI502" s="100">
        <f>MAX(IF(R502="",0,R502),IF(Y502="",0,Y502))</f>
        <v>0</v>
      </c>
      <c r="AJ502" s="97" t="str">
        <f ca="1">IF(AND(X502&lt;&gt;"",Y502="",X502&lt;TODAY()),"Overdue",IF(AND(X502&lt;&gt;"",Y502="",X502=TODAY()),"Due today",IF(Y502&lt;&gt;"","Follow-up sent","")))</f>
        <v/>
      </c>
      <c r="AK502" s="50" t="s">
        <v>97</v>
      </c>
      <c r="AL502" s="50" t="s">
        <v>98</v>
      </c>
      <c r="AM502" s="50" t="s">
        <v>99</v>
      </c>
      <c r="AN502" s="50">
        <v>1</v>
      </c>
      <c r="AO502" s="55"/>
      <c r="AP502" s="57" t="s">
        <v>127</v>
      </c>
      <c r="AQ502" s="58"/>
      <c r="AR502" s="57"/>
    </row>
    <row r="503" spans="1:44" ht="54" customHeight="1" x14ac:dyDescent="0.25">
      <c r="A503" s="79" t="s">
        <v>84</v>
      </c>
      <c r="B503" s="79" t="s">
        <v>85</v>
      </c>
      <c r="C503" s="79" t="s">
        <v>86</v>
      </c>
      <c r="D503" s="84" t="s">
        <v>87</v>
      </c>
      <c r="E503" s="79">
        <v>200</v>
      </c>
      <c r="F503" s="79" t="s">
        <v>88</v>
      </c>
      <c r="G503" s="87">
        <v>46122</v>
      </c>
      <c r="H503" s="87">
        <v>46128</v>
      </c>
      <c r="I503" s="79" t="s">
        <v>89</v>
      </c>
      <c r="J503" s="80"/>
      <c r="K503" s="79" t="str">
        <f>IF(LEN(D503)=10,"OK","Check")</f>
        <v>OK</v>
      </c>
      <c r="L503" s="79" t="str">
        <f>IF(ISNUMBER(SEARCH("not interested",LOWER(I503&amp;" "&amp;J503))),"Hold","Send")</f>
        <v>Send</v>
      </c>
      <c r="M503" s="79" t="str">
        <f>IF(L503="Hold","Hold",IF(IFERROR(E503,0)&gt;=200,"High",IF(IFERROR(E503,0)&gt;=100,"Medium","Normal")))</f>
        <v>High</v>
      </c>
      <c r="N503" s="79" t="s">
        <v>90</v>
      </c>
      <c r="O503" s="79" t="s">
        <v>91</v>
      </c>
      <c r="P503" s="79" t="s">
        <v>92</v>
      </c>
      <c r="Q503" s="92" t="s">
        <v>93</v>
      </c>
      <c r="R503" s="96"/>
      <c r="S503" s="80"/>
      <c r="T503" s="79" t="s">
        <v>36</v>
      </c>
      <c r="U503" s="79" t="s">
        <v>94</v>
      </c>
      <c r="V503" s="79" t="s">
        <v>94</v>
      </c>
      <c r="W503" s="79" t="s">
        <v>95</v>
      </c>
      <c r="X503" s="87" t="str">
        <f>IF(AND(R503&lt;&gt;"",OR(U503="No reply",U503="Unknown")),R503+2,"")</f>
        <v/>
      </c>
      <c r="Y503" s="96"/>
      <c r="Z503" s="79" t="s">
        <v>96</v>
      </c>
      <c r="AA503" s="79" t="str">
        <f>IF(L503="Hold","Do not send",IF(T503="Not sent","Send WhatsApp",IF(U503="Demo booked","Prepare demo",IF(W503="Booked","Prepare demo",IF(AND(X503&lt;&gt;"",Y503=""),"Send follow-up","Review")))))</f>
        <v>Review</v>
      </c>
      <c r="AB503" s="80"/>
      <c r="AC503" s="80"/>
      <c r="AD503" s="97">
        <f>IF(AA503="Prepare demo",1,IF(AA503="Send follow-up",2,IF(AA503="Send WhatsApp",3,IF(AA503="Review",4,IF(AA503="Do not send",9,5)))))</f>
        <v>4</v>
      </c>
      <c r="AE503" s="97">
        <f>IF(M503="High",1,IF(M503="Medium",2,IF(M503="Normal",3,IF(M503="Hold",9,4))))</f>
        <v>1</v>
      </c>
      <c r="AF503" s="97">
        <f>IF(T503="Read",1,IF(T503="Delivered",2,IF(T503="Sent",3,IF(T503="Not sent",4,IF(T503="Failed",9,5)))))</f>
        <v>2</v>
      </c>
      <c r="AG503" s="97">
        <f>IF(U503="Demo booked",1,IF(U503="Interested",2,IF(U503="Replied",3,IF(U503="No reply",5,IF(U503="Not interested",8,IF(U503="Bad number",9,6))))))</f>
        <v>6</v>
      </c>
      <c r="AH503" s="99">
        <f>AD503*1000+AN503*100+AE503*10+AG503</f>
        <v>4116</v>
      </c>
      <c r="AI503" s="100">
        <f>MAX(IF(R503="",0,R503),IF(Y503="",0,Y503))</f>
        <v>0</v>
      </c>
      <c r="AJ503" s="97" t="str">
        <f ca="1">IF(AND(X503&lt;&gt;"",Y503="",X503&lt;TODAY()),"Overdue",IF(AND(X503&lt;&gt;"",Y503="",X503=TODAY()),"Due today",IF(Y503&lt;&gt;"","Follow-up sent","")))</f>
        <v/>
      </c>
      <c r="AK503" s="50" t="s">
        <v>97</v>
      </c>
      <c r="AL503" s="50" t="s">
        <v>98</v>
      </c>
      <c r="AM503" s="50" t="s">
        <v>99</v>
      </c>
      <c r="AN503" s="50">
        <v>1</v>
      </c>
      <c r="AO503" s="54" t="s">
        <v>100</v>
      </c>
      <c r="AP503" s="102" t="s">
        <v>101</v>
      </c>
      <c r="AQ503" s="104">
        <v>46161.623923611107</v>
      </c>
      <c r="AR503" s="102" t="s">
        <v>102</v>
      </c>
    </row>
    <row r="504" spans="1:44" ht="54" customHeight="1" x14ac:dyDescent="0.25">
      <c r="A504" s="79" t="s">
        <v>109</v>
      </c>
      <c r="B504" s="79" t="s">
        <v>110</v>
      </c>
      <c r="C504" s="79" t="s">
        <v>111</v>
      </c>
      <c r="D504" s="84" t="s">
        <v>112</v>
      </c>
      <c r="E504" s="79">
        <v>300</v>
      </c>
      <c r="F504" s="79" t="s">
        <v>88</v>
      </c>
      <c r="G504" s="87">
        <v>46154</v>
      </c>
      <c r="H504" s="87">
        <v>46130</v>
      </c>
      <c r="I504" s="79" t="s">
        <v>113</v>
      </c>
      <c r="J504" s="80"/>
      <c r="K504" s="79" t="str">
        <f>IF(LEN(D504)=10,"OK","Check")</f>
        <v>OK</v>
      </c>
      <c r="L504" s="79" t="str">
        <f>IF(ISNUMBER(SEARCH("not interested",LOWER(I504&amp;" "&amp;J504))),"Hold","Send")</f>
        <v>Send</v>
      </c>
      <c r="M504" s="79" t="str">
        <f>IF(L504="Hold","Hold",IF(IFERROR(E504,0)&gt;=200,"High",IF(IFERROR(E504,0)&gt;=100,"Medium","Normal")))</f>
        <v>High</v>
      </c>
      <c r="N504" s="79" t="s">
        <v>90</v>
      </c>
      <c r="O504" s="79" t="s">
        <v>91</v>
      </c>
      <c r="P504" s="79" t="s">
        <v>92</v>
      </c>
      <c r="Q504" s="92" t="s">
        <v>93</v>
      </c>
      <c r="R504" s="96"/>
      <c r="S504" s="80"/>
      <c r="T504" s="79" t="s">
        <v>36</v>
      </c>
      <c r="U504" s="79" t="s">
        <v>94</v>
      </c>
      <c r="V504" s="79" t="s">
        <v>94</v>
      </c>
      <c r="W504" s="79" t="s">
        <v>95</v>
      </c>
      <c r="X504" s="87" t="str">
        <f>IF(AND(R504&lt;&gt;"",OR(U504="No reply",U504="Unknown")),R504+2,"")</f>
        <v/>
      </c>
      <c r="Y504" s="96"/>
      <c r="Z504" s="79" t="s">
        <v>96</v>
      </c>
      <c r="AA504" s="79" t="str">
        <f>IF(L504="Hold","Do not send",IF(T504="Not sent","Send WhatsApp",IF(U504="Demo booked","Prepare demo",IF(W504="Booked","Prepare demo",IF(AND(X504&lt;&gt;"",Y504=""),"Send follow-up","Review")))))</f>
        <v>Review</v>
      </c>
      <c r="AB504" s="80"/>
      <c r="AC504" s="80"/>
      <c r="AD504" s="97">
        <f>IF(AA504="Prepare demo",1,IF(AA504="Send follow-up",2,IF(AA504="Send WhatsApp",3,IF(AA504="Review",4,IF(AA504="Do not send",9,5)))))</f>
        <v>4</v>
      </c>
      <c r="AE504" s="97">
        <f>IF(M504="High",1,IF(M504="Medium",2,IF(M504="Normal",3,IF(M504="Hold",9,4))))</f>
        <v>1</v>
      </c>
      <c r="AF504" s="97">
        <f>IF(T504="Read",1,IF(T504="Delivered",2,IF(T504="Sent",3,IF(T504="Not sent",4,IF(T504="Failed",9,5)))))</f>
        <v>2</v>
      </c>
      <c r="AG504" s="97">
        <f>IF(U504="Demo booked",1,IF(U504="Interested",2,IF(U504="Replied",3,IF(U504="No reply",5,IF(U504="Not interested",8,IF(U504="Bad number",9,6))))))</f>
        <v>6</v>
      </c>
      <c r="AH504" s="99">
        <f>AD504*1000+AN504*100+AE504*10+AG504</f>
        <v>4116</v>
      </c>
      <c r="AI504" s="100">
        <f>MAX(IF(R504="",0,R504),IF(Y504="",0,Y504))</f>
        <v>0</v>
      </c>
      <c r="AJ504" s="97" t="str">
        <f ca="1">IF(AND(X504&lt;&gt;"",Y504="",X504&lt;TODAY()),"Overdue",IF(AND(X504&lt;&gt;"",Y504="",X504=TODAY()),"Due today",IF(Y504&lt;&gt;"","Follow-up sent","")))</f>
        <v/>
      </c>
      <c r="AK504" s="50" t="s">
        <v>97</v>
      </c>
      <c r="AL504" s="50" t="s">
        <v>98</v>
      </c>
      <c r="AM504" s="50" t="s">
        <v>99</v>
      </c>
      <c r="AN504" s="50">
        <v>1</v>
      </c>
      <c r="AO504" s="54" t="s">
        <v>114</v>
      </c>
      <c r="AP504" s="102" t="s">
        <v>101</v>
      </c>
      <c r="AQ504" s="104">
        <v>46161.624525462961</v>
      </c>
      <c r="AR504" s="102" t="s">
        <v>102</v>
      </c>
    </row>
    <row r="505" spans="1:44" ht="54" customHeight="1" x14ac:dyDescent="0.25">
      <c r="A505" s="79" t="s">
        <v>133</v>
      </c>
      <c r="B505" s="79" t="s">
        <v>134</v>
      </c>
      <c r="C505" s="80"/>
      <c r="D505" s="84" t="s">
        <v>135</v>
      </c>
      <c r="E505" s="80"/>
      <c r="F505" s="79" t="s">
        <v>88</v>
      </c>
      <c r="G505" s="87">
        <v>46117</v>
      </c>
      <c r="H505" s="89">
        <v>46136</v>
      </c>
      <c r="I505" s="79" t="s">
        <v>136</v>
      </c>
      <c r="J505" s="80"/>
      <c r="K505" s="79" t="str">
        <f>IF(LEN(D505)=10,"OK","Check")</f>
        <v>OK</v>
      </c>
      <c r="L505" s="79" t="str">
        <f>IF(ISNUMBER(SEARCH("not interested",LOWER(I505&amp;" "&amp;J505))),"Hold","Send")</f>
        <v>Send</v>
      </c>
      <c r="M505" s="79" t="str">
        <f>IF(L505="Hold","Hold",IF(IFERROR(E505,0)&gt;=200,"High",IF(IFERROR(E505,0)&gt;=100,"Medium","Normal")))</f>
        <v>Normal</v>
      </c>
      <c r="N505" s="79" t="s">
        <v>90</v>
      </c>
      <c r="O505" s="79" t="s">
        <v>91</v>
      </c>
      <c r="P505" s="79" t="s">
        <v>92</v>
      </c>
      <c r="Q505" s="92" t="s">
        <v>93</v>
      </c>
      <c r="R505" s="96"/>
      <c r="S505" s="80"/>
      <c r="T505" s="79" t="s">
        <v>36</v>
      </c>
      <c r="U505" s="79" t="s">
        <v>94</v>
      </c>
      <c r="V505" s="79" t="s">
        <v>94</v>
      </c>
      <c r="W505" s="79" t="s">
        <v>95</v>
      </c>
      <c r="X505" s="87" t="str">
        <f>IF(AND(R505&lt;&gt;"",OR(U505="No reply",U505="Unknown")),R505+2,"")</f>
        <v/>
      </c>
      <c r="Y505" s="96"/>
      <c r="Z505" s="79" t="s">
        <v>96</v>
      </c>
      <c r="AA505" s="79" t="str">
        <f>IF(L505="Hold","Do not send",IF(T505="Not sent","Send WhatsApp",IF(U505="Demo booked","Prepare demo",IF(W505="Booked","Prepare demo",IF(AND(X505&lt;&gt;"",Y505=""),"Send follow-up","Review")))))</f>
        <v>Review</v>
      </c>
      <c r="AB505" s="80"/>
      <c r="AC505" s="80"/>
      <c r="AD505" s="97">
        <f>IF(AA505="Prepare demo",1,IF(AA505="Send follow-up",2,IF(AA505="Send WhatsApp",3,IF(AA505="Review",4,IF(AA505="Do not send",9,5)))))</f>
        <v>4</v>
      </c>
      <c r="AE505" s="97">
        <f>IF(M505="High",1,IF(M505="Medium",2,IF(M505="Normal",3,IF(M505="Hold",9,4))))</f>
        <v>3</v>
      </c>
      <c r="AF505" s="97">
        <f>IF(T505="Read",1,IF(T505="Delivered",2,IF(T505="Sent",3,IF(T505="Not sent",4,IF(T505="Failed",9,5)))))</f>
        <v>2</v>
      </c>
      <c r="AG505" s="97">
        <f>IF(U505="Demo booked",1,IF(U505="Interested",2,IF(U505="Replied",3,IF(U505="No reply",5,IF(U505="Not interested",8,IF(U505="Bad number",9,6))))))</f>
        <v>6</v>
      </c>
      <c r="AH505" s="99">
        <f>AD505*1000+AN505*100+AE505*10+AG505</f>
        <v>4136</v>
      </c>
      <c r="AI505" s="100">
        <f>MAX(IF(R505="",0,R505),IF(Y505="",0,Y505))</f>
        <v>0</v>
      </c>
      <c r="AJ505" s="97" t="str">
        <f ca="1">IF(AND(X505&lt;&gt;"",Y505="",X505&lt;TODAY()),"Overdue",IF(AND(X505&lt;&gt;"",Y505="",X505=TODAY()),"Due today",IF(Y505&lt;&gt;"","Follow-up sent","")))</f>
        <v/>
      </c>
      <c r="AK505" s="50" t="s">
        <v>97</v>
      </c>
      <c r="AL505" s="50" t="s">
        <v>98</v>
      </c>
      <c r="AM505" s="50" t="s">
        <v>99</v>
      </c>
      <c r="AN505" s="50">
        <v>1</v>
      </c>
      <c r="AO505" s="54" t="s">
        <v>137</v>
      </c>
      <c r="AP505" s="102" t="s">
        <v>101</v>
      </c>
      <c r="AQ505" s="104">
        <v>46161.6250462963</v>
      </c>
      <c r="AR505" s="102" t="s">
        <v>102</v>
      </c>
    </row>
    <row r="506" spans="1:44" ht="54" customHeight="1" x14ac:dyDescent="0.25">
      <c r="A506" s="79" t="s">
        <v>142</v>
      </c>
      <c r="B506" s="79" t="s">
        <v>143</v>
      </c>
      <c r="C506" s="80"/>
      <c r="D506" s="84" t="s">
        <v>144</v>
      </c>
      <c r="E506" s="80"/>
      <c r="F506" s="79" t="s">
        <v>88</v>
      </c>
      <c r="G506" s="87">
        <v>46121</v>
      </c>
      <c r="H506" s="89">
        <v>46136</v>
      </c>
      <c r="I506" s="79" t="s">
        <v>136</v>
      </c>
      <c r="J506" s="80"/>
      <c r="K506" s="79" t="str">
        <f>IF(LEN(D506)=10,"OK","Check")</f>
        <v>OK</v>
      </c>
      <c r="L506" s="79" t="str">
        <f>IF(ISNUMBER(SEARCH("not interested",LOWER(I506&amp;" "&amp;J506))),"Hold","Send")</f>
        <v>Send</v>
      </c>
      <c r="M506" s="79" t="str">
        <f>IF(L506="Hold","Hold",IF(IFERROR(E506,0)&gt;=200,"High",IF(IFERROR(E506,0)&gt;=100,"Medium","Normal")))</f>
        <v>Normal</v>
      </c>
      <c r="N506" s="79" t="s">
        <v>90</v>
      </c>
      <c r="O506" s="79" t="s">
        <v>91</v>
      </c>
      <c r="P506" s="79" t="s">
        <v>92</v>
      </c>
      <c r="Q506" s="92" t="s">
        <v>93</v>
      </c>
      <c r="R506" s="96"/>
      <c r="S506" s="80"/>
      <c r="T506" s="79" t="s">
        <v>36</v>
      </c>
      <c r="U506" s="79" t="s">
        <v>94</v>
      </c>
      <c r="V506" s="79" t="s">
        <v>94</v>
      </c>
      <c r="W506" s="79" t="s">
        <v>95</v>
      </c>
      <c r="X506" s="87" t="str">
        <f>IF(AND(R506&lt;&gt;"",OR(U506="No reply",U506="Unknown")),R506+2,"")</f>
        <v/>
      </c>
      <c r="Y506" s="96"/>
      <c r="Z506" s="79" t="s">
        <v>96</v>
      </c>
      <c r="AA506" s="79" t="str">
        <f>IF(L506="Hold","Do not send",IF(T506="Not sent","Send WhatsApp",IF(U506="Demo booked","Prepare demo",IF(W506="Booked","Prepare demo",IF(AND(X506&lt;&gt;"",Y506=""),"Send follow-up","Review")))))</f>
        <v>Review</v>
      </c>
      <c r="AB506" s="80"/>
      <c r="AC506" s="80"/>
      <c r="AD506" s="97">
        <f>IF(AA506="Prepare demo",1,IF(AA506="Send follow-up",2,IF(AA506="Send WhatsApp",3,IF(AA506="Review",4,IF(AA506="Do not send",9,5)))))</f>
        <v>4</v>
      </c>
      <c r="AE506" s="97">
        <f>IF(M506="High",1,IF(M506="Medium",2,IF(M506="Normal",3,IF(M506="Hold",9,4))))</f>
        <v>3</v>
      </c>
      <c r="AF506" s="97">
        <f>IF(T506="Read",1,IF(T506="Delivered",2,IF(T506="Sent",3,IF(T506="Not sent",4,IF(T506="Failed",9,5)))))</f>
        <v>2</v>
      </c>
      <c r="AG506" s="97">
        <f>IF(U506="Demo booked",1,IF(U506="Interested",2,IF(U506="Replied",3,IF(U506="No reply",5,IF(U506="Not interested",8,IF(U506="Bad number",9,6))))))</f>
        <v>6</v>
      </c>
      <c r="AH506" s="99">
        <f>AD506*1000+AN506*100+AE506*10+AG506</f>
        <v>4136</v>
      </c>
      <c r="AI506" s="100">
        <f>MAX(IF(R506="",0,R506),IF(Y506="",0,Y506))</f>
        <v>0</v>
      </c>
      <c r="AJ506" s="97" t="str">
        <f ca="1">IF(AND(X506&lt;&gt;"",Y506="",X506&lt;TODAY()),"Overdue",IF(AND(X506&lt;&gt;"",Y506="",X506=TODAY()),"Due today",IF(Y506&lt;&gt;"","Follow-up sent","")))</f>
        <v/>
      </c>
      <c r="AK506" s="50" t="s">
        <v>97</v>
      </c>
      <c r="AL506" s="50" t="s">
        <v>98</v>
      </c>
      <c r="AM506" s="50" t="s">
        <v>99</v>
      </c>
      <c r="AN506" s="50">
        <v>1</v>
      </c>
      <c r="AO506" s="54" t="s">
        <v>145</v>
      </c>
      <c r="AP506" s="102" t="s">
        <v>101</v>
      </c>
      <c r="AQ506" s="104">
        <v>46161.625543981478</v>
      </c>
      <c r="AR506" s="102" t="s">
        <v>102</v>
      </c>
    </row>
    <row r="507" spans="1:44" ht="54" customHeight="1" x14ac:dyDescent="0.25">
      <c r="A507" s="79" t="s">
        <v>151</v>
      </c>
      <c r="B507" s="79" t="s">
        <v>152</v>
      </c>
      <c r="C507" s="80"/>
      <c r="D507" s="84" t="s">
        <v>153</v>
      </c>
      <c r="E507" s="80"/>
      <c r="F507" s="79" t="s">
        <v>88</v>
      </c>
      <c r="G507" s="87">
        <v>46140</v>
      </c>
      <c r="H507" s="89">
        <v>46139</v>
      </c>
      <c r="I507" s="79" t="s">
        <v>154</v>
      </c>
      <c r="J507" s="79" t="s">
        <v>155</v>
      </c>
      <c r="K507" s="79" t="str">
        <f>IF(LEN(D507)=10,"OK","Check")</f>
        <v>OK</v>
      </c>
      <c r="L507" s="79" t="str">
        <f>IF(ISNUMBER(SEARCH("not interested",LOWER(I507&amp;" "&amp;J507))),"Hold","Send")</f>
        <v>Send</v>
      </c>
      <c r="M507" s="79" t="str">
        <f>IF(L507="Hold","Hold",IF(IFERROR(E507,0)&gt;=200,"High",IF(IFERROR(E507,0)&gt;=100,"Medium","Normal")))</f>
        <v>Normal</v>
      </c>
      <c r="N507" s="79" t="s">
        <v>90</v>
      </c>
      <c r="O507" s="79" t="s">
        <v>91</v>
      </c>
      <c r="P507" s="79" t="s">
        <v>92</v>
      </c>
      <c r="Q507" s="92" t="s">
        <v>93</v>
      </c>
      <c r="R507" s="96"/>
      <c r="S507" s="80"/>
      <c r="T507" s="79" t="s">
        <v>36</v>
      </c>
      <c r="U507" s="79" t="s">
        <v>94</v>
      </c>
      <c r="V507" s="79" t="s">
        <v>94</v>
      </c>
      <c r="W507" s="79" t="s">
        <v>95</v>
      </c>
      <c r="X507" s="87" t="str">
        <f>IF(AND(R507&lt;&gt;"",OR(U507="No reply",U507="Unknown")),R507+2,"")</f>
        <v/>
      </c>
      <c r="Y507" s="96"/>
      <c r="Z507" s="79" t="s">
        <v>96</v>
      </c>
      <c r="AA507" s="79" t="str">
        <f>IF(L507="Hold","Do not send",IF(T507="Not sent","Send WhatsApp",IF(U507="Demo booked","Prepare demo",IF(W507="Booked","Prepare demo",IF(AND(X507&lt;&gt;"",Y507=""),"Send follow-up","Review")))))</f>
        <v>Review</v>
      </c>
      <c r="AB507" s="80"/>
      <c r="AC507" s="80"/>
      <c r="AD507" s="97">
        <f>IF(AA507="Prepare demo",1,IF(AA507="Send follow-up",2,IF(AA507="Send WhatsApp",3,IF(AA507="Review",4,IF(AA507="Do not send",9,5)))))</f>
        <v>4</v>
      </c>
      <c r="AE507" s="97">
        <f>IF(M507="High",1,IF(M507="Medium",2,IF(M507="Normal",3,IF(M507="Hold",9,4))))</f>
        <v>3</v>
      </c>
      <c r="AF507" s="97">
        <f>IF(T507="Read",1,IF(T507="Delivered",2,IF(T507="Sent",3,IF(T507="Not sent",4,IF(T507="Failed",9,5)))))</f>
        <v>2</v>
      </c>
      <c r="AG507" s="97">
        <f>IF(U507="Demo booked",1,IF(U507="Interested",2,IF(U507="Replied",3,IF(U507="No reply",5,IF(U507="Not interested",8,IF(U507="Bad number",9,6))))))</f>
        <v>6</v>
      </c>
      <c r="AH507" s="99">
        <f>AD507*1000+AN507*100+AE507*10+AG507</f>
        <v>4136</v>
      </c>
      <c r="AI507" s="100">
        <f>MAX(IF(R507="",0,R507),IF(Y507="",0,Y507))</f>
        <v>0</v>
      </c>
      <c r="AJ507" s="97" t="str">
        <f ca="1">IF(AND(X507&lt;&gt;"",Y507="",X507&lt;TODAY()),"Overdue",IF(AND(X507&lt;&gt;"",Y507="",X507=TODAY()),"Due today",IF(Y507&lt;&gt;"","Follow-up sent","")))</f>
        <v/>
      </c>
      <c r="AK507" s="50" t="s">
        <v>97</v>
      </c>
      <c r="AL507" s="50" t="s">
        <v>98</v>
      </c>
      <c r="AM507" s="50" t="s">
        <v>99</v>
      </c>
      <c r="AN507" s="50">
        <v>1</v>
      </c>
      <c r="AO507" s="54" t="s">
        <v>156</v>
      </c>
      <c r="AP507" s="102" t="s">
        <v>101</v>
      </c>
      <c r="AQ507" s="104">
        <v>46161.626018518517</v>
      </c>
      <c r="AR507" s="102" t="s">
        <v>102</v>
      </c>
    </row>
    <row r="508" spans="1:44" ht="54" customHeight="1" x14ac:dyDescent="0.25">
      <c r="A508" s="79" t="s">
        <v>165</v>
      </c>
      <c r="B508" s="79" t="s">
        <v>166</v>
      </c>
      <c r="C508" s="79" t="s">
        <v>167</v>
      </c>
      <c r="D508" s="84" t="s">
        <v>168</v>
      </c>
      <c r="E508" s="80"/>
      <c r="F508" s="79" t="s">
        <v>88</v>
      </c>
      <c r="G508" s="87">
        <v>46146</v>
      </c>
      <c r="H508" s="89">
        <v>46136</v>
      </c>
      <c r="I508" s="79" t="s">
        <v>136</v>
      </c>
      <c r="J508" s="80"/>
      <c r="K508" s="79" t="str">
        <f>IF(LEN(D508)=10,"OK","Check")</f>
        <v>OK</v>
      </c>
      <c r="L508" s="79" t="str">
        <f>IF(ISNUMBER(SEARCH("not interested",LOWER(I508&amp;" "&amp;J508))),"Hold","Send")</f>
        <v>Send</v>
      </c>
      <c r="M508" s="79" t="str">
        <f>IF(L508="Hold","Hold",IF(IFERROR(E508,0)&gt;=200,"High",IF(IFERROR(E508,0)&gt;=100,"Medium","Normal")))</f>
        <v>Normal</v>
      </c>
      <c r="N508" s="79" t="s">
        <v>90</v>
      </c>
      <c r="O508" s="79" t="s">
        <v>91</v>
      </c>
      <c r="P508" s="79" t="s">
        <v>92</v>
      </c>
      <c r="Q508" s="92" t="s">
        <v>93</v>
      </c>
      <c r="R508" s="96"/>
      <c r="S508" s="80"/>
      <c r="T508" s="79" t="s">
        <v>36</v>
      </c>
      <c r="U508" s="79" t="s">
        <v>94</v>
      </c>
      <c r="V508" s="79" t="s">
        <v>94</v>
      </c>
      <c r="W508" s="79" t="s">
        <v>95</v>
      </c>
      <c r="X508" s="87" t="str">
        <f>IF(AND(R508&lt;&gt;"",OR(U508="No reply",U508="Unknown")),R508+2,"")</f>
        <v/>
      </c>
      <c r="Y508" s="96"/>
      <c r="Z508" s="79" t="s">
        <v>96</v>
      </c>
      <c r="AA508" s="79" t="str">
        <f>IF(L508="Hold","Do not send",IF(T508="Not sent","Send WhatsApp",IF(U508="Demo booked","Prepare demo",IF(W508="Booked","Prepare demo",IF(AND(X508&lt;&gt;"",Y508=""),"Send follow-up","Review")))))</f>
        <v>Review</v>
      </c>
      <c r="AB508" s="80"/>
      <c r="AC508" s="80"/>
      <c r="AD508" s="97">
        <f>IF(AA508="Prepare demo",1,IF(AA508="Send follow-up",2,IF(AA508="Send WhatsApp",3,IF(AA508="Review",4,IF(AA508="Do not send",9,5)))))</f>
        <v>4</v>
      </c>
      <c r="AE508" s="97">
        <f>IF(M508="High",1,IF(M508="Medium",2,IF(M508="Normal",3,IF(M508="Hold",9,4))))</f>
        <v>3</v>
      </c>
      <c r="AF508" s="97">
        <f>IF(T508="Read",1,IF(T508="Delivered",2,IF(T508="Sent",3,IF(T508="Not sent",4,IF(T508="Failed",9,5)))))</f>
        <v>2</v>
      </c>
      <c r="AG508" s="97">
        <f>IF(U508="Demo booked",1,IF(U508="Interested",2,IF(U508="Replied",3,IF(U508="No reply",5,IF(U508="Not interested",8,IF(U508="Bad number",9,6))))))</f>
        <v>6</v>
      </c>
      <c r="AH508" s="99">
        <f>AD508*1000+AN508*100+AE508*10+AG508</f>
        <v>4136</v>
      </c>
      <c r="AI508" s="100">
        <f>MAX(IF(R508="",0,R508),IF(Y508="",0,Y508))</f>
        <v>0</v>
      </c>
      <c r="AJ508" s="97" t="str">
        <f ca="1">IF(AND(X508&lt;&gt;"",Y508="",X508&lt;TODAY()),"Overdue",IF(AND(X508&lt;&gt;"",Y508="",X508=TODAY()),"Due today",IF(Y508&lt;&gt;"","Follow-up sent","")))</f>
        <v/>
      </c>
      <c r="AK508" s="50" t="s">
        <v>97</v>
      </c>
      <c r="AL508" s="50" t="s">
        <v>98</v>
      </c>
      <c r="AM508" s="50" t="s">
        <v>99</v>
      </c>
      <c r="AN508" s="50">
        <v>1</v>
      </c>
      <c r="AO508" s="54" t="s">
        <v>169</v>
      </c>
      <c r="AP508" s="102" t="s">
        <v>101</v>
      </c>
      <c r="AQ508" s="104">
        <v>46161.626793981479</v>
      </c>
      <c r="AR508" s="102" t="s">
        <v>102</v>
      </c>
    </row>
    <row r="509" spans="1:44" ht="54" customHeight="1" x14ac:dyDescent="0.25">
      <c r="A509" s="79" t="s">
        <v>175</v>
      </c>
      <c r="B509" s="79" t="s">
        <v>176</v>
      </c>
      <c r="C509" s="80"/>
      <c r="D509" s="84" t="s">
        <v>177</v>
      </c>
      <c r="E509" s="80"/>
      <c r="F509" s="79" t="s">
        <v>88</v>
      </c>
      <c r="G509" s="87">
        <v>46146</v>
      </c>
      <c r="H509" s="89">
        <v>46136</v>
      </c>
      <c r="I509" s="79" t="s">
        <v>154</v>
      </c>
      <c r="J509" s="80"/>
      <c r="K509" s="79" t="str">
        <f>IF(LEN(D509)=10,"OK","Check")</f>
        <v>OK</v>
      </c>
      <c r="L509" s="79" t="str">
        <f>IF(ISNUMBER(SEARCH("not interested",LOWER(I509&amp;" "&amp;J509))),"Hold","Send")</f>
        <v>Send</v>
      </c>
      <c r="M509" s="79" t="str">
        <f>IF(L509="Hold","Hold",IF(IFERROR(E509,0)&gt;=200,"High",IF(IFERROR(E509,0)&gt;=100,"Medium","Normal")))</f>
        <v>Normal</v>
      </c>
      <c r="N509" s="79" t="s">
        <v>90</v>
      </c>
      <c r="O509" s="79" t="s">
        <v>91</v>
      </c>
      <c r="P509" s="79" t="s">
        <v>92</v>
      </c>
      <c r="Q509" s="92" t="s">
        <v>93</v>
      </c>
      <c r="R509" s="96"/>
      <c r="S509" s="80"/>
      <c r="T509" s="79" t="s">
        <v>36</v>
      </c>
      <c r="U509" s="79" t="s">
        <v>94</v>
      </c>
      <c r="V509" s="79" t="s">
        <v>94</v>
      </c>
      <c r="W509" s="79" t="s">
        <v>95</v>
      </c>
      <c r="X509" s="87" t="str">
        <f>IF(AND(R509&lt;&gt;"",OR(U509="No reply",U509="Unknown")),R509+2,"")</f>
        <v/>
      </c>
      <c r="Y509" s="96"/>
      <c r="Z509" s="79" t="s">
        <v>96</v>
      </c>
      <c r="AA509" s="79" t="str">
        <f>IF(L509="Hold","Do not send",IF(T509="Not sent","Send WhatsApp",IF(U509="Demo booked","Prepare demo",IF(W509="Booked","Prepare demo",IF(AND(X509&lt;&gt;"",Y509=""),"Send follow-up","Review")))))</f>
        <v>Review</v>
      </c>
      <c r="AB509" s="80"/>
      <c r="AC509" s="80"/>
      <c r="AD509" s="97">
        <f>IF(AA509="Prepare demo",1,IF(AA509="Send follow-up",2,IF(AA509="Send WhatsApp",3,IF(AA509="Review",4,IF(AA509="Do not send",9,5)))))</f>
        <v>4</v>
      </c>
      <c r="AE509" s="97">
        <f>IF(M509="High",1,IF(M509="Medium",2,IF(M509="Normal",3,IF(M509="Hold",9,4))))</f>
        <v>3</v>
      </c>
      <c r="AF509" s="97">
        <f>IF(T509="Read",1,IF(T509="Delivered",2,IF(T509="Sent",3,IF(T509="Not sent",4,IF(T509="Failed",9,5)))))</f>
        <v>2</v>
      </c>
      <c r="AG509" s="97">
        <f>IF(U509="Demo booked",1,IF(U509="Interested",2,IF(U509="Replied",3,IF(U509="No reply",5,IF(U509="Not interested",8,IF(U509="Bad number",9,6))))))</f>
        <v>6</v>
      </c>
      <c r="AH509" s="99">
        <f>AD509*1000+AN509*100+AE509*10+AG509</f>
        <v>4136</v>
      </c>
      <c r="AI509" s="100">
        <f>MAX(IF(R509="",0,R509),IF(Y509="",0,Y509))</f>
        <v>0</v>
      </c>
      <c r="AJ509" s="97" t="str">
        <f ca="1">IF(AND(X509&lt;&gt;"",Y509="",X509&lt;TODAY()),"Overdue",IF(AND(X509&lt;&gt;"",Y509="",X509=TODAY()),"Due today",IF(Y509&lt;&gt;"","Follow-up sent","")))</f>
        <v/>
      </c>
      <c r="AK509" s="50" t="s">
        <v>97</v>
      </c>
      <c r="AL509" s="50" t="s">
        <v>98</v>
      </c>
      <c r="AM509" s="50" t="s">
        <v>99</v>
      </c>
      <c r="AN509" s="50">
        <v>1</v>
      </c>
      <c r="AO509" s="54" t="s">
        <v>178</v>
      </c>
      <c r="AP509" s="102" t="s">
        <v>101</v>
      </c>
      <c r="AQ509" s="104">
        <v>46161.627280092587</v>
      </c>
      <c r="AR509" s="102" t="s">
        <v>102</v>
      </c>
    </row>
    <row r="510" spans="1:44" ht="54" customHeight="1" x14ac:dyDescent="0.25">
      <c r="A510" s="79" t="s">
        <v>189</v>
      </c>
      <c r="B510" s="79" t="s">
        <v>190</v>
      </c>
      <c r="C510" s="80"/>
      <c r="D510" s="84" t="s">
        <v>191</v>
      </c>
      <c r="E510" s="80"/>
      <c r="F510" s="79" t="s">
        <v>88</v>
      </c>
      <c r="G510" s="87">
        <v>46147</v>
      </c>
      <c r="H510" s="87">
        <v>46136</v>
      </c>
      <c r="I510" s="79" t="s">
        <v>136</v>
      </c>
      <c r="J510" s="80"/>
      <c r="K510" s="79" t="str">
        <f>IF(LEN(D510)=10,"OK","Check")</f>
        <v>OK</v>
      </c>
      <c r="L510" s="79" t="str">
        <f>IF(ISNUMBER(SEARCH("not interested",LOWER(I510&amp;" "&amp;J510))),"Hold","Send")</f>
        <v>Send</v>
      </c>
      <c r="M510" s="79" t="str">
        <f>IF(L510="Hold","Hold",IF(IFERROR(E510,0)&gt;=200,"High",IF(IFERROR(E510,0)&gt;=100,"Medium","Normal")))</f>
        <v>Normal</v>
      </c>
      <c r="N510" s="79" t="s">
        <v>90</v>
      </c>
      <c r="O510" s="79" t="s">
        <v>91</v>
      </c>
      <c r="P510" s="79" t="s">
        <v>92</v>
      </c>
      <c r="Q510" s="92" t="s">
        <v>93</v>
      </c>
      <c r="R510" s="96"/>
      <c r="S510" s="80"/>
      <c r="T510" s="79" t="s">
        <v>36</v>
      </c>
      <c r="U510" s="79" t="s">
        <v>94</v>
      </c>
      <c r="V510" s="79" t="s">
        <v>94</v>
      </c>
      <c r="W510" s="79" t="s">
        <v>95</v>
      </c>
      <c r="X510" s="87" t="str">
        <f>IF(AND(R510&lt;&gt;"",OR(U510="No reply",U510="Unknown")),R510+2,"")</f>
        <v/>
      </c>
      <c r="Y510" s="96"/>
      <c r="Z510" s="79" t="s">
        <v>96</v>
      </c>
      <c r="AA510" s="79" t="str">
        <f>IF(L510="Hold","Do not send",IF(T510="Not sent","Send WhatsApp",IF(U510="Demo booked","Prepare demo",IF(W510="Booked","Prepare demo",IF(AND(X510&lt;&gt;"",Y510=""),"Send follow-up","Review")))))</f>
        <v>Review</v>
      </c>
      <c r="AB510" s="80"/>
      <c r="AC510" s="80"/>
      <c r="AD510" s="97">
        <f>IF(AA510="Prepare demo",1,IF(AA510="Send follow-up",2,IF(AA510="Send WhatsApp",3,IF(AA510="Review",4,IF(AA510="Do not send",9,5)))))</f>
        <v>4</v>
      </c>
      <c r="AE510" s="97">
        <f>IF(M510="High",1,IF(M510="Medium",2,IF(M510="Normal",3,IF(M510="Hold",9,4))))</f>
        <v>3</v>
      </c>
      <c r="AF510" s="97">
        <f>IF(T510="Read",1,IF(T510="Delivered",2,IF(T510="Sent",3,IF(T510="Not sent",4,IF(T510="Failed",9,5)))))</f>
        <v>2</v>
      </c>
      <c r="AG510" s="97">
        <f>IF(U510="Demo booked",1,IF(U510="Interested",2,IF(U510="Replied",3,IF(U510="No reply",5,IF(U510="Not interested",8,IF(U510="Bad number",9,6))))))</f>
        <v>6</v>
      </c>
      <c r="AH510" s="99">
        <f>AD510*1000+AN510*100+AE510*10+AG510</f>
        <v>4136</v>
      </c>
      <c r="AI510" s="100">
        <f>MAX(IF(R510="",0,R510),IF(Y510="",0,Y510))</f>
        <v>0</v>
      </c>
      <c r="AJ510" s="97" t="str">
        <f ca="1">IF(AND(X510&lt;&gt;"",Y510="",X510&lt;TODAY()),"Overdue",IF(AND(X510&lt;&gt;"",Y510="",X510=TODAY()),"Due today",IF(Y510&lt;&gt;"","Follow-up sent","")))</f>
        <v/>
      </c>
      <c r="AK510" s="50" t="s">
        <v>97</v>
      </c>
      <c r="AL510" s="50" t="s">
        <v>98</v>
      </c>
      <c r="AM510" s="50" t="s">
        <v>99</v>
      </c>
      <c r="AN510" s="50">
        <v>1</v>
      </c>
      <c r="AO510" s="54" t="s">
        <v>192</v>
      </c>
      <c r="AP510" s="102" t="s">
        <v>101</v>
      </c>
      <c r="AQ510" s="104">
        <v>46161.628344907411</v>
      </c>
      <c r="AR510" s="102" t="s">
        <v>102</v>
      </c>
    </row>
    <row r="511" spans="1:44" ht="54" customHeight="1" x14ac:dyDescent="0.25">
      <c r="A511" s="79" t="s">
        <v>203</v>
      </c>
      <c r="B511" s="79" t="s">
        <v>204</v>
      </c>
      <c r="C511" s="79" t="s">
        <v>205</v>
      </c>
      <c r="D511" s="84" t="s">
        <v>206</v>
      </c>
      <c r="E511" s="80"/>
      <c r="F511" s="79" t="s">
        <v>88</v>
      </c>
      <c r="G511" s="87">
        <v>46148</v>
      </c>
      <c r="H511" s="87">
        <v>46136</v>
      </c>
      <c r="I511" s="79" t="s">
        <v>154</v>
      </c>
      <c r="J511" s="80"/>
      <c r="K511" s="79" t="str">
        <f>IF(LEN(D511)=10,"OK","Check")</f>
        <v>OK</v>
      </c>
      <c r="L511" s="79" t="str">
        <f>IF(ISNUMBER(SEARCH("not interested",LOWER(I511&amp;" "&amp;J511))),"Hold","Send")</f>
        <v>Send</v>
      </c>
      <c r="M511" s="79" t="str">
        <f>IF(L511="Hold","Hold",IF(IFERROR(E511,0)&gt;=200,"High",IF(IFERROR(E511,0)&gt;=100,"Medium","Normal")))</f>
        <v>Normal</v>
      </c>
      <c r="N511" s="79" t="s">
        <v>90</v>
      </c>
      <c r="O511" s="79" t="s">
        <v>91</v>
      </c>
      <c r="P511" s="79" t="s">
        <v>92</v>
      </c>
      <c r="Q511" s="92" t="s">
        <v>93</v>
      </c>
      <c r="R511" s="96"/>
      <c r="S511" s="80"/>
      <c r="T511" s="79" t="s">
        <v>36</v>
      </c>
      <c r="U511" s="79" t="s">
        <v>94</v>
      </c>
      <c r="V511" s="79" t="s">
        <v>94</v>
      </c>
      <c r="W511" s="79" t="s">
        <v>95</v>
      </c>
      <c r="X511" s="87" t="str">
        <f>IF(AND(R511&lt;&gt;"",OR(U511="No reply",U511="Unknown")),R511+2,"")</f>
        <v/>
      </c>
      <c r="Y511" s="96"/>
      <c r="Z511" s="79" t="s">
        <v>96</v>
      </c>
      <c r="AA511" s="79" t="str">
        <f>IF(L511="Hold","Do not send",IF(T511="Not sent","Send WhatsApp",IF(U511="Demo booked","Prepare demo",IF(W511="Booked","Prepare demo",IF(AND(X511&lt;&gt;"",Y511=""),"Send follow-up","Review")))))</f>
        <v>Review</v>
      </c>
      <c r="AB511" s="80"/>
      <c r="AC511" s="80"/>
      <c r="AD511" s="97">
        <f>IF(AA511="Prepare demo",1,IF(AA511="Send follow-up",2,IF(AA511="Send WhatsApp",3,IF(AA511="Review",4,IF(AA511="Do not send",9,5)))))</f>
        <v>4</v>
      </c>
      <c r="AE511" s="97">
        <f>IF(M511="High",1,IF(M511="Medium",2,IF(M511="Normal",3,IF(M511="Hold",9,4))))</f>
        <v>3</v>
      </c>
      <c r="AF511" s="97">
        <f>IF(T511="Read",1,IF(T511="Delivered",2,IF(T511="Sent",3,IF(T511="Not sent",4,IF(T511="Failed",9,5)))))</f>
        <v>2</v>
      </c>
      <c r="AG511" s="97">
        <f>IF(U511="Demo booked",1,IF(U511="Interested",2,IF(U511="Replied",3,IF(U511="No reply",5,IF(U511="Not interested",8,IF(U511="Bad number",9,6))))))</f>
        <v>6</v>
      </c>
      <c r="AH511" s="99">
        <f>AD511*1000+AN511*100+AE511*10+AG511</f>
        <v>4136</v>
      </c>
      <c r="AI511" s="100">
        <f>MAX(IF(R511="",0,R511),IF(Y511="",0,Y511))</f>
        <v>0</v>
      </c>
      <c r="AJ511" s="97" t="str">
        <f ca="1">IF(AND(X511&lt;&gt;"",Y511="",X511&lt;TODAY()),"Overdue",IF(AND(X511&lt;&gt;"",Y511="",X511=TODAY()),"Due today",IF(Y511&lt;&gt;"","Follow-up sent","")))</f>
        <v/>
      </c>
      <c r="AK511" s="50" t="s">
        <v>97</v>
      </c>
      <c r="AL511" s="50" t="s">
        <v>98</v>
      </c>
      <c r="AM511" s="50" t="s">
        <v>99</v>
      </c>
      <c r="AN511" s="50">
        <v>1</v>
      </c>
      <c r="AO511" s="54" t="s">
        <v>207</v>
      </c>
      <c r="AP511" s="102" t="s">
        <v>101</v>
      </c>
      <c r="AQ511" s="104">
        <v>46161.629062499997</v>
      </c>
      <c r="AR511" s="102" t="s">
        <v>102</v>
      </c>
    </row>
    <row r="512" spans="1:44" ht="54" customHeight="1" x14ac:dyDescent="0.25">
      <c r="A512" s="79" t="s">
        <v>231</v>
      </c>
      <c r="B512" s="79" t="s">
        <v>232</v>
      </c>
      <c r="C512" s="80"/>
      <c r="D512" s="84" t="s">
        <v>233</v>
      </c>
      <c r="E512" s="80"/>
      <c r="F512" s="79" t="s">
        <v>88</v>
      </c>
      <c r="G512" s="87">
        <v>46151</v>
      </c>
      <c r="H512" s="87">
        <v>46143</v>
      </c>
      <c r="I512" s="79" t="s">
        <v>234</v>
      </c>
      <c r="J512" s="80"/>
      <c r="K512" s="79" t="str">
        <f>IF(LEN(D512)=10,"OK","Check")</f>
        <v>OK</v>
      </c>
      <c r="L512" s="79" t="str">
        <f>IF(ISNUMBER(SEARCH("not interested",LOWER(I512&amp;" "&amp;J512))),"Hold","Send")</f>
        <v>Send</v>
      </c>
      <c r="M512" s="79" t="str">
        <f>IF(L512="Hold","Hold",IF(IFERROR(E512,0)&gt;=200,"High",IF(IFERROR(E512,0)&gt;=100,"Medium","Normal")))</f>
        <v>Normal</v>
      </c>
      <c r="N512" s="79" t="s">
        <v>90</v>
      </c>
      <c r="O512" s="79" t="s">
        <v>91</v>
      </c>
      <c r="P512" s="79" t="s">
        <v>92</v>
      </c>
      <c r="Q512" s="92" t="s">
        <v>93</v>
      </c>
      <c r="R512" s="96"/>
      <c r="S512" s="80"/>
      <c r="T512" s="79" t="s">
        <v>36</v>
      </c>
      <c r="U512" s="79" t="s">
        <v>94</v>
      </c>
      <c r="V512" s="79" t="s">
        <v>94</v>
      </c>
      <c r="W512" s="79" t="s">
        <v>95</v>
      </c>
      <c r="X512" s="87" t="str">
        <f>IF(AND(R512&lt;&gt;"",OR(U512="No reply",U512="Unknown")),R512+2,"")</f>
        <v/>
      </c>
      <c r="Y512" s="96"/>
      <c r="Z512" s="79" t="s">
        <v>96</v>
      </c>
      <c r="AA512" s="79" t="str">
        <f>IF(L512="Hold","Do not send",IF(T512="Not sent","Send WhatsApp",IF(U512="Demo booked","Prepare demo",IF(W512="Booked","Prepare demo",IF(AND(X512&lt;&gt;"",Y512=""),"Send follow-up","Review")))))</f>
        <v>Review</v>
      </c>
      <c r="AB512" s="80"/>
      <c r="AC512" s="80"/>
      <c r="AD512" s="97">
        <f>IF(AA512="Prepare demo",1,IF(AA512="Send follow-up",2,IF(AA512="Send WhatsApp",3,IF(AA512="Review",4,IF(AA512="Do not send",9,5)))))</f>
        <v>4</v>
      </c>
      <c r="AE512" s="97">
        <f>IF(M512="High",1,IF(M512="Medium",2,IF(M512="Normal",3,IF(M512="Hold",9,4))))</f>
        <v>3</v>
      </c>
      <c r="AF512" s="97">
        <f>IF(T512="Read",1,IF(T512="Delivered",2,IF(T512="Sent",3,IF(T512="Not sent",4,IF(T512="Failed",9,5)))))</f>
        <v>2</v>
      </c>
      <c r="AG512" s="97">
        <f>IF(U512="Demo booked",1,IF(U512="Interested",2,IF(U512="Replied",3,IF(U512="No reply",5,IF(U512="Not interested",8,IF(U512="Bad number",9,6))))))</f>
        <v>6</v>
      </c>
      <c r="AH512" s="99">
        <f>AD512*1000+AN512*100+AE512*10+AG512</f>
        <v>4136</v>
      </c>
      <c r="AI512" s="100">
        <f>MAX(IF(R512="",0,R512),IF(Y512="",0,Y512))</f>
        <v>0</v>
      </c>
      <c r="AJ512" s="97" t="str">
        <f ca="1">IF(AND(X512&lt;&gt;"",Y512="",X512&lt;TODAY()),"Overdue",IF(AND(X512&lt;&gt;"",Y512="",X512=TODAY()),"Due today",IF(Y512&lt;&gt;"","Follow-up sent","")))</f>
        <v/>
      </c>
      <c r="AK512" s="50" t="s">
        <v>97</v>
      </c>
      <c r="AL512" s="50" t="s">
        <v>98</v>
      </c>
      <c r="AM512" s="50" t="s">
        <v>99</v>
      </c>
      <c r="AN512" s="50">
        <v>1</v>
      </c>
      <c r="AO512" s="54" t="s">
        <v>235</v>
      </c>
      <c r="AP512" s="57" t="s">
        <v>127</v>
      </c>
      <c r="AQ512" s="58"/>
      <c r="AR512" s="57"/>
    </row>
    <row r="513" spans="1:44" ht="54" customHeight="1" x14ac:dyDescent="0.25">
      <c r="A513" s="79" t="s">
        <v>238</v>
      </c>
      <c r="B513" s="79" t="s">
        <v>239</v>
      </c>
      <c r="C513" s="80"/>
      <c r="D513" s="84" t="s">
        <v>240</v>
      </c>
      <c r="E513" s="80"/>
      <c r="F513" s="79" t="s">
        <v>88</v>
      </c>
      <c r="G513" s="87">
        <v>46152</v>
      </c>
      <c r="H513" s="87">
        <v>46143</v>
      </c>
      <c r="I513" s="79" t="s">
        <v>136</v>
      </c>
      <c r="J513" s="80"/>
      <c r="K513" s="79" t="str">
        <f>IF(LEN(D513)=10,"OK","Check")</f>
        <v>OK</v>
      </c>
      <c r="L513" s="79" t="str">
        <f>IF(ISNUMBER(SEARCH("not interested",LOWER(I513&amp;" "&amp;J513))),"Hold","Send")</f>
        <v>Send</v>
      </c>
      <c r="M513" s="79" t="str">
        <f>IF(L513="Hold","Hold",IF(IFERROR(E513,0)&gt;=200,"High",IF(IFERROR(E513,0)&gt;=100,"Medium","Normal")))</f>
        <v>Normal</v>
      </c>
      <c r="N513" s="79" t="s">
        <v>90</v>
      </c>
      <c r="O513" s="79" t="s">
        <v>91</v>
      </c>
      <c r="P513" s="79" t="s">
        <v>92</v>
      </c>
      <c r="Q513" s="92" t="s">
        <v>93</v>
      </c>
      <c r="R513" s="96"/>
      <c r="S513" s="80"/>
      <c r="T513" s="79" t="s">
        <v>36</v>
      </c>
      <c r="U513" s="79" t="s">
        <v>94</v>
      </c>
      <c r="V513" s="79" t="s">
        <v>94</v>
      </c>
      <c r="W513" s="79" t="s">
        <v>95</v>
      </c>
      <c r="X513" s="87" t="str">
        <f>IF(AND(R513&lt;&gt;"",OR(U513="No reply",U513="Unknown")),R513+2,"")</f>
        <v/>
      </c>
      <c r="Y513" s="96"/>
      <c r="Z513" s="79" t="s">
        <v>96</v>
      </c>
      <c r="AA513" s="79" t="str">
        <f>IF(L513="Hold","Do not send",IF(T513="Not sent","Send WhatsApp",IF(U513="Demo booked","Prepare demo",IF(W513="Booked","Prepare demo",IF(AND(X513&lt;&gt;"",Y513=""),"Send follow-up","Review")))))</f>
        <v>Review</v>
      </c>
      <c r="AB513" s="80"/>
      <c r="AC513" s="80"/>
      <c r="AD513" s="97">
        <f>IF(AA513="Prepare demo",1,IF(AA513="Send follow-up",2,IF(AA513="Send WhatsApp",3,IF(AA513="Review",4,IF(AA513="Do not send",9,5)))))</f>
        <v>4</v>
      </c>
      <c r="AE513" s="97">
        <f>IF(M513="High",1,IF(M513="Medium",2,IF(M513="Normal",3,IF(M513="Hold",9,4))))</f>
        <v>3</v>
      </c>
      <c r="AF513" s="97">
        <f>IF(T513="Read",1,IF(T513="Delivered",2,IF(T513="Sent",3,IF(T513="Not sent",4,IF(T513="Failed",9,5)))))</f>
        <v>2</v>
      </c>
      <c r="AG513" s="97">
        <f>IF(U513="Demo booked",1,IF(U513="Interested",2,IF(U513="Replied",3,IF(U513="No reply",5,IF(U513="Not interested",8,IF(U513="Bad number",9,6))))))</f>
        <v>6</v>
      </c>
      <c r="AH513" s="99">
        <f>AD513*1000+AN513*100+AE513*10+AG513</f>
        <v>4136</v>
      </c>
      <c r="AI513" s="100">
        <f>MAX(IF(R513="",0,R513),IF(Y513="",0,Y513))</f>
        <v>0</v>
      </c>
      <c r="AJ513" s="97" t="str">
        <f ca="1">IF(AND(X513&lt;&gt;"",Y513="",X513&lt;TODAY()),"Overdue",IF(AND(X513&lt;&gt;"",Y513="",X513=TODAY()),"Due today",IF(Y513&lt;&gt;"","Follow-up sent","")))</f>
        <v/>
      </c>
      <c r="AK513" s="50" t="s">
        <v>97</v>
      </c>
      <c r="AL513" s="50" t="s">
        <v>98</v>
      </c>
      <c r="AM513" s="50" t="s">
        <v>99</v>
      </c>
      <c r="AN513" s="50">
        <v>1</v>
      </c>
      <c r="AO513" s="54" t="s">
        <v>241</v>
      </c>
      <c r="AP513" s="57" t="s">
        <v>127</v>
      </c>
      <c r="AQ513" s="58"/>
      <c r="AR513" s="57"/>
    </row>
    <row r="514" spans="1:44" ht="54" customHeight="1" x14ac:dyDescent="0.25">
      <c r="A514" s="79" t="s">
        <v>248</v>
      </c>
      <c r="B514" s="79" t="s">
        <v>249</v>
      </c>
      <c r="C514" s="80"/>
      <c r="D514" s="84" t="s">
        <v>250</v>
      </c>
      <c r="E514" s="80"/>
      <c r="F514" s="79" t="s">
        <v>88</v>
      </c>
      <c r="G514" s="87">
        <v>46154</v>
      </c>
      <c r="H514" s="87">
        <v>46136</v>
      </c>
      <c r="I514" s="79" t="s">
        <v>113</v>
      </c>
      <c r="J514" s="80"/>
      <c r="K514" s="79" t="str">
        <f>IF(LEN(D514)=10,"OK","Check")</f>
        <v>OK</v>
      </c>
      <c r="L514" s="79" t="str">
        <f>IF(ISNUMBER(SEARCH("not interested",LOWER(I514&amp;" "&amp;J514))),"Hold","Send")</f>
        <v>Send</v>
      </c>
      <c r="M514" s="79" t="str">
        <f>IF(L514="Hold","Hold",IF(IFERROR(E514,0)&gt;=200,"High",IF(IFERROR(E514,0)&gt;=100,"Medium","Normal")))</f>
        <v>Normal</v>
      </c>
      <c r="N514" s="79" t="s">
        <v>90</v>
      </c>
      <c r="O514" s="79" t="s">
        <v>91</v>
      </c>
      <c r="P514" s="79" t="s">
        <v>92</v>
      </c>
      <c r="Q514" s="92" t="s">
        <v>93</v>
      </c>
      <c r="R514" s="96"/>
      <c r="S514" s="80"/>
      <c r="T514" s="79" t="s">
        <v>36</v>
      </c>
      <c r="U514" s="79" t="s">
        <v>94</v>
      </c>
      <c r="V514" s="79" t="s">
        <v>94</v>
      </c>
      <c r="W514" s="79" t="s">
        <v>95</v>
      </c>
      <c r="X514" s="87" t="str">
        <f>IF(AND(R514&lt;&gt;"",OR(U514="No reply",U514="Unknown")),R514+2,"")</f>
        <v/>
      </c>
      <c r="Y514" s="96"/>
      <c r="Z514" s="79" t="s">
        <v>96</v>
      </c>
      <c r="AA514" s="79" t="str">
        <f>IF(L514="Hold","Do not send",IF(T514="Not sent","Send WhatsApp",IF(U514="Demo booked","Prepare demo",IF(W514="Booked","Prepare demo",IF(AND(X514&lt;&gt;"",Y514=""),"Send follow-up","Review")))))</f>
        <v>Review</v>
      </c>
      <c r="AB514" s="80"/>
      <c r="AC514" s="80"/>
      <c r="AD514" s="97">
        <f>IF(AA514="Prepare demo",1,IF(AA514="Send follow-up",2,IF(AA514="Send WhatsApp",3,IF(AA514="Review",4,IF(AA514="Do not send",9,5)))))</f>
        <v>4</v>
      </c>
      <c r="AE514" s="97">
        <f>IF(M514="High",1,IF(M514="Medium",2,IF(M514="Normal",3,IF(M514="Hold",9,4))))</f>
        <v>3</v>
      </c>
      <c r="AF514" s="97">
        <f>IF(T514="Read",1,IF(T514="Delivered",2,IF(T514="Sent",3,IF(T514="Not sent",4,IF(T514="Failed",9,5)))))</f>
        <v>2</v>
      </c>
      <c r="AG514" s="97">
        <f>IF(U514="Demo booked",1,IF(U514="Interested",2,IF(U514="Replied",3,IF(U514="No reply",5,IF(U514="Not interested",8,IF(U514="Bad number",9,6))))))</f>
        <v>6</v>
      </c>
      <c r="AH514" s="99">
        <f>AD514*1000+AN514*100+AE514*10+AG514</f>
        <v>4136</v>
      </c>
      <c r="AI514" s="100">
        <f>MAX(IF(R514="",0,R514),IF(Y514="",0,Y514))</f>
        <v>0</v>
      </c>
      <c r="AJ514" s="97" t="str">
        <f ca="1">IF(AND(X514&lt;&gt;"",Y514="",X514&lt;TODAY()),"Overdue",IF(AND(X514&lt;&gt;"",Y514="",X514=TODAY()),"Due today",IF(Y514&lt;&gt;"","Follow-up sent","")))</f>
        <v/>
      </c>
      <c r="AK514" s="50" t="s">
        <v>97</v>
      </c>
      <c r="AL514" s="50" t="s">
        <v>98</v>
      </c>
      <c r="AM514" s="50" t="s">
        <v>99</v>
      </c>
      <c r="AN514" s="50">
        <v>1</v>
      </c>
      <c r="AO514" s="54" t="s">
        <v>251</v>
      </c>
      <c r="AP514" s="57" t="s">
        <v>127</v>
      </c>
      <c r="AQ514" s="58"/>
      <c r="AR514" s="57"/>
    </row>
    <row r="515" spans="1:44" ht="54" customHeight="1" x14ac:dyDescent="0.25">
      <c r="A515" s="78" t="s">
        <v>115</v>
      </c>
      <c r="B515" s="78" t="s">
        <v>116</v>
      </c>
      <c r="C515" s="78" t="s">
        <v>117</v>
      </c>
      <c r="D515" s="83" t="s">
        <v>118</v>
      </c>
      <c r="E515" s="78">
        <v>700</v>
      </c>
      <c r="F515" s="78" t="s">
        <v>88</v>
      </c>
      <c r="G515" s="86">
        <v>46154</v>
      </c>
      <c r="H515" s="88">
        <v>46130</v>
      </c>
      <c r="I515" s="78" t="s">
        <v>113</v>
      </c>
      <c r="J515" s="81"/>
      <c r="K515" s="78" t="str">
        <f>IF(LEN(D515)=10,"OK","Check")</f>
        <v>OK</v>
      </c>
      <c r="L515" s="78" t="str">
        <f>IF(ISNUMBER(SEARCH("not interested",LOWER(I515&amp;" "&amp;J515))),"Hold","Send")</f>
        <v>Send</v>
      </c>
      <c r="M515" s="78" t="str">
        <f>IF(L515="Hold","Hold",IF(IFERROR(E515,0)&gt;=200,"High",IF(IFERROR(E515,0)&gt;=100,"Medium","Normal")))</f>
        <v>High</v>
      </c>
      <c r="N515" s="78" t="s">
        <v>90</v>
      </c>
      <c r="O515" s="78" t="s">
        <v>91</v>
      </c>
      <c r="P515" s="78" t="s">
        <v>92</v>
      </c>
      <c r="Q515" s="91" t="s">
        <v>93</v>
      </c>
      <c r="R515" s="95"/>
      <c r="S515" s="81"/>
      <c r="T515" s="78" t="s">
        <v>36</v>
      </c>
      <c r="U515" s="78" t="s">
        <v>94</v>
      </c>
      <c r="V515" s="78" t="s">
        <v>94</v>
      </c>
      <c r="W515" s="78" t="s">
        <v>95</v>
      </c>
      <c r="X515" s="86" t="str">
        <f>IF(AND(R515&lt;&gt;"",OR(U515="No reply",U515="Unknown")),R515+2,"")</f>
        <v/>
      </c>
      <c r="Y515" s="95"/>
      <c r="Z515" s="78" t="s">
        <v>96</v>
      </c>
      <c r="AA515" s="78" t="str">
        <f>IF(L515="Hold","Do not send",IF(T515="Not sent","Send WhatsApp",IF(U515="Demo booked","Prepare demo",IF(W515="Booked","Prepare demo",IF(AND(X515&lt;&gt;"",Y515=""),"Send follow-up","Review")))))</f>
        <v>Review</v>
      </c>
      <c r="AB515" s="81"/>
      <c r="AC515" s="81"/>
      <c r="AD515" s="97">
        <f>IF(AA515="Prepare demo",1,IF(AA515="Send follow-up",2,IF(AA515="Send WhatsApp",3,IF(AA515="Review",4,IF(AA515="Do not send",9,5)))))</f>
        <v>4</v>
      </c>
      <c r="AE515" s="97">
        <f>IF(M515="High",1,IF(M515="Medium",2,IF(M515="Normal",3,IF(M515="Hold",9,4))))</f>
        <v>1</v>
      </c>
      <c r="AF515" s="97">
        <f>IF(T515="Read",1,IF(T515="Delivered",2,IF(T515="Sent",3,IF(T515="Not sent",4,IF(T515="Failed",9,5)))))</f>
        <v>2</v>
      </c>
      <c r="AG515" s="97">
        <f>IF(U515="Demo booked",1,IF(U515="Interested",2,IF(U515="Replied",3,IF(U515="No reply",5,IF(U515="Not interested",8,IF(U515="Bad number",9,6))))))</f>
        <v>6</v>
      </c>
      <c r="AH515" s="99">
        <f>AD515*1000+AN515*100+AE515*10+AG515</f>
        <v>4116</v>
      </c>
      <c r="AI515" s="100">
        <f>MAX(IF(R515="",0,R515),IF(Y515="",0,Y515))</f>
        <v>0</v>
      </c>
      <c r="AJ515" s="97" t="str">
        <f ca="1">IF(AND(X515&lt;&gt;"",Y515="",X515&lt;TODAY()),"Overdue",IF(AND(X515&lt;&gt;"",Y515="",X515=TODAY()),"Due today",IF(Y515&lt;&gt;"","Follow-up sent","")))</f>
        <v/>
      </c>
      <c r="AK515" s="50" t="s">
        <v>97</v>
      </c>
      <c r="AL515" s="50" t="s">
        <v>98</v>
      </c>
      <c r="AM515" s="50" t="s">
        <v>99</v>
      </c>
      <c r="AN515" s="50">
        <v>1</v>
      </c>
      <c r="AO515" s="54" t="s">
        <v>119</v>
      </c>
      <c r="AP515" s="102" t="s">
        <v>101</v>
      </c>
      <c r="AQ515" s="104">
        <v>46161.624780092592</v>
      </c>
      <c r="AR515" s="102" t="s">
        <v>102</v>
      </c>
    </row>
    <row r="516" spans="1:44" ht="54" customHeight="1" x14ac:dyDescent="0.25">
      <c r="A516" s="78" t="s">
        <v>120</v>
      </c>
      <c r="B516" s="78" t="s">
        <v>121</v>
      </c>
      <c r="C516" s="78" t="s">
        <v>122</v>
      </c>
      <c r="D516" s="83" t="s">
        <v>123</v>
      </c>
      <c r="E516" s="81"/>
      <c r="F516" s="78" t="s">
        <v>88</v>
      </c>
      <c r="G516" s="86">
        <v>46122</v>
      </c>
      <c r="H516" s="88">
        <v>46133</v>
      </c>
      <c r="I516" s="78" t="s">
        <v>124</v>
      </c>
      <c r="J516" s="78" t="s">
        <v>125</v>
      </c>
      <c r="K516" s="78" t="str">
        <f>IF(LEN(D516)=10,"OK","Check")</f>
        <v>OK</v>
      </c>
      <c r="L516" s="78" t="str">
        <f>IF(ISNUMBER(SEARCH("not interested",LOWER(I516&amp;" "&amp;J516))),"Hold","Send")</f>
        <v>Hold</v>
      </c>
      <c r="M516" s="78" t="str">
        <f>IF(L516="Hold","Hold",IF(IFERROR(E516,0)&gt;=200,"High",IF(IFERROR(E516,0)&gt;=100,"Medium","Normal")))</f>
        <v>Hold</v>
      </c>
      <c r="N516" s="78" t="s">
        <v>90</v>
      </c>
      <c r="O516" s="78" t="s">
        <v>91</v>
      </c>
      <c r="P516" s="78" t="s">
        <v>92</v>
      </c>
      <c r="Q516" s="91" t="s">
        <v>93</v>
      </c>
      <c r="R516" s="95"/>
      <c r="S516" s="81"/>
      <c r="T516" s="78" t="s">
        <v>36</v>
      </c>
      <c r="U516" s="78" t="s">
        <v>94</v>
      </c>
      <c r="V516" s="78" t="s">
        <v>94</v>
      </c>
      <c r="W516" s="78" t="s">
        <v>95</v>
      </c>
      <c r="X516" s="86" t="str">
        <f>IF(AND(R516&lt;&gt;"",OR(U516="No reply",U516="Unknown")),R516+2,"")</f>
        <v/>
      </c>
      <c r="Y516" s="95"/>
      <c r="Z516" s="78" t="s">
        <v>96</v>
      </c>
      <c r="AA516" s="78" t="str">
        <f>IF(L516="Hold","Do not send",IF(T516="Not sent","Send WhatsApp",IF(U516="Demo booked","Prepare demo",IF(W516="Booked","Prepare demo",IF(AND(X516&lt;&gt;"",Y516=""),"Send follow-up","Review")))))</f>
        <v>Do not send</v>
      </c>
      <c r="AB516" s="81"/>
      <c r="AC516" s="81"/>
      <c r="AD516" s="97">
        <f>IF(AA516="Prepare demo",1,IF(AA516="Send follow-up",2,IF(AA516="Send WhatsApp",3,IF(AA516="Review",4,IF(AA516="Do not send",9,5)))))</f>
        <v>9</v>
      </c>
      <c r="AE516" s="97">
        <f>IF(M516="High",1,IF(M516="Medium",2,IF(M516="Normal",3,IF(M516="Hold",9,4))))</f>
        <v>9</v>
      </c>
      <c r="AF516" s="97">
        <f>IF(T516="Read",1,IF(T516="Delivered",2,IF(T516="Sent",3,IF(T516="Not sent",4,IF(T516="Failed",9,5)))))</f>
        <v>2</v>
      </c>
      <c r="AG516" s="97">
        <f>IF(U516="Demo booked",1,IF(U516="Interested",2,IF(U516="Replied",3,IF(U516="No reply",5,IF(U516="Not interested",8,IF(U516="Bad number",9,6))))))</f>
        <v>6</v>
      </c>
      <c r="AH516" s="99">
        <f>AD516*1000+AN516*100+AE516*10+AG516</f>
        <v>9196</v>
      </c>
      <c r="AI516" s="100">
        <f>MAX(IF(R516="",0,R516),IF(Y516="",0,Y516))</f>
        <v>0</v>
      </c>
      <c r="AJ516" s="97" t="str">
        <f ca="1">IF(AND(X516&lt;&gt;"",Y516="",X516&lt;TODAY()),"Overdue",IF(AND(X516&lt;&gt;"",Y516="",X516=TODAY()),"Due today",IF(Y516&lt;&gt;"","Follow-up sent","")))</f>
        <v/>
      </c>
      <c r="AK516" s="50" t="s">
        <v>97</v>
      </c>
      <c r="AL516" s="50" t="s">
        <v>98</v>
      </c>
      <c r="AM516" s="50" t="s">
        <v>99</v>
      </c>
      <c r="AN516" s="50">
        <v>1</v>
      </c>
      <c r="AO516" s="54" t="s">
        <v>126</v>
      </c>
      <c r="AP516" s="57" t="s">
        <v>127</v>
      </c>
      <c r="AQ516" s="58"/>
      <c r="AR516" s="57"/>
    </row>
    <row r="517" spans="1:44" ht="54" customHeight="1" x14ac:dyDescent="0.25">
      <c r="A517" s="78" t="s">
        <v>128</v>
      </c>
      <c r="B517" s="78" t="s">
        <v>129</v>
      </c>
      <c r="C517" s="78" t="s">
        <v>130</v>
      </c>
      <c r="D517" s="83" t="s">
        <v>131</v>
      </c>
      <c r="E517" s="81"/>
      <c r="F517" s="78" t="s">
        <v>88</v>
      </c>
      <c r="G517" s="86">
        <v>46146</v>
      </c>
      <c r="H517" s="88">
        <v>46136</v>
      </c>
      <c r="I517" s="78" t="s">
        <v>124</v>
      </c>
      <c r="J517" s="81"/>
      <c r="K517" s="78" t="str">
        <f>IF(LEN(D517)=10,"OK","Check")</f>
        <v>OK</v>
      </c>
      <c r="L517" s="78" t="str">
        <f>IF(ISNUMBER(SEARCH("not interested",LOWER(I517&amp;" "&amp;J517))),"Hold","Send")</f>
        <v>Hold</v>
      </c>
      <c r="M517" s="78" t="str">
        <f>IF(L517="Hold","Hold",IF(IFERROR(E517,0)&gt;=200,"High",IF(IFERROR(E517,0)&gt;=100,"Medium","Normal")))</f>
        <v>Hold</v>
      </c>
      <c r="N517" s="78" t="s">
        <v>90</v>
      </c>
      <c r="O517" s="78" t="s">
        <v>91</v>
      </c>
      <c r="P517" s="78" t="s">
        <v>92</v>
      </c>
      <c r="Q517" s="91" t="s">
        <v>93</v>
      </c>
      <c r="R517" s="95"/>
      <c r="S517" s="81"/>
      <c r="T517" s="78" t="s">
        <v>36</v>
      </c>
      <c r="U517" s="78" t="s">
        <v>94</v>
      </c>
      <c r="V517" s="78" t="s">
        <v>94</v>
      </c>
      <c r="W517" s="78" t="s">
        <v>95</v>
      </c>
      <c r="X517" s="86" t="str">
        <f>IF(AND(R517&lt;&gt;"",OR(U517="No reply",U517="Unknown")),R517+2,"")</f>
        <v/>
      </c>
      <c r="Y517" s="95"/>
      <c r="Z517" s="78" t="s">
        <v>96</v>
      </c>
      <c r="AA517" s="78" t="str">
        <f>IF(L517="Hold","Do not send",IF(T517="Not sent","Send WhatsApp",IF(U517="Demo booked","Prepare demo",IF(W517="Booked","Prepare demo",IF(AND(X517&lt;&gt;"",Y517=""),"Send follow-up","Review")))))</f>
        <v>Do not send</v>
      </c>
      <c r="AB517" s="81"/>
      <c r="AC517" s="81"/>
      <c r="AD517" s="97">
        <f>IF(AA517="Prepare demo",1,IF(AA517="Send follow-up",2,IF(AA517="Send WhatsApp",3,IF(AA517="Review",4,IF(AA517="Do not send",9,5)))))</f>
        <v>9</v>
      </c>
      <c r="AE517" s="97">
        <f>IF(M517="High",1,IF(M517="Medium",2,IF(M517="Normal",3,IF(M517="Hold",9,4))))</f>
        <v>9</v>
      </c>
      <c r="AF517" s="97">
        <f>IF(T517="Read",1,IF(T517="Delivered",2,IF(T517="Sent",3,IF(T517="Not sent",4,IF(T517="Failed",9,5)))))</f>
        <v>2</v>
      </c>
      <c r="AG517" s="97">
        <f>IF(U517="Demo booked",1,IF(U517="Interested",2,IF(U517="Replied",3,IF(U517="No reply",5,IF(U517="Not interested",8,IF(U517="Bad number",9,6))))))</f>
        <v>6</v>
      </c>
      <c r="AH517" s="99">
        <f>AD517*1000+AN517*100+AE517*10+AG517</f>
        <v>9196</v>
      </c>
      <c r="AI517" s="100">
        <f>MAX(IF(R517="",0,R517),IF(Y517="",0,Y517))</f>
        <v>0</v>
      </c>
      <c r="AJ517" s="97" t="str">
        <f ca="1">IF(AND(X517&lt;&gt;"",Y517="",X517&lt;TODAY()),"Overdue",IF(AND(X517&lt;&gt;"",Y517="",X517=TODAY()),"Due today",IF(Y517&lt;&gt;"","Follow-up sent","")))</f>
        <v/>
      </c>
      <c r="AK517" s="50" t="s">
        <v>97</v>
      </c>
      <c r="AL517" s="50" t="s">
        <v>98</v>
      </c>
      <c r="AM517" s="50" t="s">
        <v>99</v>
      </c>
      <c r="AN517" s="50">
        <v>1</v>
      </c>
      <c r="AO517" s="54" t="s">
        <v>132</v>
      </c>
      <c r="AP517" s="57" t="s">
        <v>127</v>
      </c>
      <c r="AQ517" s="58"/>
      <c r="AR517" s="57"/>
    </row>
    <row r="518" spans="1:44" ht="54" customHeight="1" x14ac:dyDescent="0.25">
      <c r="A518" s="78" t="s">
        <v>179</v>
      </c>
      <c r="B518" s="78" t="s">
        <v>180</v>
      </c>
      <c r="C518" s="81"/>
      <c r="D518" s="83" t="s">
        <v>181</v>
      </c>
      <c r="E518" s="81"/>
      <c r="F518" s="78" t="s">
        <v>88</v>
      </c>
      <c r="G518" s="86">
        <v>46146</v>
      </c>
      <c r="H518" s="88">
        <v>46136</v>
      </c>
      <c r="I518" s="78" t="s">
        <v>154</v>
      </c>
      <c r="J518" s="81"/>
      <c r="K518" s="78" t="str">
        <f>IF(LEN(D518)=10,"OK","Check")</f>
        <v>OK</v>
      </c>
      <c r="L518" s="78" t="str">
        <f>IF(ISNUMBER(SEARCH("not interested",LOWER(I518&amp;" "&amp;J518))),"Hold","Send")</f>
        <v>Send</v>
      </c>
      <c r="M518" s="78" t="str">
        <f>IF(L518="Hold","Hold",IF(IFERROR(E518,0)&gt;=200,"High",IF(IFERROR(E518,0)&gt;=100,"Medium","Normal")))</f>
        <v>Normal</v>
      </c>
      <c r="N518" s="78" t="s">
        <v>90</v>
      </c>
      <c r="O518" s="78" t="s">
        <v>91</v>
      </c>
      <c r="P518" s="78" t="s">
        <v>92</v>
      </c>
      <c r="Q518" s="91" t="s">
        <v>93</v>
      </c>
      <c r="R518" s="95"/>
      <c r="S518" s="81"/>
      <c r="T518" s="78" t="s">
        <v>36</v>
      </c>
      <c r="U518" s="78" t="s">
        <v>94</v>
      </c>
      <c r="V518" s="78" t="s">
        <v>94</v>
      </c>
      <c r="W518" s="78" t="s">
        <v>95</v>
      </c>
      <c r="X518" s="86" t="str">
        <f>IF(AND(R518&lt;&gt;"",OR(U518="No reply",U518="Unknown")),R518+2,"")</f>
        <v/>
      </c>
      <c r="Y518" s="95"/>
      <c r="Z518" s="78" t="s">
        <v>96</v>
      </c>
      <c r="AA518" s="78" t="str">
        <f>IF(L518="Hold","Do not send",IF(T518="Not sent","Send WhatsApp",IF(U518="Demo booked","Prepare demo",IF(W518="Booked","Prepare demo",IF(AND(X518&lt;&gt;"",Y518=""),"Send follow-up","Review")))))</f>
        <v>Review</v>
      </c>
      <c r="AB518" s="81"/>
      <c r="AC518" s="81"/>
      <c r="AD518" s="97">
        <f>IF(AA518="Prepare demo",1,IF(AA518="Send follow-up",2,IF(AA518="Send WhatsApp",3,IF(AA518="Review",4,IF(AA518="Do not send",9,5)))))</f>
        <v>4</v>
      </c>
      <c r="AE518" s="97">
        <f>IF(M518="High",1,IF(M518="Medium",2,IF(M518="Normal",3,IF(M518="Hold",9,4))))</f>
        <v>3</v>
      </c>
      <c r="AF518" s="97">
        <f>IF(T518="Read",1,IF(T518="Delivered",2,IF(T518="Sent",3,IF(T518="Not sent",4,IF(T518="Failed",9,5)))))</f>
        <v>2</v>
      </c>
      <c r="AG518" s="97">
        <f>IF(U518="Demo booked",1,IF(U518="Interested",2,IF(U518="Replied",3,IF(U518="No reply",5,IF(U518="Not interested",8,IF(U518="Bad number",9,6))))))</f>
        <v>6</v>
      </c>
      <c r="AH518" s="99">
        <f>AD518*1000+AN518*100+AE518*10+AG518</f>
        <v>4136</v>
      </c>
      <c r="AI518" s="100">
        <f>MAX(IF(R518="",0,R518),IF(Y518="",0,Y518))</f>
        <v>0</v>
      </c>
      <c r="AJ518" s="97" t="str">
        <f ca="1">IF(AND(X518&lt;&gt;"",Y518="",X518&lt;TODAY()),"Overdue",IF(AND(X518&lt;&gt;"",Y518="",X518=TODAY()),"Due today",IF(Y518&lt;&gt;"","Follow-up sent","")))</f>
        <v/>
      </c>
      <c r="AK518" s="50" t="s">
        <v>97</v>
      </c>
      <c r="AL518" s="50" t="s">
        <v>98</v>
      </c>
      <c r="AM518" s="50" t="s">
        <v>99</v>
      </c>
      <c r="AN518" s="50">
        <v>1</v>
      </c>
      <c r="AO518" s="54" t="s">
        <v>182</v>
      </c>
      <c r="AP518" s="102" t="s">
        <v>101</v>
      </c>
      <c r="AQ518" s="104">
        <v>46161.627604166657</v>
      </c>
      <c r="AR518" s="102" t="s">
        <v>102</v>
      </c>
    </row>
    <row r="519" spans="1:44" ht="54" customHeight="1" x14ac:dyDescent="0.25">
      <c r="A519" s="78" t="s">
        <v>199</v>
      </c>
      <c r="B519" s="78" t="s">
        <v>200</v>
      </c>
      <c r="C519" s="81"/>
      <c r="D519" s="83" t="s">
        <v>201</v>
      </c>
      <c r="E519" s="81"/>
      <c r="F519" s="78" t="s">
        <v>88</v>
      </c>
      <c r="G519" s="86">
        <v>46147</v>
      </c>
      <c r="H519" s="86">
        <v>46139</v>
      </c>
      <c r="I519" s="78" t="s">
        <v>136</v>
      </c>
      <c r="J519" s="81"/>
      <c r="K519" s="78" t="str">
        <f>IF(LEN(D519)=10,"OK","Check")</f>
        <v>OK</v>
      </c>
      <c r="L519" s="78" t="str">
        <f>IF(ISNUMBER(SEARCH("not interested",LOWER(I519&amp;" "&amp;J519))),"Hold","Send")</f>
        <v>Send</v>
      </c>
      <c r="M519" s="78" t="str">
        <f>IF(L519="Hold","Hold",IF(IFERROR(E519,0)&gt;=200,"High",IF(IFERROR(E519,0)&gt;=100,"Medium","Normal")))</f>
        <v>Normal</v>
      </c>
      <c r="N519" s="78" t="s">
        <v>90</v>
      </c>
      <c r="O519" s="78" t="s">
        <v>91</v>
      </c>
      <c r="P519" s="78" t="s">
        <v>92</v>
      </c>
      <c r="Q519" s="91" t="s">
        <v>93</v>
      </c>
      <c r="R519" s="95"/>
      <c r="S519" s="81"/>
      <c r="T519" s="78" t="s">
        <v>36</v>
      </c>
      <c r="U519" s="78" t="s">
        <v>94</v>
      </c>
      <c r="V519" s="78" t="s">
        <v>94</v>
      </c>
      <c r="W519" s="78" t="s">
        <v>95</v>
      </c>
      <c r="X519" s="86" t="str">
        <f>IF(AND(R519&lt;&gt;"",OR(U519="No reply",U519="Unknown")),R519+2,"")</f>
        <v/>
      </c>
      <c r="Y519" s="95"/>
      <c r="Z519" s="78" t="s">
        <v>96</v>
      </c>
      <c r="AA519" s="78" t="str">
        <f>IF(L519="Hold","Do not send",IF(T519="Not sent","Send WhatsApp",IF(U519="Demo booked","Prepare demo",IF(W519="Booked","Prepare demo",IF(AND(X519&lt;&gt;"",Y519=""),"Send follow-up","Review")))))</f>
        <v>Review</v>
      </c>
      <c r="AB519" s="81"/>
      <c r="AC519" s="81"/>
      <c r="AD519" s="97">
        <f>IF(AA519="Prepare demo",1,IF(AA519="Send follow-up",2,IF(AA519="Send WhatsApp",3,IF(AA519="Review",4,IF(AA519="Do not send",9,5)))))</f>
        <v>4</v>
      </c>
      <c r="AE519" s="97">
        <f>IF(M519="High",1,IF(M519="Medium",2,IF(M519="Normal",3,IF(M519="Hold",9,4))))</f>
        <v>3</v>
      </c>
      <c r="AF519" s="97">
        <f>IF(T519="Read",1,IF(T519="Delivered",2,IF(T519="Sent",3,IF(T519="Not sent",4,IF(T519="Failed",9,5)))))</f>
        <v>2</v>
      </c>
      <c r="AG519" s="97">
        <f>IF(U519="Demo booked",1,IF(U519="Interested",2,IF(U519="Replied",3,IF(U519="No reply",5,IF(U519="Not interested",8,IF(U519="Bad number",9,6))))))</f>
        <v>6</v>
      </c>
      <c r="AH519" s="99">
        <f>AD519*1000+AN519*100+AE519*10+AG519</f>
        <v>4136</v>
      </c>
      <c r="AI519" s="100">
        <f>MAX(IF(R519="",0,R519),IF(Y519="",0,Y519))</f>
        <v>0</v>
      </c>
      <c r="AJ519" s="97" t="str">
        <f ca="1">IF(AND(X519&lt;&gt;"",Y519="",X519&lt;TODAY()),"Overdue",IF(AND(X519&lt;&gt;"",Y519="",X519=TODAY()),"Due today",IF(Y519&lt;&gt;"","Follow-up sent","")))</f>
        <v/>
      </c>
      <c r="AK519" s="50" t="s">
        <v>97</v>
      </c>
      <c r="AL519" s="50" t="s">
        <v>98</v>
      </c>
      <c r="AM519" s="50" t="s">
        <v>99</v>
      </c>
      <c r="AN519" s="50">
        <v>1</v>
      </c>
      <c r="AO519" s="54" t="s">
        <v>202</v>
      </c>
      <c r="AP519" s="102" t="s">
        <v>101</v>
      </c>
      <c r="AQ519" s="104">
        <v>46161.628807870373</v>
      </c>
      <c r="AR519" s="102" t="s">
        <v>102</v>
      </c>
    </row>
    <row r="520" spans="1:44" ht="54" customHeight="1" x14ac:dyDescent="0.25">
      <c r="A520" s="78" t="s">
        <v>216</v>
      </c>
      <c r="B520" s="78" t="s">
        <v>217</v>
      </c>
      <c r="C520" s="81"/>
      <c r="D520" s="83" t="s">
        <v>218</v>
      </c>
      <c r="E520" s="81"/>
      <c r="F520" s="78" t="s">
        <v>88</v>
      </c>
      <c r="G520" s="86">
        <v>46149</v>
      </c>
      <c r="H520" s="86">
        <v>46136</v>
      </c>
      <c r="I520" s="78" t="s">
        <v>89</v>
      </c>
      <c r="J520" s="81"/>
      <c r="K520" s="78" t="str">
        <f>IF(LEN(D520)=10,"OK","Check")</f>
        <v>OK</v>
      </c>
      <c r="L520" s="78" t="str">
        <f>IF(ISNUMBER(SEARCH("not interested",LOWER(I520&amp;" "&amp;J520))),"Hold","Send")</f>
        <v>Send</v>
      </c>
      <c r="M520" s="78" t="str">
        <f>IF(L520="Hold","Hold",IF(IFERROR(E520,0)&gt;=200,"High",IF(IFERROR(E520,0)&gt;=100,"Medium","Normal")))</f>
        <v>Normal</v>
      </c>
      <c r="N520" s="78" t="s">
        <v>90</v>
      </c>
      <c r="O520" s="78" t="s">
        <v>91</v>
      </c>
      <c r="P520" s="78" t="s">
        <v>92</v>
      </c>
      <c r="Q520" s="91" t="s">
        <v>93</v>
      </c>
      <c r="R520" s="95"/>
      <c r="S520" s="81"/>
      <c r="T520" s="78" t="s">
        <v>36</v>
      </c>
      <c r="U520" s="78" t="s">
        <v>94</v>
      </c>
      <c r="V520" s="78" t="s">
        <v>94</v>
      </c>
      <c r="W520" s="78" t="s">
        <v>95</v>
      </c>
      <c r="X520" s="86" t="str">
        <f>IF(AND(R520&lt;&gt;"",OR(U520="No reply",U520="Unknown")),R520+2,"")</f>
        <v/>
      </c>
      <c r="Y520" s="95"/>
      <c r="Z520" s="78" t="s">
        <v>96</v>
      </c>
      <c r="AA520" s="78" t="str">
        <f>IF(L520="Hold","Do not send",IF(T520="Not sent","Send WhatsApp",IF(U520="Demo booked","Prepare demo",IF(W520="Booked","Prepare demo",IF(AND(X520&lt;&gt;"",Y520=""),"Send follow-up","Review")))))</f>
        <v>Review</v>
      </c>
      <c r="AB520" s="81"/>
      <c r="AC520" s="81"/>
      <c r="AD520" s="97">
        <f>IF(AA520="Prepare demo",1,IF(AA520="Send follow-up",2,IF(AA520="Send WhatsApp",3,IF(AA520="Review",4,IF(AA520="Do not send",9,5)))))</f>
        <v>4</v>
      </c>
      <c r="AE520" s="97">
        <f>IF(M520="High",1,IF(M520="Medium",2,IF(M520="Normal",3,IF(M520="Hold",9,4))))</f>
        <v>3</v>
      </c>
      <c r="AF520" s="97">
        <f>IF(T520="Read",1,IF(T520="Delivered",2,IF(T520="Sent",3,IF(T520="Not sent",4,IF(T520="Failed",9,5)))))</f>
        <v>2</v>
      </c>
      <c r="AG520" s="97">
        <f>IF(U520="Demo booked",1,IF(U520="Interested",2,IF(U520="Replied",3,IF(U520="No reply",5,IF(U520="Not interested",8,IF(U520="Bad number",9,6))))))</f>
        <v>6</v>
      </c>
      <c r="AH520" s="99">
        <f>AD520*1000+AN520*100+AE520*10+AG520</f>
        <v>4136</v>
      </c>
      <c r="AI520" s="100">
        <f>MAX(IF(R520="",0,R520),IF(Y520="",0,Y520))</f>
        <v>0</v>
      </c>
      <c r="AJ520" s="97" t="str">
        <f ca="1">IF(AND(X520&lt;&gt;"",Y520="",X520&lt;TODAY()),"Overdue",IF(AND(X520&lt;&gt;"",Y520="",X520=TODAY()),"Due today",IF(Y520&lt;&gt;"","Follow-up sent","")))</f>
        <v/>
      </c>
      <c r="AK520" s="50" t="s">
        <v>97</v>
      </c>
      <c r="AL520" s="50" t="s">
        <v>98</v>
      </c>
      <c r="AM520" s="50" t="s">
        <v>99</v>
      </c>
      <c r="AN520" s="50">
        <v>1</v>
      </c>
      <c r="AO520" s="54" t="s">
        <v>219</v>
      </c>
      <c r="AP520" s="102" t="s">
        <v>101</v>
      </c>
      <c r="AQ520" s="104">
        <v>46161.629826388889</v>
      </c>
      <c r="AR520" s="102" t="s">
        <v>102</v>
      </c>
    </row>
    <row r="521" spans="1:44" ht="54" customHeight="1" x14ac:dyDescent="0.25">
      <c r="A521" s="78" t="s">
        <v>236</v>
      </c>
      <c r="B521" s="78" t="s">
        <v>237</v>
      </c>
      <c r="C521" s="81"/>
      <c r="D521" s="83" t="s">
        <v>233</v>
      </c>
      <c r="E521" s="81"/>
      <c r="F521" s="78" t="s">
        <v>88</v>
      </c>
      <c r="G521" s="86">
        <v>46151</v>
      </c>
      <c r="H521" s="86">
        <v>46143</v>
      </c>
      <c r="I521" s="78" t="s">
        <v>234</v>
      </c>
      <c r="J521" s="81"/>
      <c r="K521" s="78" t="str">
        <f>IF(LEN(D521)=10,"OK","Check")</f>
        <v>OK</v>
      </c>
      <c r="L521" s="78" t="str">
        <f>IF(ISNUMBER(SEARCH("not interested",LOWER(I521&amp;" "&amp;J521))),"Hold","Send")</f>
        <v>Send</v>
      </c>
      <c r="M521" s="78" t="str">
        <f>IF(L521="Hold","Hold",IF(IFERROR(E521,0)&gt;=200,"High",IF(IFERROR(E521,0)&gt;=100,"Medium","Normal")))</f>
        <v>Normal</v>
      </c>
      <c r="N521" s="78" t="s">
        <v>90</v>
      </c>
      <c r="O521" s="78" t="s">
        <v>91</v>
      </c>
      <c r="P521" s="78" t="s">
        <v>92</v>
      </c>
      <c r="Q521" s="91" t="s">
        <v>93</v>
      </c>
      <c r="R521" s="95"/>
      <c r="S521" s="81"/>
      <c r="T521" s="78" t="s">
        <v>36</v>
      </c>
      <c r="U521" s="78" t="s">
        <v>94</v>
      </c>
      <c r="V521" s="78" t="s">
        <v>94</v>
      </c>
      <c r="W521" s="78" t="s">
        <v>95</v>
      </c>
      <c r="X521" s="86" t="str">
        <f>IF(AND(R521&lt;&gt;"",OR(U521="No reply",U521="Unknown")),R521+2,"")</f>
        <v/>
      </c>
      <c r="Y521" s="95"/>
      <c r="Z521" s="78" t="s">
        <v>96</v>
      </c>
      <c r="AA521" s="78" t="str">
        <f>IF(L521="Hold","Do not send",IF(T521="Not sent","Send WhatsApp",IF(U521="Demo booked","Prepare demo",IF(W521="Booked","Prepare demo",IF(AND(X521&lt;&gt;"",Y521=""),"Send follow-up","Review")))))</f>
        <v>Review</v>
      </c>
      <c r="AB521" s="81"/>
      <c r="AC521" s="81"/>
      <c r="AD521" s="97">
        <f>IF(AA521="Prepare demo",1,IF(AA521="Send follow-up",2,IF(AA521="Send WhatsApp",3,IF(AA521="Review",4,IF(AA521="Do not send",9,5)))))</f>
        <v>4</v>
      </c>
      <c r="AE521" s="97">
        <f>IF(M521="High",1,IF(M521="Medium",2,IF(M521="Normal",3,IF(M521="Hold",9,4))))</f>
        <v>3</v>
      </c>
      <c r="AF521" s="97">
        <f>IF(T521="Read",1,IF(T521="Delivered",2,IF(T521="Sent",3,IF(T521="Not sent",4,IF(T521="Failed",9,5)))))</f>
        <v>2</v>
      </c>
      <c r="AG521" s="97">
        <f>IF(U521="Demo booked",1,IF(U521="Interested",2,IF(U521="Replied",3,IF(U521="No reply",5,IF(U521="Not interested",8,IF(U521="Bad number",9,6))))))</f>
        <v>6</v>
      </c>
      <c r="AH521" s="99">
        <f>AD521*1000+AN521*100+AE521*10+AG521</f>
        <v>4136</v>
      </c>
      <c r="AI521" s="100">
        <f>MAX(IF(R521="",0,R521),IF(Y521="",0,Y521))</f>
        <v>0</v>
      </c>
      <c r="AJ521" s="97" t="str">
        <f ca="1">IF(AND(X521&lt;&gt;"",Y521="",X521&lt;TODAY()),"Overdue",IF(AND(X521&lt;&gt;"",Y521="",X521=TODAY()),"Due today",IF(Y521&lt;&gt;"","Follow-up sent","")))</f>
        <v/>
      </c>
      <c r="AK521" s="50" t="s">
        <v>97</v>
      </c>
      <c r="AL521" s="50" t="s">
        <v>98</v>
      </c>
      <c r="AM521" s="50" t="s">
        <v>99</v>
      </c>
      <c r="AN521" s="50">
        <v>1</v>
      </c>
      <c r="AO521" s="54" t="s">
        <v>235</v>
      </c>
      <c r="AP521" s="57" t="s">
        <v>127</v>
      </c>
      <c r="AQ521" s="58"/>
      <c r="AR521" s="57"/>
    </row>
    <row r="522" spans="1:44" ht="54" customHeight="1" x14ac:dyDescent="0.25">
      <c r="A522" s="78" t="s">
        <v>242</v>
      </c>
      <c r="B522" s="78" t="s">
        <v>243</v>
      </c>
      <c r="C522" s="81"/>
      <c r="D522" s="83" t="s">
        <v>244</v>
      </c>
      <c r="E522" s="81"/>
      <c r="F522" s="78" t="s">
        <v>88</v>
      </c>
      <c r="G522" s="86">
        <v>46152</v>
      </c>
      <c r="H522" s="86">
        <v>46143</v>
      </c>
      <c r="I522" s="78" t="s">
        <v>136</v>
      </c>
      <c r="J522" s="81"/>
      <c r="K522" s="78" t="str">
        <f>IF(LEN(D522)=10,"OK","Check")</f>
        <v>OK</v>
      </c>
      <c r="L522" s="78" t="str">
        <f>IF(ISNUMBER(SEARCH("not interested",LOWER(I522&amp;" "&amp;J522))),"Hold","Send")</f>
        <v>Send</v>
      </c>
      <c r="M522" s="78" t="str">
        <f>IF(L522="Hold","Hold",IF(IFERROR(E522,0)&gt;=200,"High",IF(IFERROR(E522,0)&gt;=100,"Medium","Normal")))</f>
        <v>Normal</v>
      </c>
      <c r="N522" s="78" t="s">
        <v>90</v>
      </c>
      <c r="O522" s="78" t="s">
        <v>91</v>
      </c>
      <c r="P522" s="78" t="s">
        <v>92</v>
      </c>
      <c r="Q522" s="91" t="s">
        <v>93</v>
      </c>
      <c r="R522" s="95"/>
      <c r="S522" s="81"/>
      <c r="T522" s="78" t="s">
        <v>36</v>
      </c>
      <c r="U522" s="78" t="s">
        <v>94</v>
      </c>
      <c r="V522" s="78" t="s">
        <v>94</v>
      </c>
      <c r="W522" s="78" t="s">
        <v>95</v>
      </c>
      <c r="X522" s="86" t="str">
        <f>IF(AND(R522&lt;&gt;"",OR(U522="No reply",U522="Unknown")),R522+2,"")</f>
        <v/>
      </c>
      <c r="Y522" s="95"/>
      <c r="Z522" s="78" t="s">
        <v>96</v>
      </c>
      <c r="AA522" s="78" t="str">
        <f>IF(L522="Hold","Do not send",IF(T522="Not sent","Send WhatsApp",IF(U522="Demo booked","Prepare demo",IF(W522="Booked","Prepare demo",IF(AND(X522&lt;&gt;"",Y522=""),"Send follow-up","Review")))))</f>
        <v>Review</v>
      </c>
      <c r="AB522" s="81"/>
      <c r="AC522" s="81"/>
      <c r="AD522" s="97">
        <f>IF(AA522="Prepare demo",1,IF(AA522="Send follow-up",2,IF(AA522="Send WhatsApp",3,IF(AA522="Review",4,IF(AA522="Do not send",9,5)))))</f>
        <v>4</v>
      </c>
      <c r="AE522" s="97">
        <f>IF(M522="High",1,IF(M522="Medium",2,IF(M522="Normal",3,IF(M522="Hold",9,4))))</f>
        <v>3</v>
      </c>
      <c r="AF522" s="97">
        <f>IF(T522="Read",1,IF(T522="Delivered",2,IF(T522="Sent",3,IF(T522="Not sent",4,IF(T522="Failed",9,5)))))</f>
        <v>2</v>
      </c>
      <c r="AG522" s="97">
        <f>IF(U522="Demo booked",1,IF(U522="Interested",2,IF(U522="Replied",3,IF(U522="No reply",5,IF(U522="Not interested",8,IF(U522="Bad number",9,6))))))</f>
        <v>6</v>
      </c>
      <c r="AH522" s="99">
        <f>AD522*1000+AN522*100+AE522*10+AG522</f>
        <v>4136</v>
      </c>
      <c r="AI522" s="100">
        <f>MAX(IF(R522="",0,R522),IF(Y522="",0,Y522))</f>
        <v>0</v>
      </c>
      <c r="AJ522" s="97" t="str">
        <f ca="1">IF(AND(X522&lt;&gt;"",Y522="",X522&lt;TODAY()),"Overdue",IF(AND(X522&lt;&gt;"",Y522="",X522=TODAY()),"Due today",IF(Y522&lt;&gt;"","Follow-up sent","")))</f>
        <v/>
      </c>
      <c r="AK522" s="50" t="s">
        <v>97</v>
      </c>
      <c r="AL522" s="50" t="s">
        <v>98</v>
      </c>
      <c r="AM522" s="50" t="s">
        <v>99</v>
      </c>
      <c r="AN522" s="50">
        <v>1</v>
      </c>
      <c r="AO522" s="54" t="s">
        <v>245</v>
      </c>
      <c r="AP522" s="57" t="s">
        <v>127</v>
      </c>
      <c r="AQ522" s="58"/>
      <c r="AR522" s="57"/>
    </row>
    <row r="523" spans="1:44" ht="54" customHeight="1" x14ac:dyDescent="0.25">
      <c r="A523" s="43" t="s">
        <v>252</v>
      </c>
      <c r="B523" s="43" t="s">
        <v>253</v>
      </c>
      <c r="C523" s="43"/>
      <c r="D523" s="44" t="s">
        <v>254</v>
      </c>
      <c r="E523" s="43"/>
      <c r="F523" s="43" t="s">
        <v>88</v>
      </c>
      <c r="G523" s="45">
        <v>46154</v>
      </c>
      <c r="H523" s="45">
        <v>46136</v>
      </c>
      <c r="I523" s="43" t="s">
        <v>113</v>
      </c>
      <c r="J523" s="43"/>
      <c r="K523" s="43" t="str">
        <f>IF(LEN(D523)=10,"OK","Check")</f>
        <v>OK</v>
      </c>
      <c r="L523" s="43" t="str">
        <f>IF(ISNUMBER(SEARCH("not interested",LOWER(I523&amp;" "&amp;J523))),"Hold","Send")</f>
        <v>Send</v>
      </c>
      <c r="M523" s="43" t="str">
        <f>IF(L523="Hold","Hold",IF(IFERROR(E523,0)&gt;=200,"High",IF(IFERROR(E523,0)&gt;=100,"Medium","Normal")))</f>
        <v>Normal</v>
      </c>
      <c r="N523" s="43" t="s">
        <v>90</v>
      </c>
      <c r="O523" s="43" t="s">
        <v>91</v>
      </c>
      <c r="P523" s="43" t="s">
        <v>92</v>
      </c>
      <c r="Q523" s="93" t="s">
        <v>93</v>
      </c>
      <c r="R523" s="45"/>
      <c r="S523" s="43"/>
      <c r="T523" s="43" t="s">
        <v>36</v>
      </c>
      <c r="U523" s="43" t="s">
        <v>94</v>
      </c>
      <c r="V523" s="43" t="s">
        <v>94</v>
      </c>
      <c r="W523" s="43" t="s">
        <v>95</v>
      </c>
      <c r="X523" s="45" t="str">
        <f>IF(AND(R523&lt;&gt;"",OR(U523="No reply",U523="Unknown")),R523+2,"")</f>
        <v/>
      </c>
      <c r="Y523" s="45"/>
      <c r="Z523" s="43" t="s">
        <v>96</v>
      </c>
      <c r="AA523" s="43" t="str">
        <f>IF(L523="Hold","Do not send",IF(T523="Not sent","Send WhatsApp",IF(U523="Demo booked","Prepare demo",IF(W523="Booked","Prepare demo",IF(AND(X523&lt;&gt;"",Y523=""),"Send follow-up","Review")))))</f>
        <v>Review</v>
      </c>
      <c r="AB523" s="43"/>
      <c r="AC523" s="43"/>
      <c r="AD523" s="43">
        <f>IF(AA523="Prepare demo",1,IF(AA523="Send follow-up",2,IF(AA523="Send WhatsApp",3,IF(AA523="Review",4,IF(AA523="Do not send",9,5)))))</f>
        <v>4</v>
      </c>
      <c r="AE523" s="43">
        <f>IF(M523="High",1,IF(M523="Medium",2,IF(M523="Normal",3,IF(M523="Hold",9,4))))</f>
        <v>3</v>
      </c>
      <c r="AF523" s="43">
        <f>IF(T523="Read",1,IF(T523="Delivered",2,IF(T523="Sent",3,IF(T523="Not sent",4,IF(T523="Failed",9,5)))))</f>
        <v>2</v>
      </c>
      <c r="AG523" s="43">
        <f>IF(U523="Demo booked",1,IF(U523="Interested",2,IF(U523="Replied",3,IF(U523="No reply",5,IF(U523="Not interested",8,IF(U523="Bad number",9,6))))))</f>
        <v>6</v>
      </c>
      <c r="AH523" s="46">
        <f>AD523*1000+AN523*100+AE523*10+AG523</f>
        <v>4136</v>
      </c>
      <c r="AI523" s="45">
        <f>MAX(IF(R523="",0,R523),IF(Y523="",0,Y523))</f>
        <v>0</v>
      </c>
      <c r="AJ523" s="43" t="str">
        <f ca="1">IF(AND(X523&lt;&gt;"",Y523="",X523&lt;TODAY()),"Overdue",IF(AND(X523&lt;&gt;"",Y523="",X523=TODAY()),"Due today",IF(Y523&lt;&gt;"","Follow-up sent","")))</f>
        <v/>
      </c>
      <c r="AK523" s="50" t="s">
        <v>97</v>
      </c>
      <c r="AL523" s="50" t="s">
        <v>98</v>
      </c>
      <c r="AM523" s="50" t="s">
        <v>99</v>
      </c>
      <c r="AN523" s="50">
        <v>1</v>
      </c>
      <c r="AO523" s="54" t="s">
        <v>255</v>
      </c>
      <c r="AP523" s="57" t="s">
        <v>127</v>
      </c>
      <c r="AQ523" s="58"/>
      <c r="AR523" s="57"/>
    </row>
  </sheetData>
  <autoFilter ref="A1:AR523" xr:uid="{00000000-0009-0000-0000-000002000000}">
    <sortState xmlns:xlrd2="http://schemas.microsoft.com/office/spreadsheetml/2017/richdata2" ref="A2:AR523">
      <sortCondition descending="1" ref="T1:T523"/>
    </sortState>
  </autoFilter>
  <conditionalFormatting sqref="K2:M523">
    <cfRule type="cellIs" dxfId="163" priority="781" stopIfTrue="1" operator="equal">
      <formula>"OK"</formula>
    </cfRule>
    <cfRule type="cellIs" dxfId="162" priority="782" stopIfTrue="1" operator="equal">
      <formula>"Send"</formula>
    </cfRule>
    <cfRule type="cellIs" dxfId="161" priority="783" stopIfTrue="1" operator="equal">
      <formula>"Normal"</formula>
    </cfRule>
    <cfRule type="cellIs" dxfId="160" priority="784" stopIfTrue="1" operator="equal">
      <formula>"Read"</formula>
    </cfRule>
    <cfRule type="cellIs" dxfId="159" priority="785" stopIfTrue="1" operator="equal">
      <formula>"Yes"</formula>
    </cfRule>
    <cfRule type="cellIs" dxfId="158" priority="786" stopIfTrue="1" operator="equal">
      <formula>"Booked"</formula>
    </cfRule>
    <cfRule type="cellIs" dxfId="157" priority="787" stopIfTrue="1" operator="equal">
      <formula>"Completed"</formula>
    </cfRule>
    <cfRule type="cellIs" dxfId="156" priority="788" stopIfTrue="1" operator="equal">
      <formula>"Won"</formula>
    </cfRule>
    <cfRule type="cellIs" dxfId="155" priority="789" stopIfTrue="1" operator="equal">
      <formula>"Prepare demo"</formula>
    </cfRule>
    <cfRule type="cellIs" dxfId="154" priority="790" stopIfTrue="1" operator="equal">
      <formula>"Follow-up sent"</formula>
    </cfRule>
    <cfRule type="cellIs" dxfId="153" priority="791" stopIfTrue="1" operator="equal">
      <formula>"High"</formula>
    </cfRule>
    <cfRule type="cellIs" dxfId="152" priority="792" stopIfTrue="1" operator="equal">
      <formula>"Medium"</formula>
    </cfRule>
    <cfRule type="cellIs" dxfId="151" priority="793" stopIfTrue="1" operator="equal">
      <formula>"Not sent"</formula>
    </cfRule>
    <cfRule type="cellIs" dxfId="150" priority="794" stopIfTrue="1" operator="equal">
      <formula>"Unknown"</formula>
    </cfRule>
    <cfRule type="cellIs" dxfId="149" priority="795" stopIfTrue="1" operator="equal">
      <formula>"Not offered"</formula>
    </cfRule>
    <cfRule type="cellIs" dxfId="148" priority="796" stopIfTrue="1" operator="equal">
      <formula>"Open"</formula>
    </cfRule>
    <cfRule type="cellIs" dxfId="147" priority="797" stopIfTrue="1" operator="equal">
      <formula>"Send WhatsApp"</formula>
    </cfRule>
    <cfRule type="cellIs" dxfId="146" priority="798" stopIfTrue="1" operator="equal">
      <formula>"Send follow-up"</formula>
    </cfRule>
    <cfRule type="cellIs" dxfId="145" priority="799" stopIfTrue="1" operator="equal">
      <formula>"Overdue"</formula>
    </cfRule>
    <cfRule type="cellIs" dxfId="144" priority="800" stopIfTrue="1" operator="equal">
      <formula>"Due today"</formula>
    </cfRule>
    <cfRule type="cellIs" dxfId="143" priority="801" stopIfTrue="1" operator="equal">
      <formula>"Check"</formula>
    </cfRule>
    <cfRule type="cellIs" dxfId="142" priority="802" stopIfTrue="1" operator="equal">
      <formula>"Hold"</formula>
    </cfRule>
    <cfRule type="cellIs" dxfId="141" priority="803" stopIfTrue="1" operator="equal">
      <formula>"Failed"</formula>
    </cfRule>
    <cfRule type="cellIs" dxfId="140" priority="804" stopIfTrue="1" operator="equal">
      <formula>"Not interested"</formula>
    </cfRule>
    <cfRule type="cellIs" dxfId="139" priority="805" stopIfTrue="1" operator="equal">
      <formula>"Bad number"</formula>
    </cfRule>
    <cfRule type="cellIs" dxfId="138" priority="806" stopIfTrue="1" operator="equal">
      <formula>"Wrong person"</formula>
    </cfRule>
    <cfRule type="cellIs" dxfId="137" priority="807" stopIfTrue="1" operator="equal">
      <formula>"No"</formula>
    </cfRule>
    <cfRule type="cellIs" dxfId="136" priority="808" stopIfTrue="1" operator="equal">
      <formula>"No show"</formula>
    </cfRule>
    <cfRule type="cellIs" dxfId="135" priority="809" stopIfTrue="1" operator="equal">
      <formula>"Lost"</formula>
    </cfRule>
    <cfRule type="cellIs" dxfId="134" priority="810" stopIfTrue="1" operator="equal">
      <formula>"Disqualified"</formula>
    </cfRule>
    <cfRule type="cellIs" dxfId="133" priority="811" stopIfTrue="1" operator="equal">
      <formula>"Do not send"</formula>
    </cfRule>
    <cfRule type="cellIs" dxfId="132" priority="812" stopIfTrue="1" operator="equal">
      <formula>"Sent"</formula>
    </cfRule>
    <cfRule type="cellIs" dxfId="131" priority="813" stopIfTrue="1" operator="equal">
      <formula>"Delivered"</formula>
    </cfRule>
    <cfRule type="cellIs" dxfId="130" priority="814" stopIfTrue="1" operator="equal">
      <formula>"Replied"</formula>
    </cfRule>
    <cfRule type="cellIs" dxfId="129" priority="815" stopIfTrue="1" operator="equal">
      <formula>"Interested"</formula>
    </cfRule>
    <cfRule type="cellIs" dxfId="128" priority="816" stopIfTrue="1" operator="equal">
      <formula>"Offered"</formula>
    </cfRule>
    <cfRule type="cellIs" dxfId="127" priority="817" stopIfTrue="1" operator="equal">
      <formula>"Nurture"</formula>
    </cfRule>
    <cfRule type="cellIs" dxfId="126" priority="818" stopIfTrue="1" operator="equal">
      <formula>"Review"</formula>
    </cfRule>
    <cfRule type="cellIs" dxfId="125" priority="819" stopIfTrue="1" operator="equal">
      <formula>"No reply"</formula>
    </cfRule>
  </conditionalFormatting>
  <conditionalFormatting sqref="T2:W523">
    <cfRule type="cellIs" dxfId="124" priority="898" stopIfTrue="1" operator="equal">
      <formula>"OK"</formula>
    </cfRule>
    <cfRule type="cellIs" dxfId="123" priority="899" stopIfTrue="1" operator="equal">
      <formula>"Send"</formula>
    </cfRule>
    <cfRule type="cellIs" dxfId="122" priority="900" stopIfTrue="1" operator="equal">
      <formula>"Normal"</formula>
    </cfRule>
    <cfRule type="cellIs" dxfId="121" priority="901" stopIfTrue="1" operator="equal">
      <formula>"Read"</formula>
    </cfRule>
    <cfRule type="cellIs" dxfId="120" priority="902" stopIfTrue="1" operator="equal">
      <formula>"Yes"</formula>
    </cfRule>
    <cfRule type="cellIs" dxfId="119" priority="903" stopIfTrue="1" operator="equal">
      <formula>"Booked"</formula>
    </cfRule>
    <cfRule type="cellIs" dxfId="118" priority="904" stopIfTrue="1" operator="equal">
      <formula>"Completed"</formula>
    </cfRule>
    <cfRule type="cellIs" dxfId="117" priority="905" stopIfTrue="1" operator="equal">
      <formula>"Won"</formula>
    </cfRule>
    <cfRule type="cellIs" dxfId="116" priority="906" stopIfTrue="1" operator="equal">
      <formula>"Prepare demo"</formula>
    </cfRule>
    <cfRule type="cellIs" dxfId="115" priority="907" stopIfTrue="1" operator="equal">
      <formula>"Follow-up sent"</formula>
    </cfRule>
    <cfRule type="cellIs" dxfId="114" priority="908" stopIfTrue="1" operator="equal">
      <formula>"High"</formula>
    </cfRule>
    <cfRule type="cellIs" dxfId="113" priority="909" stopIfTrue="1" operator="equal">
      <formula>"Medium"</formula>
    </cfRule>
    <cfRule type="cellIs" dxfId="112" priority="910" stopIfTrue="1" operator="equal">
      <formula>"Not sent"</formula>
    </cfRule>
    <cfRule type="cellIs" dxfId="111" priority="911" stopIfTrue="1" operator="equal">
      <formula>"Unknown"</formula>
    </cfRule>
    <cfRule type="cellIs" dxfId="110" priority="912" stopIfTrue="1" operator="equal">
      <formula>"Not offered"</formula>
    </cfRule>
    <cfRule type="cellIs" dxfId="109" priority="913" stopIfTrue="1" operator="equal">
      <formula>"Open"</formula>
    </cfRule>
    <cfRule type="cellIs" dxfId="108" priority="914" stopIfTrue="1" operator="equal">
      <formula>"Send WhatsApp"</formula>
    </cfRule>
    <cfRule type="cellIs" dxfId="107" priority="915" stopIfTrue="1" operator="equal">
      <formula>"Send follow-up"</formula>
    </cfRule>
    <cfRule type="cellIs" dxfId="106" priority="916" stopIfTrue="1" operator="equal">
      <formula>"Overdue"</formula>
    </cfRule>
    <cfRule type="cellIs" dxfId="105" priority="917" stopIfTrue="1" operator="equal">
      <formula>"Due today"</formula>
    </cfRule>
    <cfRule type="cellIs" dxfId="104" priority="918" stopIfTrue="1" operator="equal">
      <formula>"Check"</formula>
    </cfRule>
    <cfRule type="cellIs" dxfId="103" priority="919" stopIfTrue="1" operator="equal">
      <formula>"Hold"</formula>
    </cfRule>
    <cfRule type="cellIs" dxfId="102" priority="920" stopIfTrue="1" operator="equal">
      <formula>"Failed"</formula>
    </cfRule>
    <cfRule type="cellIs" dxfId="101" priority="921" stopIfTrue="1" operator="equal">
      <formula>"Not interested"</formula>
    </cfRule>
    <cfRule type="cellIs" dxfId="100" priority="922" stopIfTrue="1" operator="equal">
      <formula>"Bad number"</formula>
    </cfRule>
    <cfRule type="cellIs" dxfId="99" priority="923" stopIfTrue="1" operator="equal">
      <formula>"Wrong person"</formula>
    </cfRule>
    <cfRule type="cellIs" dxfId="98" priority="924" stopIfTrue="1" operator="equal">
      <formula>"No"</formula>
    </cfRule>
    <cfRule type="cellIs" dxfId="97" priority="925" stopIfTrue="1" operator="equal">
      <formula>"No show"</formula>
    </cfRule>
    <cfRule type="cellIs" dxfId="96" priority="926" stopIfTrue="1" operator="equal">
      <formula>"Lost"</formula>
    </cfRule>
    <cfRule type="cellIs" dxfId="95" priority="927" stopIfTrue="1" operator="equal">
      <formula>"Disqualified"</formula>
    </cfRule>
    <cfRule type="cellIs" dxfId="94" priority="928" stopIfTrue="1" operator="equal">
      <formula>"Do not send"</formula>
    </cfRule>
    <cfRule type="cellIs" dxfId="93" priority="929" stopIfTrue="1" operator="equal">
      <formula>"Sent"</formula>
    </cfRule>
    <cfRule type="cellIs" dxfId="92" priority="930" stopIfTrue="1" operator="equal">
      <formula>"Delivered"</formula>
    </cfRule>
    <cfRule type="cellIs" dxfId="91" priority="931" stopIfTrue="1" operator="equal">
      <formula>"Replied"</formula>
    </cfRule>
    <cfRule type="cellIs" dxfId="90" priority="932" stopIfTrue="1" operator="equal">
      <formula>"Interested"</formula>
    </cfRule>
    <cfRule type="cellIs" dxfId="89" priority="933" stopIfTrue="1" operator="equal">
      <formula>"Offered"</formula>
    </cfRule>
    <cfRule type="cellIs" dxfId="88" priority="934" stopIfTrue="1" operator="equal">
      <formula>"Nurture"</formula>
    </cfRule>
    <cfRule type="cellIs" dxfId="87" priority="935" stopIfTrue="1" operator="equal">
      <formula>"Review"</formula>
    </cfRule>
    <cfRule type="cellIs" dxfId="86" priority="936" stopIfTrue="1" operator="equal">
      <formula>"No reply"</formula>
    </cfRule>
  </conditionalFormatting>
  <conditionalFormatting sqref="Z2:AA523">
    <cfRule type="cellIs" dxfId="85" priority="1054" stopIfTrue="1" operator="equal">
      <formula>"OK"</formula>
    </cfRule>
    <cfRule type="cellIs" dxfId="84" priority="1055" stopIfTrue="1" operator="equal">
      <formula>"Send"</formula>
    </cfRule>
    <cfRule type="cellIs" dxfId="83" priority="1056" stopIfTrue="1" operator="equal">
      <formula>"Normal"</formula>
    </cfRule>
    <cfRule type="cellIs" dxfId="82" priority="1057" stopIfTrue="1" operator="equal">
      <formula>"Read"</formula>
    </cfRule>
    <cfRule type="cellIs" dxfId="81" priority="1058" stopIfTrue="1" operator="equal">
      <formula>"Yes"</formula>
    </cfRule>
    <cfRule type="cellIs" dxfId="80" priority="1059" stopIfTrue="1" operator="equal">
      <formula>"Booked"</formula>
    </cfRule>
    <cfRule type="cellIs" dxfId="79" priority="1060" stopIfTrue="1" operator="equal">
      <formula>"Completed"</formula>
    </cfRule>
    <cfRule type="cellIs" dxfId="78" priority="1061" stopIfTrue="1" operator="equal">
      <formula>"Won"</formula>
    </cfRule>
    <cfRule type="cellIs" dxfId="77" priority="1062" stopIfTrue="1" operator="equal">
      <formula>"Prepare demo"</formula>
    </cfRule>
    <cfRule type="cellIs" dxfId="76" priority="1063" stopIfTrue="1" operator="equal">
      <formula>"Follow-up sent"</formula>
    </cfRule>
    <cfRule type="cellIs" dxfId="75" priority="1064" stopIfTrue="1" operator="equal">
      <formula>"High"</formula>
    </cfRule>
    <cfRule type="cellIs" dxfId="74" priority="1065" stopIfTrue="1" operator="equal">
      <formula>"Medium"</formula>
    </cfRule>
    <cfRule type="cellIs" dxfId="73" priority="1066" stopIfTrue="1" operator="equal">
      <formula>"Not sent"</formula>
    </cfRule>
    <cfRule type="cellIs" dxfId="72" priority="1067" stopIfTrue="1" operator="equal">
      <formula>"Unknown"</formula>
    </cfRule>
    <cfRule type="cellIs" dxfId="71" priority="1068" stopIfTrue="1" operator="equal">
      <formula>"Not offered"</formula>
    </cfRule>
    <cfRule type="cellIs" dxfId="70" priority="1069" stopIfTrue="1" operator="equal">
      <formula>"Open"</formula>
    </cfRule>
    <cfRule type="cellIs" dxfId="69" priority="1070" stopIfTrue="1" operator="equal">
      <formula>"Send WhatsApp"</formula>
    </cfRule>
    <cfRule type="cellIs" dxfId="68" priority="1071" stopIfTrue="1" operator="equal">
      <formula>"Send follow-up"</formula>
    </cfRule>
    <cfRule type="cellIs" dxfId="67" priority="1072" stopIfTrue="1" operator="equal">
      <formula>"Overdue"</formula>
    </cfRule>
    <cfRule type="cellIs" dxfId="66" priority="1073" stopIfTrue="1" operator="equal">
      <formula>"Due today"</formula>
    </cfRule>
    <cfRule type="cellIs" dxfId="65" priority="1074" stopIfTrue="1" operator="equal">
      <formula>"Check"</formula>
    </cfRule>
    <cfRule type="cellIs" dxfId="64" priority="1075" stopIfTrue="1" operator="equal">
      <formula>"Hold"</formula>
    </cfRule>
    <cfRule type="cellIs" dxfId="63" priority="1076" stopIfTrue="1" operator="equal">
      <formula>"Failed"</formula>
    </cfRule>
    <cfRule type="cellIs" dxfId="62" priority="1077" stopIfTrue="1" operator="equal">
      <formula>"Not interested"</formula>
    </cfRule>
    <cfRule type="cellIs" dxfId="61" priority="1078" stopIfTrue="1" operator="equal">
      <formula>"Bad number"</formula>
    </cfRule>
    <cfRule type="cellIs" dxfId="60" priority="1079" stopIfTrue="1" operator="equal">
      <formula>"Wrong person"</formula>
    </cfRule>
    <cfRule type="cellIs" dxfId="59" priority="1080" stopIfTrue="1" operator="equal">
      <formula>"No"</formula>
    </cfRule>
    <cfRule type="cellIs" dxfId="58" priority="1081" stopIfTrue="1" operator="equal">
      <formula>"No show"</formula>
    </cfRule>
    <cfRule type="cellIs" dxfId="57" priority="1082" stopIfTrue="1" operator="equal">
      <formula>"Lost"</formula>
    </cfRule>
    <cfRule type="cellIs" dxfId="56" priority="1083" stopIfTrue="1" operator="equal">
      <formula>"Disqualified"</formula>
    </cfRule>
    <cfRule type="cellIs" dxfId="55" priority="1084" stopIfTrue="1" operator="equal">
      <formula>"Do not send"</formula>
    </cfRule>
    <cfRule type="cellIs" dxfId="54" priority="1085" stopIfTrue="1" operator="equal">
      <formula>"Sent"</formula>
    </cfRule>
    <cfRule type="cellIs" dxfId="53" priority="1086" stopIfTrue="1" operator="equal">
      <formula>"Delivered"</formula>
    </cfRule>
    <cfRule type="cellIs" dxfId="52" priority="1087" stopIfTrue="1" operator="equal">
      <formula>"Replied"</formula>
    </cfRule>
    <cfRule type="cellIs" dxfId="51" priority="1088" stopIfTrue="1" operator="equal">
      <formula>"Interested"</formula>
    </cfRule>
    <cfRule type="cellIs" dxfId="50" priority="1089" stopIfTrue="1" operator="equal">
      <formula>"Offered"</formula>
    </cfRule>
    <cfRule type="cellIs" dxfId="49" priority="1090" stopIfTrue="1" operator="equal">
      <formula>"Nurture"</formula>
    </cfRule>
    <cfRule type="cellIs" dxfId="48" priority="1091" stopIfTrue="1" operator="equal">
      <formula>"Review"</formula>
    </cfRule>
    <cfRule type="cellIs" dxfId="47" priority="1092" stopIfTrue="1" operator="equal">
      <formula>"No reply"</formula>
    </cfRule>
  </conditionalFormatting>
  <conditionalFormatting sqref="AJ2:AJ523">
    <cfRule type="cellIs" dxfId="46" priority="1132" stopIfTrue="1" operator="equal">
      <formula>"OK"</formula>
    </cfRule>
    <cfRule type="cellIs" dxfId="45" priority="1133" stopIfTrue="1" operator="equal">
      <formula>"Send"</formula>
    </cfRule>
    <cfRule type="cellIs" dxfId="44" priority="1134" stopIfTrue="1" operator="equal">
      <formula>"Normal"</formula>
    </cfRule>
    <cfRule type="cellIs" dxfId="43" priority="1135" stopIfTrue="1" operator="equal">
      <formula>"Read"</formula>
    </cfRule>
    <cfRule type="cellIs" dxfId="42" priority="1136" stopIfTrue="1" operator="equal">
      <formula>"Yes"</formula>
    </cfRule>
    <cfRule type="cellIs" dxfId="41" priority="1137" stopIfTrue="1" operator="equal">
      <formula>"Booked"</formula>
    </cfRule>
    <cfRule type="cellIs" dxfId="40" priority="1138" stopIfTrue="1" operator="equal">
      <formula>"Completed"</formula>
    </cfRule>
    <cfRule type="cellIs" dxfId="39" priority="1139" stopIfTrue="1" operator="equal">
      <formula>"Won"</formula>
    </cfRule>
    <cfRule type="cellIs" dxfId="38" priority="1140" stopIfTrue="1" operator="equal">
      <formula>"Prepare demo"</formula>
    </cfRule>
    <cfRule type="cellIs" dxfId="37" priority="1141" stopIfTrue="1" operator="equal">
      <formula>"Follow-up sent"</formula>
    </cfRule>
    <cfRule type="cellIs" dxfId="36" priority="1142" stopIfTrue="1" operator="equal">
      <formula>"High"</formula>
    </cfRule>
    <cfRule type="cellIs" dxfId="35" priority="1143" stopIfTrue="1" operator="equal">
      <formula>"Medium"</formula>
    </cfRule>
    <cfRule type="cellIs" dxfId="34" priority="1144" stopIfTrue="1" operator="equal">
      <formula>"Not sent"</formula>
    </cfRule>
    <cfRule type="cellIs" dxfId="33" priority="1145" stopIfTrue="1" operator="equal">
      <formula>"Unknown"</formula>
    </cfRule>
    <cfRule type="cellIs" dxfId="32" priority="1146" stopIfTrue="1" operator="equal">
      <formula>"Not offered"</formula>
    </cfRule>
    <cfRule type="cellIs" dxfId="31" priority="1147" stopIfTrue="1" operator="equal">
      <formula>"Open"</formula>
    </cfRule>
    <cfRule type="cellIs" dxfId="30" priority="1148" stopIfTrue="1" operator="equal">
      <formula>"Send WhatsApp"</formula>
    </cfRule>
    <cfRule type="cellIs" dxfId="29" priority="1149" stopIfTrue="1" operator="equal">
      <formula>"Send follow-up"</formula>
    </cfRule>
    <cfRule type="cellIs" dxfId="28" priority="1150" stopIfTrue="1" operator="equal">
      <formula>"Overdue"</formula>
    </cfRule>
    <cfRule type="cellIs" dxfId="27" priority="1151" stopIfTrue="1" operator="equal">
      <formula>"Due today"</formula>
    </cfRule>
    <cfRule type="cellIs" dxfId="26" priority="1152" stopIfTrue="1" operator="equal">
      <formula>"Check"</formula>
    </cfRule>
    <cfRule type="cellIs" dxfId="25" priority="1153" stopIfTrue="1" operator="equal">
      <formula>"Hold"</formula>
    </cfRule>
    <cfRule type="cellIs" dxfId="24" priority="1154" stopIfTrue="1" operator="equal">
      <formula>"Failed"</formula>
    </cfRule>
    <cfRule type="cellIs" dxfId="23" priority="1155" stopIfTrue="1" operator="equal">
      <formula>"Not interested"</formula>
    </cfRule>
    <cfRule type="cellIs" dxfId="22" priority="1156" stopIfTrue="1" operator="equal">
      <formula>"Bad number"</formula>
    </cfRule>
    <cfRule type="cellIs" dxfId="21" priority="1157" stopIfTrue="1" operator="equal">
      <formula>"Wrong person"</formula>
    </cfRule>
    <cfRule type="cellIs" dxfId="20" priority="1158" stopIfTrue="1" operator="equal">
      <formula>"No"</formula>
    </cfRule>
    <cfRule type="cellIs" dxfId="19" priority="1159" stopIfTrue="1" operator="equal">
      <formula>"No show"</formula>
    </cfRule>
    <cfRule type="cellIs" dxfId="18" priority="1160" stopIfTrue="1" operator="equal">
      <formula>"Lost"</formula>
    </cfRule>
    <cfRule type="cellIs" dxfId="17" priority="1161" stopIfTrue="1" operator="equal">
      <formula>"Disqualified"</formula>
    </cfRule>
    <cfRule type="cellIs" dxfId="16" priority="1162" stopIfTrue="1" operator="equal">
      <formula>"Do not send"</formula>
    </cfRule>
    <cfRule type="cellIs" dxfId="15" priority="1163" stopIfTrue="1" operator="equal">
      <formula>"Sent"</formula>
    </cfRule>
    <cfRule type="cellIs" dxfId="14" priority="1164" stopIfTrue="1" operator="equal">
      <formula>"Delivered"</formula>
    </cfRule>
    <cfRule type="cellIs" dxfId="13" priority="1165" stopIfTrue="1" operator="equal">
      <formula>"Replied"</formula>
    </cfRule>
    <cfRule type="cellIs" dxfId="12" priority="1166" stopIfTrue="1" operator="equal">
      <formula>"Interested"</formula>
    </cfRule>
    <cfRule type="cellIs" dxfId="11" priority="1167" stopIfTrue="1" operator="equal">
      <formula>"Offered"</formula>
    </cfRule>
    <cfRule type="cellIs" dxfId="10" priority="1168" stopIfTrue="1" operator="equal">
      <formula>"Nurture"</formula>
    </cfRule>
    <cfRule type="cellIs" dxfId="9" priority="1169" stopIfTrue="1" operator="equal">
      <formula>"Review"</formula>
    </cfRule>
    <cfRule type="cellIs" dxfId="8" priority="1170" stopIfTrue="1" operator="equal">
      <formula>"No reply"</formula>
    </cfRule>
  </conditionalFormatting>
  <dataValidations count="9">
    <dataValidation type="list" allowBlank="1" sqref="L2:L39" xr:uid="{00000000-0002-0000-0200-000000000000}">
      <formula1>"Send,Hold"</formula1>
    </dataValidation>
    <dataValidation type="list" allowBlank="1" sqref="M2:M39" xr:uid="{00000000-0002-0000-0200-000001000000}">
      <formula1>"High,Medium,Normal,Hold"</formula1>
    </dataValidation>
    <dataValidation type="list" allowBlank="1" sqref="O2:O39" xr:uid="{00000000-0002-0000-0200-000002000000}">
      <formula1>"Price hook,Question hook,Follow-up"</formula1>
    </dataValidation>
    <dataValidation type="list" allowBlank="1" sqref="P2:P39" xr:uid="{00000000-0002-0000-0200-000003000000}">
      <formula1>"Price v4,No image,Manual image"</formula1>
    </dataValidation>
    <dataValidation type="list" allowBlank="1" sqref="T2:T47" xr:uid="{00000000-0002-0000-0200-000004000000}">
      <formula1>"Not sent,Sent,Delivered,Read,Failed"</formula1>
    </dataValidation>
    <dataValidation type="list" allowBlank="1" sqref="U2:U39" xr:uid="{00000000-0002-0000-0200-000005000000}">
      <formula1>"Unknown,No reply,Replied,Interested,Demo booked,Not interested,Bad number,Wrong person"</formula1>
    </dataValidation>
    <dataValidation type="list" allowBlank="1" sqref="V2:V39" xr:uid="{00000000-0002-0000-0200-000006000000}">
      <formula1>"Unknown,Yes,No"</formula1>
    </dataValidation>
    <dataValidation type="list" allowBlank="1" sqref="W2:W39" xr:uid="{00000000-0002-0000-0200-000007000000}">
      <formula1>"Not offered,Offered,Booked,Completed,No show"</formula1>
    </dataValidation>
    <dataValidation type="list" allowBlank="1" sqref="Z2:Z39" xr:uid="{00000000-0002-0000-0200-000008000000}">
      <formula1>"Open,Won,Lost,Nurture,Disqualified"</formula1>
    </dataValidation>
  </dataValidations>
  <hyperlinks>
    <hyperlink ref="Q503" r:id="rId1" xr:uid="{00000000-0004-0000-0200-000000000000}"/>
    <hyperlink ref="AO503" r:id="rId2" xr:uid="{00000000-0004-0000-0200-000001000000}"/>
    <hyperlink ref="Q4" r:id="rId3" xr:uid="{00000000-0004-0000-0200-000002000000}"/>
    <hyperlink ref="AO4" r:id="rId4" xr:uid="{00000000-0004-0000-0200-000003000000}"/>
    <hyperlink ref="Q504" r:id="rId5" xr:uid="{00000000-0004-0000-0200-000004000000}"/>
    <hyperlink ref="AO504" r:id="rId6" xr:uid="{00000000-0004-0000-0200-000005000000}"/>
    <hyperlink ref="Q515" r:id="rId7" xr:uid="{00000000-0004-0000-0200-000006000000}"/>
    <hyperlink ref="AO515" r:id="rId8" xr:uid="{00000000-0004-0000-0200-000007000000}"/>
    <hyperlink ref="Q516" r:id="rId9" xr:uid="{00000000-0004-0000-0200-000008000000}"/>
    <hyperlink ref="AO516" r:id="rId10" xr:uid="{00000000-0004-0000-0200-000009000000}"/>
    <hyperlink ref="Q517" r:id="rId11" xr:uid="{00000000-0004-0000-0200-00000A000000}"/>
    <hyperlink ref="AO517" r:id="rId12" xr:uid="{00000000-0004-0000-0200-00000B000000}"/>
    <hyperlink ref="Q505" r:id="rId13" xr:uid="{00000000-0004-0000-0200-00000C000000}"/>
    <hyperlink ref="AO505" r:id="rId14" xr:uid="{00000000-0004-0000-0200-00000D000000}"/>
    <hyperlink ref="Q5" r:id="rId15" xr:uid="{00000000-0004-0000-0200-00000E000000}"/>
    <hyperlink ref="AO5" r:id="rId16" xr:uid="{00000000-0004-0000-0200-00000F000000}"/>
    <hyperlink ref="Q506" r:id="rId17" xr:uid="{00000000-0004-0000-0200-000010000000}"/>
    <hyperlink ref="AO506" r:id="rId18" xr:uid="{00000000-0004-0000-0200-000011000000}"/>
    <hyperlink ref="Q3" r:id="rId19" xr:uid="{00000000-0004-0000-0200-000012000000}"/>
    <hyperlink ref="AO3" r:id="rId20" xr:uid="{00000000-0004-0000-0200-000013000000}"/>
    <hyperlink ref="Q507" r:id="rId21" xr:uid="{00000000-0004-0000-0200-000014000000}"/>
    <hyperlink ref="AO507" r:id="rId22" xr:uid="{00000000-0004-0000-0200-000015000000}"/>
    <hyperlink ref="Q6" r:id="rId23" xr:uid="{00000000-0004-0000-0200-000016000000}"/>
    <hyperlink ref="AO6" r:id="rId24" xr:uid="{00000000-0004-0000-0200-000017000000}"/>
    <hyperlink ref="Q7" r:id="rId25" xr:uid="{00000000-0004-0000-0200-000018000000}"/>
    <hyperlink ref="AO7" r:id="rId26" xr:uid="{00000000-0004-0000-0200-000019000000}"/>
    <hyperlink ref="Q508" r:id="rId27" xr:uid="{00000000-0004-0000-0200-00001A000000}"/>
    <hyperlink ref="AO508" r:id="rId28" xr:uid="{00000000-0004-0000-0200-00001B000000}"/>
    <hyperlink ref="Q8" r:id="rId29" xr:uid="{00000000-0004-0000-0200-00001C000000}"/>
    <hyperlink ref="AO8" r:id="rId30" xr:uid="{00000000-0004-0000-0200-00001D000000}"/>
    <hyperlink ref="Q509" r:id="rId31" xr:uid="{00000000-0004-0000-0200-00001E000000}"/>
    <hyperlink ref="AO509" r:id="rId32" xr:uid="{00000000-0004-0000-0200-00001F000000}"/>
    <hyperlink ref="Q518" r:id="rId33" xr:uid="{00000000-0004-0000-0200-000020000000}"/>
    <hyperlink ref="AO518" r:id="rId34" xr:uid="{00000000-0004-0000-0200-000021000000}"/>
    <hyperlink ref="Q9" r:id="rId35" xr:uid="{00000000-0004-0000-0200-000022000000}"/>
    <hyperlink ref="AO9" r:id="rId36" xr:uid="{00000000-0004-0000-0200-000023000000}"/>
    <hyperlink ref="Q10" r:id="rId37" xr:uid="{00000000-0004-0000-0200-000024000000}"/>
    <hyperlink ref="AO10" r:id="rId38" xr:uid="{00000000-0004-0000-0200-000025000000}"/>
    <hyperlink ref="Q510" r:id="rId39" xr:uid="{00000000-0004-0000-0200-000026000000}"/>
    <hyperlink ref="AO510" r:id="rId40" xr:uid="{00000000-0004-0000-0200-000027000000}"/>
    <hyperlink ref="Q501" r:id="rId41" xr:uid="{00000000-0004-0000-0200-000028000000}"/>
    <hyperlink ref="Q2" r:id="rId42" xr:uid="{00000000-0004-0000-0200-000029000000}"/>
    <hyperlink ref="AO2" r:id="rId43" xr:uid="{00000000-0004-0000-0200-00002A000000}"/>
    <hyperlink ref="Q519" r:id="rId44" xr:uid="{00000000-0004-0000-0200-00002B000000}"/>
    <hyperlink ref="AO519" r:id="rId45" xr:uid="{00000000-0004-0000-0200-00002C000000}"/>
    <hyperlink ref="Q511" r:id="rId46" xr:uid="{00000000-0004-0000-0200-00002D000000}"/>
    <hyperlink ref="AO511" r:id="rId47" xr:uid="{00000000-0004-0000-0200-00002E000000}"/>
    <hyperlink ref="Q11" r:id="rId48" xr:uid="{00000000-0004-0000-0200-00002F000000}"/>
    <hyperlink ref="AO11" r:id="rId49" xr:uid="{00000000-0004-0000-0200-000030000000}"/>
    <hyperlink ref="Q12" r:id="rId50" xr:uid="{00000000-0004-0000-0200-000031000000}"/>
    <hyperlink ref="AO12" r:id="rId51" xr:uid="{00000000-0004-0000-0200-000032000000}"/>
    <hyperlink ref="Q520" r:id="rId52" xr:uid="{00000000-0004-0000-0200-000033000000}"/>
    <hyperlink ref="AO520" r:id="rId53" xr:uid="{00000000-0004-0000-0200-000034000000}"/>
    <hyperlink ref="Q13" r:id="rId54" xr:uid="{00000000-0004-0000-0200-000035000000}"/>
    <hyperlink ref="AO13" r:id="rId55" xr:uid="{00000000-0004-0000-0200-000036000000}"/>
    <hyperlink ref="Q14" r:id="rId56" xr:uid="{00000000-0004-0000-0200-000037000000}"/>
    <hyperlink ref="AO14" r:id="rId57" xr:uid="{00000000-0004-0000-0200-000038000000}"/>
    <hyperlink ref="Q15" r:id="rId58" xr:uid="{00000000-0004-0000-0200-000039000000}"/>
    <hyperlink ref="AO15" r:id="rId59" xr:uid="{00000000-0004-0000-0200-00003A000000}"/>
    <hyperlink ref="Q502" r:id="rId60" xr:uid="{00000000-0004-0000-0200-00003B000000}"/>
    <hyperlink ref="Q512" r:id="rId61" xr:uid="{00000000-0004-0000-0200-00003C000000}"/>
    <hyperlink ref="AO512" r:id="rId62" xr:uid="{00000000-0004-0000-0200-00003D000000}"/>
    <hyperlink ref="Q521" r:id="rId63" xr:uid="{00000000-0004-0000-0200-00003E000000}"/>
    <hyperlink ref="AO521" r:id="rId64" xr:uid="{00000000-0004-0000-0200-00003F000000}"/>
    <hyperlink ref="Q513" r:id="rId65" xr:uid="{00000000-0004-0000-0200-000040000000}"/>
    <hyperlink ref="AO513" r:id="rId66" xr:uid="{00000000-0004-0000-0200-000041000000}"/>
    <hyperlink ref="Q522" r:id="rId67" xr:uid="{00000000-0004-0000-0200-000042000000}"/>
    <hyperlink ref="AO522" r:id="rId68" xr:uid="{00000000-0004-0000-0200-000043000000}"/>
    <hyperlink ref="Q500" r:id="rId69" xr:uid="{00000000-0004-0000-0200-000044000000}"/>
    <hyperlink ref="Q514" r:id="rId70" xr:uid="{00000000-0004-0000-0200-000045000000}"/>
    <hyperlink ref="AO514" r:id="rId71" xr:uid="{00000000-0004-0000-0200-000046000000}"/>
    <hyperlink ref="Q523" r:id="rId72" xr:uid="{00000000-0004-0000-0200-000047000000}"/>
    <hyperlink ref="AO523" r:id="rId73" xr:uid="{00000000-0004-0000-0200-000048000000}"/>
    <hyperlink ref="Q16" r:id="rId74" xr:uid="{00000000-0004-0000-0200-000049000000}"/>
    <hyperlink ref="AO16" r:id="rId75" xr:uid="{00000000-0004-0000-0200-00004A000000}"/>
    <hyperlink ref="Q17" r:id="rId76" xr:uid="{00000000-0004-0000-0200-00004B000000}"/>
    <hyperlink ref="AO17" r:id="rId77" xr:uid="{00000000-0004-0000-0200-00004C000000}"/>
    <hyperlink ref="Q18" r:id="rId78" xr:uid="{00000000-0004-0000-0200-00004D000000}"/>
    <hyperlink ref="AO18" r:id="rId79" xr:uid="{00000000-0004-0000-0200-00004E000000}"/>
    <hyperlink ref="Q19" r:id="rId80" xr:uid="{00000000-0004-0000-0200-00004F000000}"/>
    <hyperlink ref="AO19" r:id="rId81" xr:uid="{00000000-0004-0000-0200-000050000000}"/>
    <hyperlink ref="Q20" r:id="rId82" xr:uid="{00000000-0004-0000-0200-000051000000}"/>
    <hyperlink ref="AO20" r:id="rId83" xr:uid="{00000000-0004-0000-0200-000052000000}"/>
    <hyperlink ref="Q21" r:id="rId84" xr:uid="{00000000-0004-0000-0200-000053000000}"/>
    <hyperlink ref="AO21" r:id="rId85" xr:uid="{00000000-0004-0000-0200-000054000000}"/>
    <hyperlink ref="Q22" r:id="rId86" xr:uid="{00000000-0004-0000-0200-000055000000}"/>
    <hyperlink ref="AO22" r:id="rId87" xr:uid="{00000000-0004-0000-0200-000056000000}"/>
    <hyperlink ref="Q23" r:id="rId88" xr:uid="{00000000-0004-0000-0200-000057000000}"/>
    <hyperlink ref="AO23" r:id="rId89" xr:uid="{00000000-0004-0000-0200-000058000000}"/>
    <hyperlink ref="Q24" r:id="rId90" xr:uid="{00000000-0004-0000-0200-000059000000}"/>
    <hyperlink ref="AO24" r:id="rId91" xr:uid="{00000000-0004-0000-0200-00005A000000}"/>
    <hyperlink ref="Q25" r:id="rId92" xr:uid="{00000000-0004-0000-0200-00005B000000}"/>
    <hyperlink ref="AO25" r:id="rId93" xr:uid="{00000000-0004-0000-0200-00005C000000}"/>
    <hyperlink ref="Q26" r:id="rId94" xr:uid="{00000000-0004-0000-0200-00005D000000}"/>
    <hyperlink ref="AO26" r:id="rId95" xr:uid="{00000000-0004-0000-0200-00005E000000}"/>
    <hyperlink ref="Q27" r:id="rId96" xr:uid="{00000000-0004-0000-0200-00005F000000}"/>
    <hyperlink ref="AO27" r:id="rId97" xr:uid="{00000000-0004-0000-0200-000060000000}"/>
    <hyperlink ref="Q28" r:id="rId98" xr:uid="{00000000-0004-0000-0200-000061000000}"/>
    <hyperlink ref="AO28" r:id="rId99" xr:uid="{00000000-0004-0000-0200-000062000000}"/>
    <hyperlink ref="Q29" r:id="rId100" xr:uid="{00000000-0004-0000-0200-000063000000}"/>
    <hyperlink ref="AO29" r:id="rId101" xr:uid="{00000000-0004-0000-0200-000064000000}"/>
    <hyperlink ref="Q30" r:id="rId102" xr:uid="{00000000-0004-0000-0200-000065000000}"/>
    <hyperlink ref="AO30" r:id="rId103" xr:uid="{00000000-0004-0000-0200-000066000000}"/>
    <hyperlink ref="Q31" r:id="rId104" xr:uid="{00000000-0004-0000-0200-000067000000}"/>
    <hyperlink ref="AO31" r:id="rId105" xr:uid="{00000000-0004-0000-0200-000068000000}"/>
    <hyperlink ref="Q32" r:id="rId106" xr:uid="{00000000-0004-0000-0200-000069000000}"/>
    <hyperlink ref="AO32" r:id="rId107" xr:uid="{00000000-0004-0000-0200-00006A000000}"/>
    <hyperlink ref="Q33" r:id="rId108" xr:uid="{00000000-0004-0000-0200-00006B000000}"/>
    <hyperlink ref="AO33" r:id="rId109" xr:uid="{00000000-0004-0000-0200-00006C000000}"/>
    <hyperlink ref="Q34" r:id="rId110" xr:uid="{00000000-0004-0000-0200-00006D000000}"/>
    <hyperlink ref="AO34" r:id="rId111" xr:uid="{00000000-0004-0000-0200-00006E000000}"/>
    <hyperlink ref="Q35" r:id="rId112" xr:uid="{00000000-0004-0000-0200-00006F000000}"/>
    <hyperlink ref="AO35" r:id="rId113" xr:uid="{00000000-0004-0000-0200-000070000000}"/>
    <hyperlink ref="Q36" r:id="rId114" xr:uid="{00000000-0004-0000-0200-000071000000}"/>
    <hyperlink ref="AO36" r:id="rId115" xr:uid="{00000000-0004-0000-0200-000072000000}"/>
    <hyperlink ref="Q37" r:id="rId116" xr:uid="{00000000-0004-0000-0200-000073000000}"/>
    <hyperlink ref="AO37" r:id="rId117" xr:uid="{00000000-0004-0000-0200-000074000000}"/>
    <hyperlink ref="Q38" r:id="rId118" xr:uid="{00000000-0004-0000-0200-000075000000}"/>
    <hyperlink ref="AO38" r:id="rId119" xr:uid="{00000000-0004-0000-0200-000076000000}"/>
    <hyperlink ref="Q39" r:id="rId120" xr:uid="{00000000-0004-0000-0200-000077000000}"/>
    <hyperlink ref="AO39" r:id="rId121" xr:uid="{00000000-0004-0000-0200-000078000000}"/>
    <hyperlink ref="Q40" r:id="rId122" xr:uid="{00000000-0004-0000-0200-000079000000}"/>
    <hyperlink ref="AO40" r:id="rId123" xr:uid="{00000000-0004-0000-0200-00007A000000}"/>
    <hyperlink ref="Q41" r:id="rId124" xr:uid="{00000000-0004-0000-0200-00007B000000}"/>
    <hyperlink ref="AO41" r:id="rId125" xr:uid="{00000000-0004-0000-0200-00007C000000}"/>
    <hyperlink ref="Q42" r:id="rId126" xr:uid="{00000000-0004-0000-0200-00007D000000}"/>
    <hyperlink ref="AO42" r:id="rId127" xr:uid="{00000000-0004-0000-0200-00007E000000}"/>
    <hyperlink ref="Q43" r:id="rId128" xr:uid="{00000000-0004-0000-0200-00007F000000}"/>
    <hyperlink ref="AO43" r:id="rId129" xr:uid="{00000000-0004-0000-0200-000080000000}"/>
    <hyperlink ref="Q44" r:id="rId130" xr:uid="{00000000-0004-0000-0200-000081000000}"/>
    <hyperlink ref="AO44" r:id="rId131" xr:uid="{00000000-0004-0000-0200-000082000000}"/>
    <hyperlink ref="Q45" r:id="rId132" xr:uid="{00000000-0004-0000-0200-000083000000}"/>
    <hyperlink ref="AO45" r:id="rId133" xr:uid="{00000000-0004-0000-0200-000084000000}"/>
    <hyperlink ref="Q46" r:id="rId134" xr:uid="{00000000-0004-0000-0200-000085000000}"/>
    <hyperlink ref="AO46" r:id="rId135" xr:uid="{00000000-0004-0000-0200-000086000000}"/>
    <hyperlink ref="Q47" r:id="rId136" xr:uid="{00000000-0004-0000-0200-000087000000}"/>
    <hyperlink ref="AO47" r:id="rId137" xr:uid="{00000000-0004-0000-0200-000088000000}"/>
    <hyperlink ref="Q48" r:id="rId138" xr:uid="{00000000-0004-0000-0200-000089000000}"/>
    <hyperlink ref="AO48" r:id="rId139" xr:uid="{00000000-0004-0000-0200-00008A000000}"/>
    <hyperlink ref="Q49" r:id="rId140" xr:uid="{00000000-0004-0000-0200-00008B000000}"/>
    <hyperlink ref="AO49" r:id="rId141" xr:uid="{00000000-0004-0000-0200-00008C000000}"/>
    <hyperlink ref="Q50" r:id="rId142" xr:uid="{00000000-0004-0000-0200-00008D000000}"/>
    <hyperlink ref="AO50" r:id="rId143" xr:uid="{00000000-0004-0000-0200-00008E000000}"/>
    <hyperlink ref="Q51" r:id="rId144" xr:uid="{00000000-0004-0000-0200-00008F000000}"/>
    <hyperlink ref="AO51" r:id="rId145" xr:uid="{00000000-0004-0000-0200-000090000000}"/>
    <hyperlink ref="Q52" r:id="rId146" xr:uid="{00000000-0004-0000-0200-000091000000}"/>
    <hyperlink ref="AO52" r:id="rId147" xr:uid="{00000000-0004-0000-0200-000092000000}"/>
    <hyperlink ref="Q53" r:id="rId148" xr:uid="{00000000-0004-0000-0200-000093000000}"/>
    <hyperlink ref="AO53" r:id="rId149" xr:uid="{00000000-0004-0000-0200-000094000000}"/>
    <hyperlink ref="Q54" r:id="rId150" xr:uid="{00000000-0004-0000-0200-000095000000}"/>
    <hyperlink ref="AO54" r:id="rId151" xr:uid="{00000000-0004-0000-0200-000096000000}"/>
    <hyperlink ref="Q55" r:id="rId152" xr:uid="{00000000-0004-0000-0200-000097000000}"/>
    <hyperlink ref="AO55" r:id="rId153" xr:uid="{00000000-0004-0000-0200-000098000000}"/>
    <hyperlink ref="Q56" r:id="rId154" xr:uid="{00000000-0004-0000-0200-000099000000}"/>
    <hyperlink ref="AO56" r:id="rId155" xr:uid="{00000000-0004-0000-0200-00009A000000}"/>
    <hyperlink ref="Q57" r:id="rId156" xr:uid="{00000000-0004-0000-0200-00009B000000}"/>
    <hyperlink ref="AO57" r:id="rId157" xr:uid="{00000000-0004-0000-0200-00009C000000}"/>
    <hyperlink ref="Q58" r:id="rId158" xr:uid="{00000000-0004-0000-0200-00009D000000}"/>
    <hyperlink ref="AO58" r:id="rId159" xr:uid="{00000000-0004-0000-0200-00009E000000}"/>
    <hyperlink ref="Q59" r:id="rId160" xr:uid="{00000000-0004-0000-0200-00009F000000}"/>
    <hyperlink ref="AO59" r:id="rId161" xr:uid="{00000000-0004-0000-0200-0000A0000000}"/>
    <hyperlink ref="Q60" r:id="rId162" xr:uid="{00000000-0004-0000-0200-0000A1000000}"/>
    <hyperlink ref="AO60" r:id="rId163" xr:uid="{00000000-0004-0000-0200-0000A2000000}"/>
    <hyperlink ref="Q61" r:id="rId164" xr:uid="{00000000-0004-0000-0200-0000A3000000}"/>
    <hyperlink ref="AO61" r:id="rId165" xr:uid="{00000000-0004-0000-0200-0000A4000000}"/>
    <hyperlink ref="Q62" r:id="rId166" xr:uid="{00000000-0004-0000-0200-0000A5000000}"/>
    <hyperlink ref="AO62" r:id="rId167" xr:uid="{00000000-0004-0000-0200-0000A6000000}"/>
    <hyperlink ref="Q63" r:id="rId168" xr:uid="{00000000-0004-0000-0200-0000A7000000}"/>
    <hyperlink ref="AO63" r:id="rId169" xr:uid="{00000000-0004-0000-0200-0000A8000000}"/>
    <hyperlink ref="Q64" r:id="rId170" xr:uid="{00000000-0004-0000-0200-0000A9000000}"/>
    <hyperlink ref="AO64" r:id="rId171" xr:uid="{00000000-0004-0000-0200-0000AA000000}"/>
    <hyperlink ref="Q65" r:id="rId172" xr:uid="{00000000-0004-0000-0200-0000AB000000}"/>
    <hyperlink ref="AO65" r:id="rId173" xr:uid="{00000000-0004-0000-0200-0000AC000000}"/>
    <hyperlink ref="Q66" r:id="rId174" xr:uid="{00000000-0004-0000-0200-0000AD000000}"/>
    <hyperlink ref="AO66" r:id="rId175" xr:uid="{00000000-0004-0000-0200-0000AE000000}"/>
    <hyperlink ref="Q67" r:id="rId176" xr:uid="{00000000-0004-0000-0200-0000AF000000}"/>
    <hyperlink ref="AO67" r:id="rId177" xr:uid="{00000000-0004-0000-0200-0000B0000000}"/>
    <hyperlink ref="Q68" r:id="rId178" xr:uid="{00000000-0004-0000-0200-0000B1000000}"/>
    <hyperlink ref="AO68" r:id="rId179" xr:uid="{00000000-0004-0000-0200-0000B2000000}"/>
    <hyperlink ref="Q69" r:id="rId180" xr:uid="{00000000-0004-0000-0200-0000B3000000}"/>
    <hyperlink ref="AO69" r:id="rId181" xr:uid="{00000000-0004-0000-0200-0000B4000000}"/>
    <hyperlink ref="Q70" r:id="rId182" xr:uid="{00000000-0004-0000-0200-0000B5000000}"/>
    <hyperlink ref="AO70" r:id="rId183" xr:uid="{00000000-0004-0000-0200-0000B6000000}"/>
    <hyperlink ref="Q71" r:id="rId184" xr:uid="{00000000-0004-0000-0200-0000B7000000}"/>
    <hyperlink ref="AO71" r:id="rId185" xr:uid="{00000000-0004-0000-0200-0000B8000000}"/>
    <hyperlink ref="Q72" r:id="rId186" xr:uid="{00000000-0004-0000-0200-0000B9000000}"/>
    <hyperlink ref="AO72" r:id="rId187" xr:uid="{00000000-0004-0000-0200-0000BA000000}"/>
    <hyperlink ref="Q73" r:id="rId188" xr:uid="{00000000-0004-0000-0200-0000BB000000}"/>
    <hyperlink ref="AO73" r:id="rId189" xr:uid="{00000000-0004-0000-0200-0000BC000000}"/>
    <hyperlink ref="Q74" r:id="rId190" xr:uid="{00000000-0004-0000-0200-0000BD000000}"/>
    <hyperlink ref="AO74" r:id="rId191" xr:uid="{00000000-0004-0000-0200-0000BE000000}"/>
    <hyperlink ref="Q75" r:id="rId192" xr:uid="{00000000-0004-0000-0200-0000BF000000}"/>
    <hyperlink ref="AO75" r:id="rId193" xr:uid="{00000000-0004-0000-0200-0000C0000000}"/>
    <hyperlink ref="Q76" r:id="rId194" xr:uid="{00000000-0004-0000-0200-0000C1000000}"/>
    <hyperlink ref="AO76" r:id="rId195" xr:uid="{00000000-0004-0000-0200-0000C2000000}"/>
    <hyperlink ref="Q77" r:id="rId196" xr:uid="{00000000-0004-0000-0200-0000C3000000}"/>
    <hyperlink ref="AO77" r:id="rId197" xr:uid="{00000000-0004-0000-0200-0000C4000000}"/>
    <hyperlink ref="Q78" r:id="rId198" xr:uid="{00000000-0004-0000-0200-0000C5000000}"/>
    <hyperlink ref="AO78" r:id="rId199" xr:uid="{00000000-0004-0000-0200-0000C6000000}"/>
    <hyperlink ref="Q79" r:id="rId200" xr:uid="{00000000-0004-0000-0200-0000C7000000}"/>
    <hyperlink ref="AO79" r:id="rId201" xr:uid="{00000000-0004-0000-0200-0000C8000000}"/>
    <hyperlink ref="Q80" r:id="rId202" xr:uid="{00000000-0004-0000-0200-0000C9000000}"/>
    <hyperlink ref="AO80" r:id="rId203" xr:uid="{00000000-0004-0000-0200-0000CA000000}"/>
    <hyperlink ref="Q81" r:id="rId204" xr:uid="{00000000-0004-0000-0200-0000CB000000}"/>
    <hyperlink ref="AO81" r:id="rId205" xr:uid="{00000000-0004-0000-0200-0000CC000000}"/>
    <hyperlink ref="Q82" r:id="rId206" xr:uid="{00000000-0004-0000-0200-0000CD000000}"/>
    <hyperlink ref="AO82" r:id="rId207" xr:uid="{00000000-0004-0000-0200-0000CE000000}"/>
    <hyperlink ref="Q83" r:id="rId208" xr:uid="{00000000-0004-0000-0200-0000CF000000}"/>
    <hyperlink ref="AO83" r:id="rId209" xr:uid="{00000000-0004-0000-0200-0000D0000000}"/>
    <hyperlink ref="Q84" r:id="rId210" xr:uid="{00000000-0004-0000-0200-0000D1000000}"/>
    <hyperlink ref="AO84" r:id="rId211" xr:uid="{00000000-0004-0000-0200-0000D2000000}"/>
    <hyperlink ref="Q85" r:id="rId212" xr:uid="{00000000-0004-0000-0200-0000D3000000}"/>
    <hyperlink ref="AO85" r:id="rId213" xr:uid="{00000000-0004-0000-0200-0000D4000000}"/>
    <hyperlink ref="Q86" r:id="rId214" xr:uid="{00000000-0004-0000-0200-0000D5000000}"/>
    <hyperlink ref="AO86" r:id="rId215" xr:uid="{00000000-0004-0000-0200-0000D6000000}"/>
    <hyperlink ref="Q87" r:id="rId216" xr:uid="{00000000-0004-0000-0200-0000D7000000}"/>
    <hyperlink ref="AO87" r:id="rId217" xr:uid="{00000000-0004-0000-0200-0000D8000000}"/>
    <hyperlink ref="Q88" r:id="rId218" xr:uid="{00000000-0004-0000-0200-0000D9000000}"/>
    <hyperlink ref="AO88" r:id="rId219" xr:uid="{00000000-0004-0000-0200-0000DA000000}"/>
    <hyperlink ref="Q89" r:id="rId220" xr:uid="{00000000-0004-0000-0200-0000DB000000}"/>
    <hyperlink ref="AO89" r:id="rId221" xr:uid="{00000000-0004-0000-0200-0000DC000000}"/>
    <hyperlink ref="Q90" r:id="rId222" xr:uid="{00000000-0004-0000-0200-0000DD000000}"/>
    <hyperlink ref="AO90" r:id="rId223" xr:uid="{00000000-0004-0000-0200-0000DE000000}"/>
    <hyperlink ref="Q91" r:id="rId224" xr:uid="{00000000-0004-0000-0200-0000DF000000}"/>
    <hyperlink ref="AO91" r:id="rId225" xr:uid="{00000000-0004-0000-0200-0000E0000000}"/>
    <hyperlink ref="Q92" r:id="rId226" xr:uid="{00000000-0004-0000-0200-0000E1000000}"/>
    <hyperlink ref="AO92" r:id="rId227" xr:uid="{00000000-0004-0000-0200-0000E2000000}"/>
    <hyperlink ref="Q93" r:id="rId228" xr:uid="{00000000-0004-0000-0200-0000E3000000}"/>
    <hyperlink ref="AO93" r:id="rId229" xr:uid="{00000000-0004-0000-0200-0000E4000000}"/>
    <hyperlink ref="Q94" r:id="rId230" xr:uid="{00000000-0004-0000-0200-0000E5000000}"/>
    <hyperlink ref="AO94" r:id="rId231" xr:uid="{00000000-0004-0000-0200-0000E6000000}"/>
    <hyperlink ref="Q95" r:id="rId232" xr:uid="{00000000-0004-0000-0200-0000E7000000}"/>
    <hyperlink ref="AO95" r:id="rId233" xr:uid="{00000000-0004-0000-0200-0000E8000000}"/>
    <hyperlink ref="Q96" r:id="rId234" xr:uid="{00000000-0004-0000-0200-0000E9000000}"/>
    <hyperlink ref="AO96" r:id="rId235" xr:uid="{00000000-0004-0000-0200-0000EA000000}"/>
    <hyperlink ref="Q97" r:id="rId236" xr:uid="{00000000-0004-0000-0200-0000EB000000}"/>
    <hyperlink ref="AO97" r:id="rId237" xr:uid="{00000000-0004-0000-0200-0000EC000000}"/>
    <hyperlink ref="Q98" r:id="rId238" xr:uid="{00000000-0004-0000-0200-0000ED000000}"/>
    <hyperlink ref="AO98" r:id="rId239" xr:uid="{00000000-0004-0000-0200-0000EE000000}"/>
    <hyperlink ref="Q99" r:id="rId240" xr:uid="{00000000-0004-0000-0200-0000EF000000}"/>
    <hyperlink ref="AO99" r:id="rId241" xr:uid="{00000000-0004-0000-0200-0000F0000000}"/>
    <hyperlink ref="Q100" r:id="rId242" xr:uid="{00000000-0004-0000-0200-0000F1000000}"/>
    <hyperlink ref="AO100" r:id="rId243" xr:uid="{00000000-0004-0000-0200-0000F2000000}"/>
    <hyperlink ref="Q101" r:id="rId244" xr:uid="{00000000-0004-0000-0200-0000F3000000}"/>
    <hyperlink ref="AO101" r:id="rId245" xr:uid="{00000000-0004-0000-0200-0000F4000000}"/>
    <hyperlink ref="Q102" r:id="rId246" xr:uid="{00000000-0004-0000-0200-0000F5000000}"/>
    <hyperlink ref="AO102" r:id="rId247" xr:uid="{00000000-0004-0000-0200-0000F6000000}"/>
    <hyperlink ref="Q103" r:id="rId248" xr:uid="{00000000-0004-0000-0200-0000F7000000}"/>
    <hyperlink ref="AO103" r:id="rId249" xr:uid="{00000000-0004-0000-0200-0000F8000000}"/>
    <hyperlink ref="Q104" r:id="rId250" xr:uid="{00000000-0004-0000-0200-0000F9000000}"/>
    <hyperlink ref="AO104" r:id="rId251" xr:uid="{00000000-0004-0000-0200-0000FA000000}"/>
    <hyperlink ref="Q105" r:id="rId252" xr:uid="{00000000-0004-0000-0200-0000FB000000}"/>
    <hyperlink ref="AO105" r:id="rId253" xr:uid="{00000000-0004-0000-0200-0000FC000000}"/>
    <hyperlink ref="Q106" r:id="rId254" xr:uid="{00000000-0004-0000-0200-0000FD000000}"/>
    <hyperlink ref="AO106" r:id="rId255" xr:uid="{00000000-0004-0000-0200-0000FE000000}"/>
    <hyperlink ref="Q107" r:id="rId256" xr:uid="{00000000-0004-0000-0200-0000FF000000}"/>
    <hyperlink ref="AO107" r:id="rId257" xr:uid="{00000000-0004-0000-0200-000000010000}"/>
    <hyperlink ref="Q108" r:id="rId258" xr:uid="{00000000-0004-0000-0200-000001010000}"/>
    <hyperlink ref="AO108" r:id="rId259" xr:uid="{00000000-0004-0000-0200-000002010000}"/>
    <hyperlink ref="Q109" r:id="rId260" xr:uid="{00000000-0004-0000-0200-000003010000}"/>
    <hyperlink ref="AO109" r:id="rId261" xr:uid="{00000000-0004-0000-0200-000004010000}"/>
    <hyperlink ref="Q110" r:id="rId262" xr:uid="{00000000-0004-0000-0200-000005010000}"/>
    <hyperlink ref="AO110" r:id="rId263" xr:uid="{00000000-0004-0000-0200-000006010000}"/>
    <hyperlink ref="Q111" r:id="rId264" xr:uid="{00000000-0004-0000-0200-000007010000}"/>
    <hyperlink ref="AO111" r:id="rId265" xr:uid="{00000000-0004-0000-0200-000008010000}"/>
    <hyperlink ref="Q112" r:id="rId266" xr:uid="{00000000-0004-0000-0200-000009010000}"/>
    <hyperlink ref="AO112" r:id="rId267" xr:uid="{00000000-0004-0000-0200-00000A010000}"/>
    <hyperlink ref="Q113" r:id="rId268" xr:uid="{00000000-0004-0000-0200-00000B010000}"/>
    <hyperlink ref="AO113" r:id="rId269" xr:uid="{00000000-0004-0000-0200-00000C010000}"/>
    <hyperlink ref="Q114" r:id="rId270" xr:uid="{00000000-0004-0000-0200-00000D010000}"/>
    <hyperlink ref="AO114" r:id="rId271" xr:uid="{00000000-0004-0000-0200-00000E010000}"/>
    <hyperlink ref="Q115" r:id="rId272" xr:uid="{00000000-0004-0000-0200-00000F010000}"/>
    <hyperlink ref="AO115" r:id="rId273" xr:uid="{00000000-0004-0000-0200-000010010000}"/>
    <hyperlink ref="Q116" r:id="rId274" xr:uid="{00000000-0004-0000-0200-000011010000}"/>
    <hyperlink ref="AO116" r:id="rId275" xr:uid="{00000000-0004-0000-0200-000012010000}"/>
    <hyperlink ref="Q117" r:id="rId276" xr:uid="{00000000-0004-0000-0200-000013010000}"/>
    <hyperlink ref="AO117" r:id="rId277" xr:uid="{00000000-0004-0000-0200-000014010000}"/>
    <hyperlink ref="Q118" r:id="rId278" xr:uid="{00000000-0004-0000-0200-000015010000}"/>
    <hyperlink ref="AO118" r:id="rId279" xr:uid="{00000000-0004-0000-0200-000016010000}"/>
    <hyperlink ref="Q119" r:id="rId280" xr:uid="{00000000-0004-0000-0200-000017010000}"/>
    <hyperlink ref="AO119" r:id="rId281" xr:uid="{00000000-0004-0000-0200-000018010000}"/>
    <hyperlink ref="Q120" r:id="rId282" xr:uid="{00000000-0004-0000-0200-000019010000}"/>
    <hyperlink ref="AO120" r:id="rId283" xr:uid="{00000000-0004-0000-0200-00001A010000}"/>
    <hyperlink ref="Q121" r:id="rId284" xr:uid="{00000000-0004-0000-0200-00001B010000}"/>
    <hyperlink ref="AO121" r:id="rId285" xr:uid="{00000000-0004-0000-0200-00001C010000}"/>
    <hyperlink ref="Q122" r:id="rId286" xr:uid="{00000000-0004-0000-0200-00001D010000}"/>
    <hyperlink ref="AO122" r:id="rId287" xr:uid="{00000000-0004-0000-0200-00001E010000}"/>
    <hyperlink ref="Q123" r:id="rId288" xr:uid="{00000000-0004-0000-0200-00001F010000}"/>
    <hyperlink ref="AO123" r:id="rId289" xr:uid="{00000000-0004-0000-0200-000020010000}"/>
    <hyperlink ref="Q124" r:id="rId290" xr:uid="{00000000-0004-0000-0200-000021010000}"/>
    <hyperlink ref="AO124" r:id="rId291" xr:uid="{00000000-0004-0000-0200-000022010000}"/>
    <hyperlink ref="Q125" r:id="rId292" xr:uid="{00000000-0004-0000-0200-000023010000}"/>
    <hyperlink ref="AO125" r:id="rId293" xr:uid="{00000000-0004-0000-0200-000024010000}"/>
    <hyperlink ref="Q126" r:id="rId294" xr:uid="{00000000-0004-0000-0200-000025010000}"/>
    <hyperlink ref="AO126" r:id="rId295" xr:uid="{00000000-0004-0000-0200-000026010000}"/>
    <hyperlink ref="Q127" r:id="rId296" xr:uid="{00000000-0004-0000-0200-000027010000}"/>
    <hyperlink ref="AO127" r:id="rId297" xr:uid="{00000000-0004-0000-0200-000028010000}"/>
    <hyperlink ref="Q128" r:id="rId298" xr:uid="{00000000-0004-0000-0200-000029010000}"/>
    <hyperlink ref="AO128" r:id="rId299" xr:uid="{00000000-0004-0000-0200-00002A010000}"/>
    <hyperlink ref="Q129" r:id="rId300" xr:uid="{00000000-0004-0000-0200-00002B010000}"/>
    <hyperlink ref="AO129" r:id="rId301" xr:uid="{00000000-0004-0000-0200-00002C010000}"/>
    <hyperlink ref="Q130" r:id="rId302" xr:uid="{00000000-0004-0000-0200-00002D010000}"/>
    <hyperlink ref="AO130" r:id="rId303" xr:uid="{00000000-0004-0000-0200-00002E010000}"/>
    <hyperlink ref="Q131" r:id="rId304" xr:uid="{00000000-0004-0000-0200-00002F010000}"/>
    <hyperlink ref="AO131" r:id="rId305" xr:uid="{00000000-0004-0000-0200-000030010000}"/>
    <hyperlink ref="Q132" r:id="rId306" xr:uid="{00000000-0004-0000-0200-000031010000}"/>
    <hyperlink ref="AO132" r:id="rId307" xr:uid="{00000000-0004-0000-0200-000032010000}"/>
    <hyperlink ref="Q133" r:id="rId308" xr:uid="{00000000-0004-0000-0200-000033010000}"/>
    <hyperlink ref="AO133" r:id="rId309" xr:uid="{00000000-0004-0000-0200-000034010000}"/>
    <hyperlink ref="Q134" r:id="rId310" xr:uid="{00000000-0004-0000-0200-000035010000}"/>
    <hyperlink ref="AO134" r:id="rId311" xr:uid="{00000000-0004-0000-0200-000036010000}"/>
    <hyperlink ref="Q135" r:id="rId312" xr:uid="{00000000-0004-0000-0200-000037010000}"/>
    <hyperlink ref="AO135" r:id="rId313" xr:uid="{00000000-0004-0000-0200-000038010000}"/>
    <hyperlink ref="Q136" r:id="rId314" xr:uid="{00000000-0004-0000-0200-000039010000}"/>
    <hyperlink ref="AO136" r:id="rId315" xr:uid="{00000000-0004-0000-0200-00003A010000}"/>
    <hyperlink ref="Q137" r:id="rId316" xr:uid="{00000000-0004-0000-0200-00003B010000}"/>
    <hyperlink ref="AO137" r:id="rId317" xr:uid="{00000000-0004-0000-0200-00003C010000}"/>
    <hyperlink ref="Q138" r:id="rId318" xr:uid="{00000000-0004-0000-0200-00003D010000}"/>
    <hyperlink ref="AO138" r:id="rId319" xr:uid="{00000000-0004-0000-0200-00003E010000}"/>
    <hyperlink ref="Q139" r:id="rId320" xr:uid="{00000000-0004-0000-0200-00003F010000}"/>
    <hyperlink ref="AO139" r:id="rId321" xr:uid="{00000000-0004-0000-0200-000040010000}"/>
    <hyperlink ref="Q140" r:id="rId322" xr:uid="{00000000-0004-0000-0200-000041010000}"/>
    <hyperlink ref="AO140" r:id="rId323" xr:uid="{00000000-0004-0000-0200-000042010000}"/>
    <hyperlink ref="Q141" r:id="rId324" xr:uid="{00000000-0004-0000-0200-000043010000}"/>
    <hyperlink ref="AO141" r:id="rId325" xr:uid="{00000000-0004-0000-0200-000044010000}"/>
    <hyperlink ref="Q142" r:id="rId326" xr:uid="{00000000-0004-0000-0200-000045010000}"/>
    <hyperlink ref="AO142" r:id="rId327" xr:uid="{00000000-0004-0000-0200-000046010000}"/>
    <hyperlink ref="Q143" r:id="rId328" xr:uid="{00000000-0004-0000-0200-000047010000}"/>
    <hyperlink ref="AO143" r:id="rId329" xr:uid="{00000000-0004-0000-0200-000048010000}"/>
    <hyperlink ref="Q144" r:id="rId330" xr:uid="{00000000-0004-0000-0200-000049010000}"/>
    <hyperlink ref="AO144" r:id="rId331" xr:uid="{00000000-0004-0000-0200-00004A010000}"/>
    <hyperlink ref="Q145" r:id="rId332" xr:uid="{00000000-0004-0000-0200-00004B010000}"/>
    <hyperlink ref="AO145" r:id="rId333" xr:uid="{00000000-0004-0000-0200-00004C010000}"/>
    <hyperlink ref="Q146" r:id="rId334" xr:uid="{00000000-0004-0000-0200-00004D010000}"/>
    <hyperlink ref="AO146" r:id="rId335" xr:uid="{00000000-0004-0000-0200-00004E010000}"/>
    <hyperlink ref="Q147" r:id="rId336" xr:uid="{00000000-0004-0000-0200-00004F010000}"/>
    <hyperlink ref="AO147" r:id="rId337" xr:uid="{00000000-0004-0000-0200-000050010000}"/>
    <hyperlink ref="Q148" r:id="rId338" xr:uid="{00000000-0004-0000-0200-000051010000}"/>
    <hyperlink ref="AO148" r:id="rId339" xr:uid="{00000000-0004-0000-0200-000052010000}"/>
    <hyperlink ref="Q149" r:id="rId340" xr:uid="{00000000-0004-0000-0200-000053010000}"/>
    <hyperlink ref="AO149" r:id="rId341" xr:uid="{00000000-0004-0000-0200-000054010000}"/>
    <hyperlink ref="Q150" r:id="rId342" xr:uid="{00000000-0004-0000-0200-000055010000}"/>
    <hyperlink ref="AO150" r:id="rId343" xr:uid="{00000000-0004-0000-0200-000056010000}"/>
    <hyperlink ref="Q151" r:id="rId344" xr:uid="{00000000-0004-0000-0200-000057010000}"/>
    <hyperlink ref="AO151" r:id="rId345" xr:uid="{00000000-0004-0000-0200-000058010000}"/>
    <hyperlink ref="Q152" r:id="rId346" xr:uid="{00000000-0004-0000-0200-000059010000}"/>
    <hyperlink ref="AO152" r:id="rId347" xr:uid="{00000000-0004-0000-0200-00005A010000}"/>
    <hyperlink ref="Q153" r:id="rId348" xr:uid="{00000000-0004-0000-0200-00005B010000}"/>
    <hyperlink ref="AO153" r:id="rId349" xr:uid="{00000000-0004-0000-0200-00005C010000}"/>
    <hyperlink ref="Q154" r:id="rId350" xr:uid="{00000000-0004-0000-0200-00005D010000}"/>
    <hyperlink ref="AO154" r:id="rId351" xr:uid="{00000000-0004-0000-0200-00005E010000}"/>
    <hyperlink ref="Q155" r:id="rId352" xr:uid="{00000000-0004-0000-0200-00005F010000}"/>
    <hyperlink ref="AO155" r:id="rId353" xr:uid="{00000000-0004-0000-0200-000060010000}"/>
    <hyperlink ref="Q156" r:id="rId354" xr:uid="{00000000-0004-0000-0200-000061010000}"/>
    <hyperlink ref="AO156" r:id="rId355" xr:uid="{00000000-0004-0000-0200-000062010000}"/>
    <hyperlink ref="Q157" r:id="rId356" xr:uid="{00000000-0004-0000-0200-000063010000}"/>
    <hyperlink ref="AO157" r:id="rId357" xr:uid="{00000000-0004-0000-0200-000064010000}"/>
    <hyperlink ref="Q158" r:id="rId358" xr:uid="{00000000-0004-0000-0200-000065010000}"/>
    <hyperlink ref="AO158" r:id="rId359" xr:uid="{00000000-0004-0000-0200-000066010000}"/>
    <hyperlink ref="Q159" r:id="rId360" xr:uid="{00000000-0004-0000-0200-000067010000}"/>
    <hyperlink ref="AO159" r:id="rId361" xr:uid="{00000000-0004-0000-0200-000068010000}"/>
    <hyperlink ref="Q160" r:id="rId362" xr:uid="{00000000-0004-0000-0200-000069010000}"/>
    <hyperlink ref="AO160" r:id="rId363" xr:uid="{00000000-0004-0000-0200-00006A010000}"/>
    <hyperlink ref="Q161" r:id="rId364" xr:uid="{00000000-0004-0000-0200-00006B010000}"/>
    <hyperlink ref="AO161" r:id="rId365" xr:uid="{00000000-0004-0000-0200-00006C010000}"/>
    <hyperlink ref="Q162" r:id="rId366" xr:uid="{00000000-0004-0000-0200-00006D010000}"/>
    <hyperlink ref="AO162" r:id="rId367" xr:uid="{00000000-0004-0000-0200-00006E010000}"/>
    <hyperlink ref="Q163" r:id="rId368" xr:uid="{00000000-0004-0000-0200-00006F010000}"/>
    <hyperlink ref="AO163" r:id="rId369" xr:uid="{00000000-0004-0000-0200-000070010000}"/>
    <hyperlink ref="Q164" r:id="rId370" xr:uid="{00000000-0004-0000-0200-000071010000}"/>
    <hyperlink ref="AO164" r:id="rId371" xr:uid="{00000000-0004-0000-0200-000072010000}"/>
    <hyperlink ref="Q165" r:id="rId372" xr:uid="{00000000-0004-0000-0200-000073010000}"/>
    <hyperlink ref="AO165" r:id="rId373" xr:uid="{00000000-0004-0000-0200-000074010000}"/>
    <hyperlink ref="Q166" r:id="rId374" xr:uid="{00000000-0004-0000-0200-000075010000}"/>
    <hyperlink ref="AO166" r:id="rId375" xr:uid="{00000000-0004-0000-0200-000076010000}"/>
    <hyperlink ref="Q167" r:id="rId376" xr:uid="{00000000-0004-0000-0200-000077010000}"/>
    <hyperlink ref="AO167" r:id="rId377" xr:uid="{00000000-0004-0000-0200-000078010000}"/>
    <hyperlink ref="Q168" r:id="rId378" xr:uid="{00000000-0004-0000-0200-000079010000}"/>
    <hyperlink ref="AO168" r:id="rId379" xr:uid="{00000000-0004-0000-0200-00007A010000}"/>
    <hyperlink ref="Q169" r:id="rId380" xr:uid="{00000000-0004-0000-0200-00007B010000}"/>
    <hyperlink ref="AO169" r:id="rId381" xr:uid="{00000000-0004-0000-0200-00007C010000}"/>
    <hyperlink ref="Q170" r:id="rId382" xr:uid="{00000000-0004-0000-0200-00007D010000}"/>
    <hyperlink ref="AO170" r:id="rId383" xr:uid="{00000000-0004-0000-0200-00007E010000}"/>
    <hyperlink ref="Q171" r:id="rId384" xr:uid="{00000000-0004-0000-0200-00007F010000}"/>
    <hyperlink ref="AO171" r:id="rId385" xr:uid="{00000000-0004-0000-0200-000080010000}"/>
    <hyperlink ref="Q172" r:id="rId386" xr:uid="{00000000-0004-0000-0200-000081010000}"/>
    <hyperlink ref="AO172" r:id="rId387" xr:uid="{00000000-0004-0000-0200-000082010000}"/>
    <hyperlink ref="Q173" r:id="rId388" xr:uid="{00000000-0004-0000-0200-000083010000}"/>
    <hyperlink ref="AO173" r:id="rId389" xr:uid="{00000000-0004-0000-0200-000084010000}"/>
    <hyperlink ref="Q174" r:id="rId390" xr:uid="{00000000-0004-0000-0200-000085010000}"/>
    <hyperlink ref="AO174" r:id="rId391" xr:uid="{00000000-0004-0000-0200-000086010000}"/>
    <hyperlink ref="Q175" r:id="rId392" xr:uid="{00000000-0004-0000-0200-000087010000}"/>
    <hyperlink ref="AO175" r:id="rId393" xr:uid="{00000000-0004-0000-0200-000088010000}"/>
    <hyperlink ref="Q176" r:id="rId394" xr:uid="{00000000-0004-0000-0200-000089010000}"/>
    <hyperlink ref="AO176" r:id="rId395" xr:uid="{00000000-0004-0000-0200-00008A010000}"/>
    <hyperlink ref="Q177" r:id="rId396" xr:uid="{00000000-0004-0000-0200-00008B010000}"/>
    <hyperlink ref="AO177" r:id="rId397" xr:uid="{00000000-0004-0000-0200-00008C010000}"/>
    <hyperlink ref="Q178" r:id="rId398" xr:uid="{00000000-0004-0000-0200-00008D010000}"/>
    <hyperlink ref="AO178" r:id="rId399" xr:uid="{00000000-0004-0000-0200-00008E010000}"/>
    <hyperlink ref="Q179" r:id="rId400" xr:uid="{00000000-0004-0000-0200-00008F010000}"/>
    <hyperlink ref="AO179" r:id="rId401" xr:uid="{00000000-0004-0000-0200-000090010000}"/>
    <hyperlink ref="Q180" r:id="rId402" xr:uid="{00000000-0004-0000-0200-000091010000}"/>
    <hyperlink ref="AO180" r:id="rId403" xr:uid="{00000000-0004-0000-0200-000092010000}"/>
    <hyperlink ref="Q181" r:id="rId404" xr:uid="{00000000-0004-0000-0200-000093010000}"/>
    <hyperlink ref="AO181" r:id="rId405" xr:uid="{00000000-0004-0000-0200-000094010000}"/>
    <hyperlink ref="Q182" r:id="rId406" xr:uid="{00000000-0004-0000-0200-000095010000}"/>
    <hyperlink ref="AO182" r:id="rId407" xr:uid="{00000000-0004-0000-0200-000096010000}"/>
    <hyperlink ref="Q183" r:id="rId408" xr:uid="{00000000-0004-0000-0200-000097010000}"/>
    <hyperlink ref="AO183" r:id="rId409" xr:uid="{00000000-0004-0000-0200-000098010000}"/>
    <hyperlink ref="Q184" r:id="rId410" xr:uid="{00000000-0004-0000-0200-000099010000}"/>
    <hyperlink ref="AO184" r:id="rId411" xr:uid="{00000000-0004-0000-0200-00009A010000}"/>
    <hyperlink ref="Q185" r:id="rId412" xr:uid="{00000000-0004-0000-0200-00009B010000}"/>
    <hyperlink ref="AO185" r:id="rId413" xr:uid="{00000000-0004-0000-0200-00009C010000}"/>
    <hyperlink ref="Q186" r:id="rId414" xr:uid="{00000000-0004-0000-0200-00009D010000}"/>
    <hyperlink ref="AO186" r:id="rId415" xr:uid="{00000000-0004-0000-0200-00009E010000}"/>
    <hyperlink ref="Q187" r:id="rId416" xr:uid="{00000000-0004-0000-0200-00009F010000}"/>
    <hyperlink ref="AO187" r:id="rId417" xr:uid="{00000000-0004-0000-0200-0000A0010000}"/>
    <hyperlink ref="Q188" r:id="rId418" xr:uid="{00000000-0004-0000-0200-0000A1010000}"/>
    <hyperlink ref="AO188" r:id="rId419" xr:uid="{00000000-0004-0000-0200-0000A2010000}"/>
    <hyperlink ref="Q189" r:id="rId420" xr:uid="{00000000-0004-0000-0200-0000A3010000}"/>
    <hyperlink ref="AO189" r:id="rId421" xr:uid="{00000000-0004-0000-0200-0000A4010000}"/>
    <hyperlink ref="Q190" r:id="rId422" xr:uid="{00000000-0004-0000-0200-0000A5010000}"/>
    <hyperlink ref="AO190" r:id="rId423" xr:uid="{00000000-0004-0000-0200-0000A6010000}"/>
    <hyperlink ref="Q191" r:id="rId424" xr:uid="{00000000-0004-0000-0200-0000A7010000}"/>
    <hyperlink ref="AO191" r:id="rId425" xr:uid="{00000000-0004-0000-0200-0000A8010000}"/>
    <hyperlink ref="Q192" r:id="rId426" xr:uid="{00000000-0004-0000-0200-0000A9010000}"/>
    <hyperlink ref="AO192" r:id="rId427" xr:uid="{00000000-0004-0000-0200-0000AA010000}"/>
    <hyperlink ref="Q193" r:id="rId428" xr:uid="{00000000-0004-0000-0200-0000AB010000}"/>
    <hyperlink ref="AO193" r:id="rId429" xr:uid="{00000000-0004-0000-0200-0000AC010000}"/>
    <hyperlink ref="Q194" r:id="rId430" xr:uid="{00000000-0004-0000-0200-0000AD010000}"/>
    <hyperlink ref="AO194" r:id="rId431" xr:uid="{00000000-0004-0000-0200-0000AE010000}"/>
    <hyperlink ref="Q195" r:id="rId432" xr:uid="{00000000-0004-0000-0200-0000AF010000}"/>
    <hyperlink ref="AO195" r:id="rId433" xr:uid="{00000000-0004-0000-0200-0000B0010000}"/>
    <hyperlink ref="Q196" r:id="rId434" xr:uid="{00000000-0004-0000-0200-0000B1010000}"/>
    <hyperlink ref="AO196" r:id="rId435" xr:uid="{00000000-0004-0000-0200-0000B2010000}"/>
    <hyperlink ref="Q197" r:id="rId436" xr:uid="{00000000-0004-0000-0200-0000B3010000}"/>
    <hyperlink ref="AO197" r:id="rId437" xr:uid="{00000000-0004-0000-0200-0000B4010000}"/>
    <hyperlink ref="Q198" r:id="rId438" xr:uid="{00000000-0004-0000-0200-0000B5010000}"/>
    <hyperlink ref="AO198" r:id="rId439" xr:uid="{00000000-0004-0000-0200-0000B6010000}"/>
    <hyperlink ref="Q199" r:id="rId440" xr:uid="{00000000-0004-0000-0200-0000B7010000}"/>
    <hyperlink ref="AO199" r:id="rId441" xr:uid="{00000000-0004-0000-0200-0000B8010000}"/>
    <hyperlink ref="Q200" r:id="rId442" xr:uid="{00000000-0004-0000-0200-0000B9010000}"/>
    <hyperlink ref="AO200" r:id="rId443" xr:uid="{00000000-0004-0000-0200-0000BA010000}"/>
    <hyperlink ref="Q201" r:id="rId444" xr:uid="{00000000-0004-0000-0200-0000BB010000}"/>
    <hyperlink ref="AO201" r:id="rId445" xr:uid="{00000000-0004-0000-0200-0000BC010000}"/>
    <hyperlink ref="Q202" r:id="rId446" xr:uid="{00000000-0004-0000-0200-0000BD010000}"/>
    <hyperlink ref="AO202" r:id="rId447" xr:uid="{00000000-0004-0000-0200-0000BE010000}"/>
    <hyperlink ref="Q203" r:id="rId448" xr:uid="{00000000-0004-0000-0200-0000BF010000}"/>
    <hyperlink ref="AO203" r:id="rId449" xr:uid="{00000000-0004-0000-0200-0000C0010000}"/>
    <hyperlink ref="Q204" r:id="rId450" xr:uid="{00000000-0004-0000-0200-0000C1010000}"/>
    <hyperlink ref="AO204" r:id="rId451" xr:uid="{00000000-0004-0000-0200-0000C2010000}"/>
    <hyperlink ref="Q205" r:id="rId452" xr:uid="{00000000-0004-0000-0200-0000C3010000}"/>
    <hyperlink ref="AO205" r:id="rId453" xr:uid="{00000000-0004-0000-0200-0000C4010000}"/>
    <hyperlink ref="Q206" r:id="rId454" xr:uid="{00000000-0004-0000-0200-0000C5010000}"/>
    <hyperlink ref="AO206" r:id="rId455" xr:uid="{00000000-0004-0000-0200-0000C6010000}"/>
    <hyperlink ref="Q207" r:id="rId456" xr:uid="{00000000-0004-0000-0200-0000C7010000}"/>
    <hyperlink ref="AO207" r:id="rId457" xr:uid="{00000000-0004-0000-0200-0000C8010000}"/>
    <hyperlink ref="Q208" r:id="rId458" xr:uid="{00000000-0004-0000-0200-0000C9010000}"/>
    <hyperlink ref="AO208" r:id="rId459" xr:uid="{00000000-0004-0000-0200-0000CA010000}"/>
    <hyperlink ref="Q209" r:id="rId460" xr:uid="{00000000-0004-0000-0200-0000CB010000}"/>
    <hyperlink ref="AO209" r:id="rId461" xr:uid="{00000000-0004-0000-0200-0000CC010000}"/>
    <hyperlink ref="Q210" r:id="rId462" xr:uid="{00000000-0004-0000-0200-0000CD010000}"/>
    <hyperlink ref="AO210" r:id="rId463" xr:uid="{00000000-0004-0000-0200-0000CE010000}"/>
    <hyperlink ref="Q211" r:id="rId464" xr:uid="{00000000-0004-0000-0200-0000CF010000}"/>
    <hyperlink ref="AO211" r:id="rId465" xr:uid="{00000000-0004-0000-0200-0000D0010000}"/>
    <hyperlink ref="Q212" r:id="rId466" xr:uid="{00000000-0004-0000-0200-0000D1010000}"/>
    <hyperlink ref="AO212" r:id="rId467" xr:uid="{00000000-0004-0000-0200-0000D2010000}"/>
    <hyperlink ref="Q213" r:id="rId468" xr:uid="{00000000-0004-0000-0200-0000D3010000}"/>
    <hyperlink ref="AO213" r:id="rId469" xr:uid="{00000000-0004-0000-0200-0000D4010000}"/>
    <hyperlink ref="Q214" r:id="rId470" xr:uid="{00000000-0004-0000-0200-0000D5010000}"/>
    <hyperlink ref="AO214" r:id="rId471" xr:uid="{00000000-0004-0000-0200-0000D6010000}"/>
    <hyperlink ref="Q215" r:id="rId472" xr:uid="{00000000-0004-0000-0200-0000D7010000}"/>
    <hyperlink ref="AO215" r:id="rId473" xr:uid="{00000000-0004-0000-0200-0000D8010000}"/>
    <hyperlink ref="Q216" r:id="rId474" xr:uid="{00000000-0004-0000-0200-0000D9010000}"/>
    <hyperlink ref="AO216" r:id="rId475" xr:uid="{00000000-0004-0000-0200-0000DA010000}"/>
    <hyperlink ref="Q217" r:id="rId476" xr:uid="{00000000-0004-0000-0200-0000DB010000}"/>
    <hyperlink ref="AO217" r:id="rId477" xr:uid="{00000000-0004-0000-0200-0000DC010000}"/>
    <hyperlink ref="Q218" r:id="rId478" xr:uid="{00000000-0004-0000-0200-0000DD010000}"/>
    <hyperlink ref="AO218" r:id="rId479" xr:uid="{00000000-0004-0000-0200-0000DE010000}"/>
    <hyperlink ref="Q219" r:id="rId480" xr:uid="{00000000-0004-0000-0200-0000DF010000}"/>
    <hyperlink ref="AO219" r:id="rId481" xr:uid="{00000000-0004-0000-0200-0000E0010000}"/>
    <hyperlink ref="Q220" r:id="rId482" xr:uid="{00000000-0004-0000-0200-0000E1010000}"/>
    <hyperlink ref="AO220" r:id="rId483" xr:uid="{00000000-0004-0000-0200-0000E2010000}"/>
    <hyperlink ref="Q221" r:id="rId484" xr:uid="{00000000-0004-0000-0200-0000E3010000}"/>
    <hyperlink ref="AO221" r:id="rId485" xr:uid="{00000000-0004-0000-0200-0000E4010000}"/>
    <hyperlink ref="Q222" r:id="rId486" xr:uid="{00000000-0004-0000-0200-0000E5010000}"/>
    <hyperlink ref="AO222" r:id="rId487" xr:uid="{00000000-0004-0000-0200-0000E6010000}"/>
    <hyperlink ref="Q223" r:id="rId488" xr:uid="{00000000-0004-0000-0200-0000E7010000}"/>
    <hyperlink ref="AO223" r:id="rId489" xr:uid="{00000000-0004-0000-0200-0000E8010000}"/>
    <hyperlink ref="Q224" r:id="rId490" xr:uid="{00000000-0004-0000-0200-0000E9010000}"/>
    <hyperlink ref="AO224" r:id="rId491" xr:uid="{00000000-0004-0000-0200-0000EA010000}"/>
    <hyperlink ref="Q225" r:id="rId492" xr:uid="{00000000-0004-0000-0200-0000EB010000}"/>
    <hyperlink ref="AO225" r:id="rId493" xr:uid="{00000000-0004-0000-0200-0000EC010000}"/>
    <hyperlink ref="Q226" r:id="rId494" xr:uid="{00000000-0004-0000-0200-0000ED010000}"/>
    <hyperlink ref="AO226" r:id="rId495" xr:uid="{00000000-0004-0000-0200-0000EE010000}"/>
    <hyperlink ref="Q227" r:id="rId496" xr:uid="{00000000-0004-0000-0200-0000EF010000}"/>
    <hyperlink ref="AO227" r:id="rId497" xr:uid="{00000000-0004-0000-0200-0000F0010000}"/>
    <hyperlink ref="Q228" r:id="rId498" xr:uid="{00000000-0004-0000-0200-0000F1010000}"/>
    <hyperlink ref="AO228" r:id="rId499" xr:uid="{00000000-0004-0000-0200-0000F2010000}"/>
    <hyperlink ref="Q229" r:id="rId500" xr:uid="{00000000-0004-0000-0200-0000F3010000}"/>
    <hyperlink ref="AO229" r:id="rId501" xr:uid="{00000000-0004-0000-0200-0000F4010000}"/>
    <hyperlink ref="Q230" r:id="rId502" xr:uid="{00000000-0004-0000-0200-0000F5010000}"/>
    <hyperlink ref="AO230" r:id="rId503" xr:uid="{00000000-0004-0000-0200-0000F6010000}"/>
    <hyperlink ref="Q231" r:id="rId504" xr:uid="{00000000-0004-0000-0200-0000F7010000}"/>
    <hyperlink ref="AO231" r:id="rId505" xr:uid="{00000000-0004-0000-0200-0000F8010000}"/>
    <hyperlink ref="Q232" r:id="rId506" xr:uid="{00000000-0004-0000-0200-0000F9010000}"/>
    <hyperlink ref="AO232" r:id="rId507" xr:uid="{00000000-0004-0000-0200-0000FA010000}"/>
    <hyperlink ref="Q233" r:id="rId508" xr:uid="{00000000-0004-0000-0200-0000FB010000}"/>
    <hyperlink ref="AO233" r:id="rId509" xr:uid="{00000000-0004-0000-0200-0000FC010000}"/>
    <hyperlink ref="Q234" r:id="rId510" xr:uid="{00000000-0004-0000-0200-0000FD010000}"/>
    <hyperlink ref="AO234" r:id="rId511" xr:uid="{00000000-0004-0000-0200-0000FE010000}"/>
    <hyperlink ref="Q235" r:id="rId512" xr:uid="{00000000-0004-0000-0200-0000FF010000}"/>
    <hyperlink ref="AO235" r:id="rId513" xr:uid="{00000000-0004-0000-0200-000000020000}"/>
    <hyperlink ref="Q236" r:id="rId514" xr:uid="{00000000-0004-0000-0200-000001020000}"/>
    <hyperlink ref="AO236" r:id="rId515" xr:uid="{00000000-0004-0000-0200-000002020000}"/>
    <hyperlink ref="Q237" r:id="rId516" xr:uid="{00000000-0004-0000-0200-000003020000}"/>
    <hyperlink ref="AO237" r:id="rId517" xr:uid="{00000000-0004-0000-0200-000004020000}"/>
    <hyperlink ref="Q238" r:id="rId518" xr:uid="{00000000-0004-0000-0200-000005020000}"/>
    <hyperlink ref="AO238" r:id="rId519" xr:uid="{00000000-0004-0000-0200-000006020000}"/>
    <hyperlink ref="Q239" r:id="rId520" xr:uid="{00000000-0004-0000-0200-000007020000}"/>
    <hyperlink ref="AO239" r:id="rId521" xr:uid="{00000000-0004-0000-0200-000008020000}"/>
    <hyperlink ref="Q240" r:id="rId522" xr:uid="{00000000-0004-0000-0200-000009020000}"/>
    <hyperlink ref="AO240" r:id="rId523" xr:uid="{00000000-0004-0000-0200-00000A020000}"/>
    <hyperlink ref="Q241" r:id="rId524" xr:uid="{00000000-0004-0000-0200-00000B020000}"/>
    <hyperlink ref="AO241" r:id="rId525" xr:uid="{00000000-0004-0000-0200-00000C020000}"/>
    <hyperlink ref="Q242" r:id="rId526" xr:uid="{00000000-0004-0000-0200-00000D020000}"/>
    <hyperlink ref="AO242" r:id="rId527" xr:uid="{00000000-0004-0000-0200-00000E020000}"/>
    <hyperlink ref="Q243" r:id="rId528" xr:uid="{00000000-0004-0000-0200-00000F020000}"/>
    <hyperlink ref="AO243" r:id="rId529" xr:uid="{00000000-0004-0000-0200-000010020000}"/>
    <hyperlink ref="Q244" r:id="rId530" xr:uid="{00000000-0004-0000-0200-000011020000}"/>
    <hyperlink ref="AO244" r:id="rId531" xr:uid="{00000000-0004-0000-0200-000012020000}"/>
    <hyperlink ref="Q245" r:id="rId532" xr:uid="{00000000-0004-0000-0200-000013020000}"/>
    <hyperlink ref="AO245" r:id="rId533" xr:uid="{00000000-0004-0000-0200-000014020000}"/>
    <hyperlink ref="Q246" r:id="rId534" xr:uid="{00000000-0004-0000-0200-000015020000}"/>
    <hyperlink ref="AO246" r:id="rId535" xr:uid="{00000000-0004-0000-0200-000016020000}"/>
    <hyperlink ref="Q247" r:id="rId536" xr:uid="{00000000-0004-0000-0200-000017020000}"/>
    <hyperlink ref="AO247" r:id="rId537" xr:uid="{00000000-0004-0000-0200-000018020000}"/>
    <hyperlink ref="Q248" r:id="rId538" xr:uid="{00000000-0004-0000-0200-000019020000}"/>
    <hyperlink ref="AO248" r:id="rId539" xr:uid="{00000000-0004-0000-0200-00001A020000}"/>
    <hyperlink ref="Q249" r:id="rId540" xr:uid="{00000000-0004-0000-0200-00001B020000}"/>
    <hyperlink ref="AO249" r:id="rId541" xr:uid="{00000000-0004-0000-0200-00001C020000}"/>
    <hyperlink ref="Q250" r:id="rId542" xr:uid="{00000000-0004-0000-0200-00001D020000}"/>
    <hyperlink ref="AO250" r:id="rId543" xr:uid="{00000000-0004-0000-0200-00001E020000}"/>
    <hyperlink ref="Q251" r:id="rId544" xr:uid="{00000000-0004-0000-0200-00001F020000}"/>
    <hyperlink ref="AO251" r:id="rId545" xr:uid="{00000000-0004-0000-0200-000020020000}"/>
    <hyperlink ref="Q252" r:id="rId546" xr:uid="{00000000-0004-0000-0200-000021020000}"/>
    <hyperlink ref="AO252" r:id="rId547" xr:uid="{00000000-0004-0000-0200-000022020000}"/>
    <hyperlink ref="Q253" r:id="rId548" xr:uid="{00000000-0004-0000-0200-000023020000}"/>
    <hyperlink ref="AO253" r:id="rId549" xr:uid="{00000000-0004-0000-0200-000024020000}"/>
    <hyperlink ref="Q254" r:id="rId550" xr:uid="{00000000-0004-0000-0200-000025020000}"/>
    <hyperlink ref="AO254" r:id="rId551" xr:uid="{00000000-0004-0000-0200-000026020000}"/>
    <hyperlink ref="Q255" r:id="rId552" xr:uid="{00000000-0004-0000-0200-000027020000}"/>
    <hyperlink ref="AO255" r:id="rId553" xr:uid="{00000000-0004-0000-0200-000028020000}"/>
    <hyperlink ref="Q256" r:id="rId554" xr:uid="{00000000-0004-0000-0200-000029020000}"/>
    <hyperlink ref="AO256" r:id="rId555" xr:uid="{00000000-0004-0000-0200-00002A020000}"/>
    <hyperlink ref="Q257" r:id="rId556" xr:uid="{00000000-0004-0000-0200-00002B020000}"/>
    <hyperlink ref="AO257" r:id="rId557" xr:uid="{00000000-0004-0000-0200-00002C020000}"/>
    <hyperlink ref="Q258" r:id="rId558" xr:uid="{00000000-0004-0000-0200-00002D020000}"/>
    <hyperlink ref="AO258" r:id="rId559" xr:uid="{00000000-0004-0000-0200-00002E020000}"/>
    <hyperlink ref="Q259" r:id="rId560" xr:uid="{00000000-0004-0000-0200-00002F020000}"/>
    <hyperlink ref="AO259" r:id="rId561" xr:uid="{00000000-0004-0000-0200-000030020000}"/>
    <hyperlink ref="Q260" r:id="rId562" xr:uid="{00000000-0004-0000-0200-000031020000}"/>
    <hyperlink ref="AO260" r:id="rId563" xr:uid="{00000000-0004-0000-0200-000032020000}"/>
    <hyperlink ref="Q261" r:id="rId564" xr:uid="{00000000-0004-0000-0200-000033020000}"/>
    <hyperlink ref="AO261" r:id="rId565" xr:uid="{00000000-0004-0000-0200-000034020000}"/>
    <hyperlink ref="Q262" r:id="rId566" xr:uid="{00000000-0004-0000-0200-000035020000}"/>
    <hyperlink ref="AO262" r:id="rId567" xr:uid="{00000000-0004-0000-0200-000036020000}"/>
    <hyperlink ref="Q263" r:id="rId568" xr:uid="{00000000-0004-0000-0200-000037020000}"/>
    <hyperlink ref="AO263" r:id="rId569" xr:uid="{00000000-0004-0000-0200-000038020000}"/>
    <hyperlink ref="Q264" r:id="rId570" xr:uid="{00000000-0004-0000-0200-000039020000}"/>
    <hyperlink ref="AO264" r:id="rId571" xr:uid="{00000000-0004-0000-0200-00003A020000}"/>
    <hyperlink ref="Q265" r:id="rId572" xr:uid="{00000000-0004-0000-0200-00003B020000}"/>
    <hyperlink ref="AO265" r:id="rId573" xr:uid="{00000000-0004-0000-0200-00003C020000}"/>
    <hyperlink ref="Q266" r:id="rId574" xr:uid="{00000000-0004-0000-0200-00003D020000}"/>
    <hyperlink ref="AO266" r:id="rId575" xr:uid="{00000000-0004-0000-0200-00003E020000}"/>
    <hyperlink ref="Q267" r:id="rId576" xr:uid="{00000000-0004-0000-0200-00003F020000}"/>
    <hyperlink ref="AO267" r:id="rId577" xr:uid="{00000000-0004-0000-0200-000040020000}"/>
    <hyperlink ref="Q268" r:id="rId578" xr:uid="{00000000-0004-0000-0200-000041020000}"/>
    <hyperlink ref="AO268" r:id="rId579" xr:uid="{00000000-0004-0000-0200-000042020000}"/>
    <hyperlink ref="Q269" r:id="rId580" xr:uid="{00000000-0004-0000-0200-000043020000}"/>
    <hyperlink ref="AO269" r:id="rId581" xr:uid="{00000000-0004-0000-0200-000044020000}"/>
    <hyperlink ref="Q270" r:id="rId582" xr:uid="{00000000-0004-0000-0200-000045020000}"/>
    <hyperlink ref="AO270" r:id="rId583" xr:uid="{00000000-0004-0000-0200-000046020000}"/>
    <hyperlink ref="Q271" r:id="rId584" xr:uid="{00000000-0004-0000-0200-000047020000}"/>
    <hyperlink ref="AO271" r:id="rId585" xr:uid="{00000000-0004-0000-0200-000048020000}"/>
    <hyperlink ref="Q272" r:id="rId586" xr:uid="{00000000-0004-0000-0200-000049020000}"/>
    <hyperlink ref="AO272" r:id="rId587" xr:uid="{00000000-0004-0000-0200-00004A020000}"/>
    <hyperlink ref="Q273" r:id="rId588" xr:uid="{00000000-0004-0000-0200-00004B020000}"/>
    <hyperlink ref="AO273" r:id="rId589" xr:uid="{00000000-0004-0000-0200-00004C020000}"/>
    <hyperlink ref="Q274" r:id="rId590" xr:uid="{00000000-0004-0000-0200-00004D020000}"/>
    <hyperlink ref="AO274" r:id="rId591" xr:uid="{00000000-0004-0000-0200-00004E020000}"/>
    <hyperlink ref="Q275" r:id="rId592" xr:uid="{00000000-0004-0000-0200-00004F020000}"/>
    <hyperlink ref="AO275" r:id="rId593" xr:uid="{00000000-0004-0000-0200-000050020000}"/>
    <hyperlink ref="Q276" r:id="rId594" xr:uid="{00000000-0004-0000-0200-000051020000}"/>
    <hyperlink ref="AO276" r:id="rId595" xr:uid="{00000000-0004-0000-0200-000052020000}"/>
    <hyperlink ref="Q277" r:id="rId596" xr:uid="{00000000-0004-0000-0200-000053020000}"/>
    <hyperlink ref="AO277" r:id="rId597" xr:uid="{00000000-0004-0000-0200-000054020000}"/>
    <hyperlink ref="Q278" r:id="rId598" xr:uid="{00000000-0004-0000-0200-000055020000}"/>
    <hyperlink ref="AO278" r:id="rId599" xr:uid="{00000000-0004-0000-0200-000056020000}"/>
    <hyperlink ref="Q279" r:id="rId600" xr:uid="{00000000-0004-0000-0200-000057020000}"/>
    <hyperlink ref="AO279" r:id="rId601" xr:uid="{00000000-0004-0000-0200-000058020000}"/>
    <hyperlink ref="Q280" r:id="rId602" xr:uid="{00000000-0004-0000-0200-000059020000}"/>
    <hyperlink ref="AO280" r:id="rId603" xr:uid="{00000000-0004-0000-0200-00005A020000}"/>
    <hyperlink ref="Q281" r:id="rId604" xr:uid="{00000000-0004-0000-0200-00005B020000}"/>
    <hyperlink ref="AO281" r:id="rId605" xr:uid="{00000000-0004-0000-0200-00005C020000}"/>
    <hyperlink ref="Q282" r:id="rId606" xr:uid="{00000000-0004-0000-0200-00005D020000}"/>
    <hyperlink ref="AO282" r:id="rId607" xr:uid="{00000000-0004-0000-0200-00005E020000}"/>
    <hyperlink ref="Q283" r:id="rId608" xr:uid="{00000000-0004-0000-0200-00005F020000}"/>
    <hyperlink ref="AO283" r:id="rId609" xr:uid="{00000000-0004-0000-0200-000060020000}"/>
    <hyperlink ref="Q284" r:id="rId610" xr:uid="{00000000-0004-0000-0200-000061020000}"/>
    <hyperlink ref="AO284" r:id="rId611" xr:uid="{00000000-0004-0000-0200-000062020000}"/>
    <hyperlink ref="Q285" r:id="rId612" xr:uid="{00000000-0004-0000-0200-000063020000}"/>
    <hyperlink ref="AO285" r:id="rId613" xr:uid="{00000000-0004-0000-0200-000064020000}"/>
    <hyperlink ref="Q286" r:id="rId614" xr:uid="{00000000-0004-0000-0200-000065020000}"/>
    <hyperlink ref="AO286" r:id="rId615" xr:uid="{00000000-0004-0000-0200-000066020000}"/>
    <hyperlink ref="Q287" r:id="rId616" xr:uid="{00000000-0004-0000-0200-000067020000}"/>
    <hyperlink ref="AO287" r:id="rId617" xr:uid="{00000000-0004-0000-0200-000068020000}"/>
    <hyperlink ref="Q288" r:id="rId618" xr:uid="{00000000-0004-0000-0200-000069020000}"/>
    <hyperlink ref="AO288" r:id="rId619" xr:uid="{00000000-0004-0000-0200-00006A020000}"/>
    <hyperlink ref="Q289" r:id="rId620" xr:uid="{00000000-0004-0000-0200-00006B020000}"/>
    <hyperlink ref="AO289" r:id="rId621" xr:uid="{00000000-0004-0000-0200-00006C020000}"/>
    <hyperlink ref="Q290" r:id="rId622" xr:uid="{00000000-0004-0000-0200-00006D020000}"/>
    <hyperlink ref="AO290" r:id="rId623" xr:uid="{00000000-0004-0000-0200-00006E020000}"/>
    <hyperlink ref="Q291" r:id="rId624" xr:uid="{00000000-0004-0000-0200-00006F020000}"/>
    <hyperlink ref="AO291" r:id="rId625" xr:uid="{00000000-0004-0000-0200-000070020000}"/>
    <hyperlink ref="Q292" r:id="rId626" xr:uid="{00000000-0004-0000-0200-000071020000}"/>
    <hyperlink ref="AO292" r:id="rId627" xr:uid="{00000000-0004-0000-0200-000072020000}"/>
    <hyperlink ref="Q293" r:id="rId628" xr:uid="{00000000-0004-0000-0200-000073020000}"/>
    <hyperlink ref="AO293" r:id="rId629" xr:uid="{00000000-0004-0000-0200-000074020000}"/>
    <hyperlink ref="Q294" r:id="rId630" xr:uid="{00000000-0004-0000-0200-000075020000}"/>
    <hyperlink ref="AO294" r:id="rId631" xr:uid="{00000000-0004-0000-0200-000076020000}"/>
    <hyperlink ref="Q295" r:id="rId632" xr:uid="{00000000-0004-0000-0200-000077020000}"/>
    <hyperlink ref="AO295" r:id="rId633" xr:uid="{00000000-0004-0000-0200-000078020000}"/>
    <hyperlink ref="Q296" r:id="rId634" xr:uid="{00000000-0004-0000-0200-000079020000}"/>
    <hyperlink ref="AO296" r:id="rId635" xr:uid="{00000000-0004-0000-0200-00007A020000}"/>
    <hyperlink ref="Q297" r:id="rId636" xr:uid="{00000000-0004-0000-0200-00007B020000}"/>
    <hyperlink ref="AO297" r:id="rId637" xr:uid="{00000000-0004-0000-0200-00007C020000}"/>
    <hyperlink ref="Q298" r:id="rId638" xr:uid="{00000000-0004-0000-0200-00007D020000}"/>
    <hyperlink ref="AO298" r:id="rId639" xr:uid="{00000000-0004-0000-0200-00007E020000}"/>
    <hyperlink ref="Q299" r:id="rId640" xr:uid="{00000000-0004-0000-0200-00007F020000}"/>
    <hyperlink ref="AO299" r:id="rId641" xr:uid="{00000000-0004-0000-0200-000080020000}"/>
    <hyperlink ref="Q300" r:id="rId642" xr:uid="{00000000-0004-0000-0200-000081020000}"/>
    <hyperlink ref="AO300" r:id="rId643" xr:uid="{00000000-0004-0000-0200-000082020000}"/>
    <hyperlink ref="Q301" r:id="rId644" xr:uid="{00000000-0004-0000-0200-000083020000}"/>
    <hyperlink ref="AO301" r:id="rId645" xr:uid="{00000000-0004-0000-0200-000084020000}"/>
    <hyperlink ref="Q302" r:id="rId646" xr:uid="{00000000-0004-0000-0200-000085020000}"/>
    <hyperlink ref="AO302" r:id="rId647" xr:uid="{00000000-0004-0000-0200-000086020000}"/>
    <hyperlink ref="Q303" r:id="rId648" xr:uid="{00000000-0004-0000-0200-000087020000}"/>
    <hyperlink ref="AO303" r:id="rId649" xr:uid="{00000000-0004-0000-0200-000088020000}"/>
    <hyperlink ref="Q304" r:id="rId650" xr:uid="{00000000-0004-0000-0200-000089020000}"/>
    <hyperlink ref="AO304" r:id="rId651" xr:uid="{00000000-0004-0000-0200-00008A020000}"/>
    <hyperlink ref="Q305" r:id="rId652" xr:uid="{00000000-0004-0000-0200-00008B020000}"/>
    <hyperlink ref="AO305" r:id="rId653" xr:uid="{00000000-0004-0000-0200-00008C020000}"/>
    <hyperlink ref="Q306" r:id="rId654" xr:uid="{00000000-0004-0000-0200-00008D020000}"/>
    <hyperlink ref="AO306" r:id="rId655" xr:uid="{00000000-0004-0000-0200-00008E020000}"/>
    <hyperlink ref="Q307" r:id="rId656" xr:uid="{00000000-0004-0000-0200-00008F020000}"/>
    <hyperlink ref="AO307" r:id="rId657" xr:uid="{00000000-0004-0000-0200-000090020000}"/>
    <hyperlink ref="Q308" r:id="rId658" xr:uid="{00000000-0004-0000-0200-000091020000}"/>
    <hyperlink ref="AO308" r:id="rId659" xr:uid="{00000000-0004-0000-0200-000092020000}"/>
    <hyperlink ref="Q309" r:id="rId660" xr:uid="{00000000-0004-0000-0200-000093020000}"/>
    <hyperlink ref="AO309" r:id="rId661" xr:uid="{00000000-0004-0000-0200-000094020000}"/>
    <hyperlink ref="Q310" r:id="rId662" xr:uid="{00000000-0004-0000-0200-000095020000}"/>
    <hyperlink ref="AO310" r:id="rId663" xr:uid="{00000000-0004-0000-0200-000096020000}"/>
    <hyperlink ref="Q311" r:id="rId664" xr:uid="{00000000-0004-0000-0200-000097020000}"/>
    <hyperlink ref="AO311" r:id="rId665" xr:uid="{00000000-0004-0000-0200-000098020000}"/>
    <hyperlink ref="Q312" r:id="rId666" xr:uid="{00000000-0004-0000-0200-000099020000}"/>
    <hyperlink ref="AO312" r:id="rId667" xr:uid="{00000000-0004-0000-0200-00009A020000}"/>
    <hyperlink ref="Q313" r:id="rId668" xr:uid="{00000000-0004-0000-0200-00009B020000}"/>
    <hyperlink ref="AO313" r:id="rId669" xr:uid="{00000000-0004-0000-0200-00009C020000}"/>
    <hyperlink ref="Q314" r:id="rId670" xr:uid="{00000000-0004-0000-0200-00009D020000}"/>
    <hyperlink ref="AO314" r:id="rId671" xr:uid="{00000000-0004-0000-0200-00009E020000}"/>
    <hyperlink ref="Q315" r:id="rId672" xr:uid="{00000000-0004-0000-0200-00009F020000}"/>
    <hyperlink ref="AO315" r:id="rId673" xr:uid="{00000000-0004-0000-0200-0000A0020000}"/>
    <hyperlink ref="Q316" r:id="rId674" xr:uid="{00000000-0004-0000-0200-0000A1020000}"/>
    <hyperlink ref="AO316" r:id="rId675" xr:uid="{00000000-0004-0000-0200-0000A2020000}"/>
    <hyperlink ref="Q317" r:id="rId676" xr:uid="{00000000-0004-0000-0200-0000A3020000}"/>
    <hyperlink ref="AO317" r:id="rId677" xr:uid="{00000000-0004-0000-0200-0000A4020000}"/>
    <hyperlink ref="Q318" r:id="rId678" xr:uid="{00000000-0004-0000-0200-0000A5020000}"/>
    <hyperlink ref="AO318" r:id="rId679" xr:uid="{00000000-0004-0000-0200-0000A6020000}"/>
    <hyperlink ref="Q319" r:id="rId680" xr:uid="{00000000-0004-0000-0200-0000A7020000}"/>
    <hyperlink ref="AO319" r:id="rId681" xr:uid="{00000000-0004-0000-0200-0000A8020000}"/>
    <hyperlink ref="Q320" r:id="rId682" xr:uid="{00000000-0004-0000-0200-0000A9020000}"/>
    <hyperlink ref="AO320" r:id="rId683" xr:uid="{00000000-0004-0000-0200-0000AA020000}"/>
    <hyperlink ref="Q321" r:id="rId684" xr:uid="{00000000-0004-0000-0200-0000AB020000}"/>
    <hyperlink ref="AO321" r:id="rId685" xr:uid="{00000000-0004-0000-0200-0000AC020000}"/>
    <hyperlink ref="Q322" r:id="rId686" xr:uid="{00000000-0004-0000-0200-0000AD020000}"/>
    <hyperlink ref="AO322" r:id="rId687" xr:uid="{00000000-0004-0000-0200-0000AE020000}"/>
    <hyperlink ref="Q323" r:id="rId688" xr:uid="{00000000-0004-0000-0200-0000AF020000}"/>
    <hyperlink ref="AO323" r:id="rId689" xr:uid="{00000000-0004-0000-0200-0000B0020000}"/>
    <hyperlink ref="Q324" r:id="rId690" xr:uid="{00000000-0004-0000-0200-0000B1020000}"/>
    <hyperlink ref="AO324" r:id="rId691" xr:uid="{00000000-0004-0000-0200-0000B2020000}"/>
    <hyperlink ref="Q325" r:id="rId692" xr:uid="{00000000-0004-0000-0200-0000B3020000}"/>
    <hyperlink ref="AO325" r:id="rId693" xr:uid="{00000000-0004-0000-0200-0000B4020000}"/>
    <hyperlink ref="Q326" r:id="rId694" xr:uid="{00000000-0004-0000-0200-0000B5020000}"/>
    <hyperlink ref="AO326" r:id="rId695" xr:uid="{00000000-0004-0000-0200-0000B6020000}"/>
    <hyperlink ref="Q327" r:id="rId696" xr:uid="{00000000-0004-0000-0200-0000B7020000}"/>
    <hyperlink ref="AO327" r:id="rId697" xr:uid="{00000000-0004-0000-0200-0000B8020000}"/>
    <hyperlink ref="Q328" r:id="rId698" xr:uid="{00000000-0004-0000-0200-0000B9020000}"/>
    <hyperlink ref="AO328" r:id="rId699" xr:uid="{00000000-0004-0000-0200-0000BA020000}"/>
    <hyperlink ref="Q329" r:id="rId700" xr:uid="{00000000-0004-0000-0200-0000BB020000}"/>
    <hyperlink ref="AO329" r:id="rId701" xr:uid="{00000000-0004-0000-0200-0000BC020000}"/>
    <hyperlink ref="Q330" r:id="rId702" xr:uid="{00000000-0004-0000-0200-0000BD020000}"/>
    <hyperlink ref="AO330" r:id="rId703" xr:uid="{00000000-0004-0000-0200-0000BE020000}"/>
    <hyperlink ref="Q331" r:id="rId704" xr:uid="{00000000-0004-0000-0200-0000BF020000}"/>
    <hyperlink ref="AO331" r:id="rId705" xr:uid="{00000000-0004-0000-0200-0000C0020000}"/>
    <hyperlink ref="Q332" r:id="rId706" xr:uid="{00000000-0004-0000-0200-0000C1020000}"/>
    <hyperlink ref="AO332" r:id="rId707" xr:uid="{00000000-0004-0000-0200-0000C2020000}"/>
    <hyperlink ref="Q333" r:id="rId708" xr:uid="{00000000-0004-0000-0200-0000C3020000}"/>
    <hyperlink ref="AO333" r:id="rId709" xr:uid="{00000000-0004-0000-0200-0000C4020000}"/>
    <hyperlink ref="Q334" r:id="rId710" xr:uid="{00000000-0004-0000-0200-0000C5020000}"/>
    <hyperlink ref="AO334" r:id="rId711" xr:uid="{00000000-0004-0000-0200-0000C6020000}"/>
    <hyperlink ref="Q335" r:id="rId712" xr:uid="{00000000-0004-0000-0200-0000C7020000}"/>
    <hyperlink ref="AO335" r:id="rId713" xr:uid="{00000000-0004-0000-0200-0000C8020000}"/>
    <hyperlink ref="Q336" r:id="rId714" xr:uid="{00000000-0004-0000-0200-0000C9020000}"/>
    <hyperlink ref="AO336" r:id="rId715" xr:uid="{00000000-0004-0000-0200-0000CA020000}"/>
    <hyperlink ref="Q337" r:id="rId716" xr:uid="{00000000-0004-0000-0200-0000CB020000}"/>
    <hyperlink ref="AO337" r:id="rId717" xr:uid="{00000000-0004-0000-0200-0000CC020000}"/>
    <hyperlink ref="Q338" r:id="rId718" xr:uid="{00000000-0004-0000-0200-0000CD020000}"/>
    <hyperlink ref="AO338" r:id="rId719" xr:uid="{00000000-0004-0000-0200-0000CE020000}"/>
    <hyperlink ref="Q339" r:id="rId720" xr:uid="{00000000-0004-0000-0200-0000CF020000}"/>
    <hyperlink ref="AO339" r:id="rId721" xr:uid="{00000000-0004-0000-0200-0000D0020000}"/>
    <hyperlink ref="Q340" r:id="rId722" xr:uid="{00000000-0004-0000-0200-0000D1020000}"/>
    <hyperlink ref="AO340" r:id="rId723" xr:uid="{00000000-0004-0000-0200-0000D2020000}"/>
    <hyperlink ref="Q341" r:id="rId724" xr:uid="{00000000-0004-0000-0200-0000D3020000}"/>
    <hyperlink ref="AO341" r:id="rId725" xr:uid="{00000000-0004-0000-0200-0000D4020000}"/>
    <hyperlink ref="Q342" r:id="rId726" xr:uid="{00000000-0004-0000-0200-0000D5020000}"/>
    <hyperlink ref="AO342" r:id="rId727" xr:uid="{00000000-0004-0000-0200-0000D6020000}"/>
    <hyperlink ref="Q343" r:id="rId728" xr:uid="{00000000-0004-0000-0200-0000D7020000}"/>
    <hyperlink ref="AO343" r:id="rId729" xr:uid="{00000000-0004-0000-0200-0000D8020000}"/>
    <hyperlink ref="Q344" r:id="rId730" xr:uid="{00000000-0004-0000-0200-0000D9020000}"/>
    <hyperlink ref="AO344" r:id="rId731" xr:uid="{00000000-0004-0000-0200-0000DA020000}"/>
    <hyperlink ref="Q345" r:id="rId732" xr:uid="{00000000-0004-0000-0200-0000DB020000}"/>
    <hyperlink ref="AO345" r:id="rId733" xr:uid="{00000000-0004-0000-0200-0000DC020000}"/>
    <hyperlink ref="Q346" r:id="rId734" xr:uid="{00000000-0004-0000-0200-0000DD020000}"/>
    <hyperlink ref="AO346" r:id="rId735" xr:uid="{00000000-0004-0000-0200-0000DE020000}"/>
    <hyperlink ref="Q347" r:id="rId736" xr:uid="{00000000-0004-0000-0200-0000DF020000}"/>
    <hyperlink ref="AO347" r:id="rId737" xr:uid="{00000000-0004-0000-0200-0000E0020000}"/>
    <hyperlink ref="Q348" r:id="rId738" xr:uid="{00000000-0004-0000-0200-0000E1020000}"/>
    <hyperlink ref="AO348" r:id="rId739" xr:uid="{00000000-0004-0000-0200-0000E2020000}"/>
    <hyperlink ref="Q349" r:id="rId740" xr:uid="{00000000-0004-0000-0200-0000E3020000}"/>
    <hyperlink ref="AO349" r:id="rId741" xr:uid="{00000000-0004-0000-0200-0000E4020000}"/>
    <hyperlink ref="Q350" r:id="rId742" xr:uid="{00000000-0004-0000-0200-0000E5020000}"/>
    <hyperlink ref="AO350" r:id="rId743" xr:uid="{00000000-0004-0000-0200-0000E6020000}"/>
    <hyperlink ref="Q351" r:id="rId744" xr:uid="{00000000-0004-0000-0200-0000E7020000}"/>
    <hyperlink ref="AO351" r:id="rId745" xr:uid="{00000000-0004-0000-0200-0000E8020000}"/>
    <hyperlink ref="Q352" r:id="rId746" xr:uid="{00000000-0004-0000-0200-0000E9020000}"/>
    <hyperlink ref="AO352" r:id="rId747" xr:uid="{00000000-0004-0000-0200-0000EA020000}"/>
    <hyperlink ref="Q353" r:id="rId748" xr:uid="{00000000-0004-0000-0200-0000EB020000}"/>
    <hyperlink ref="AO353" r:id="rId749" xr:uid="{00000000-0004-0000-0200-0000EC020000}"/>
    <hyperlink ref="Q354" r:id="rId750" xr:uid="{00000000-0004-0000-0200-0000ED020000}"/>
    <hyperlink ref="AO354" r:id="rId751" xr:uid="{00000000-0004-0000-0200-0000EE020000}"/>
    <hyperlink ref="Q355" r:id="rId752" xr:uid="{00000000-0004-0000-0200-0000EF020000}"/>
    <hyperlink ref="AO355" r:id="rId753" xr:uid="{00000000-0004-0000-0200-0000F0020000}"/>
    <hyperlink ref="Q356" r:id="rId754" xr:uid="{00000000-0004-0000-0200-0000F1020000}"/>
    <hyperlink ref="AO356" r:id="rId755" xr:uid="{00000000-0004-0000-0200-0000F2020000}"/>
    <hyperlink ref="Q357" r:id="rId756" xr:uid="{00000000-0004-0000-0200-0000F3020000}"/>
    <hyperlink ref="AO357" r:id="rId757" xr:uid="{00000000-0004-0000-0200-0000F4020000}"/>
    <hyperlink ref="Q358" r:id="rId758" xr:uid="{00000000-0004-0000-0200-0000F5020000}"/>
    <hyperlink ref="AO358" r:id="rId759" xr:uid="{00000000-0004-0000-0200-0000F6020000}"/>
    <hyperlink ref="Q359" r:id="rId760" xr:uid="{00000000-0004-0000-0200-0000F7020000}"/>
    <hyperlink ref="AO359" r:id="rId761" xr:uid="{00000000-0004-0000-0200-0000F8020000}"/>
    <hyperlink ref="Q360" r:id="rId762" xr:uid="{00000000-0004-0000-0200-0000F9020000}"/>
    <hyperlink ref="AO360" r:id="rId763" xr:uid="{00000000-0004-0000-0200-0000FA020000}"/>
    <hyperlink ref="Q361" r:id="rId764" xr:uid="{00000000-0004-0000-0200-0000FB020000}"/>
    <hyperlink ref="AO361" r:id="rId765" xr:uid="{00000000-0004-0000-0200-0000FC020000}"/>
    <hyperlink ref="Q362" r:id="rId766" xr:uid="{00000000-0004-0000-0200-0000FD020000}"/>
    <hyperlink ref="AO362" r:id="rId767" xr:uid="{00000000-0004-0000-0200-0000FE020000}"/>
    <hyperlink ref="Q363" r:id="rId768" xr:uid="{00000000-0004-0000-0200-0000FF020000}"/>
    <hyperlink ref="AO363" r:id="rId769" xr:uid="{00000000-0004-0000-0200-000000030000}"/>
    <hyperlink ref="Q364" r:id="rId770" xr:uid="{00000000-0004-0000-0200-000001030000}"/>
    <hyperlink ref="AO364" r:id="rId771" xr:uid="{00000000-0004-0000-0200-000002030000}"/>
    <hyperlink ref="Q365" r:id="rId772" xr:uid="{00000000-0004-0000-0200-000003030000}"/>
    <hyperlink ref="AO365" r:id="rId773" xr:uid="{00000000-0004-0000-0200-000004030000}"/>
    <hyperlink ref="Q366" r:id="rId774" xr:uid="{00000000-0004-0000-0200-000005030000}"/>
    <hyperlink ref="AO366" r:id="rId775" xr:uid="{00000000-0004-0000-0200-000006030000}"/>
    <hyperlink ref="Q367" r:id="rId776" xr:uid="{00000000-0004-0000-0200-000007030000}"/>
    <hyperlink ref="AO367" r:id="rId777" xr:uid="{00000000-0004-0000-0200-000008030000}"/>
    <hyperlink ref="Q368" r:id="rId778" xr:uid="{00000000-0004-0000-0200-000009030000}"/>
    <hyperlink ref="AO368" r:id="rId779" xr:uid="{00000000-0004-0000-0200-00000A030000}"/>
    <hyperlink ref="Q369" r:id="rId780" xr:uid="{00000000-0004-0000-0200-00000B030000}"/>
    <hyperlink ref="AO369" r:id="rId781" xr:uid="{00000000-0004-0000-0200-00000C030000}"/>
    <hyperlink ref="Q370" r:id="rId782" xr:uid="{00000000-0004-0000-0200-00000D030000}"/>
    <hyperlink ref="AO370" r:id="rId783" xr:uid="{00000000-0004-0000-0200-00000E030000}"/>
    <hyperlink ref="Q371" r:id="rId784" xr:uid="{00000000-0004-0000-0200-00000F030000}"/>
    <hyperlink ref="AO371" r:id="rId785" xr:uid="{00000000-0004-0000-0200-000010030000}"/>
    <hyperlink ref="Q372" r:id="rId786" xr:uid="{00000000-0004-0000-0200-000011030000}"/>
    <hyperlink ref="AO372" r:id="rId787" xr:uid="{00000000-0004-0000-0200-000012030000}"/>
    <hyperlink ref="Q373" r:id="rId788" xr:uid="{00000000-0004-0000-0200-000013030000}"/>
    <hyperlink ref="AO373" r:id="rId789" xr:uid="{00000000-0004-0000-0200-000014030000}"/>
    <hyperlink ref="Q374" r:id="rId790" xr:uid="{00000000-0004-0000-0200-000015030000}"/>
    <hyperlink ref="AO374" r:id="rId791" xr:uid="{00000000-0004-0000-0200-000016030000}"/>
    <hyperlink ref="Q375" r:id="rId792" xr:uid="{00000000-0004-0000-0200-000017030000}"/>
    <hyperlink ref="AO375" r:id="rId793" xr:uid="{00000000-0004-0000-0200-000018030000}"/>
    <hyperlink ref="Q376" r:id="rId794" xr:uid="{00000000-0004-0000-0200-000019030000}"/>
    <hyperlink ref="AO376" r:id="rId795" xr:uid="{00000000-0004-0000-0200-00001A030000}"/>
    <hyperlink ref="Q377" r:id="rId796" xr:uid="{00000000-0004-0000-0200-00001B030000}"/>
    <hyperlink ref="AO377" r:id="rId797" xr:uid="{00000000-0004-0000-0200-00001C030000}"/>
    <hyperlink ref="Q378" r:id="rId798" xr:uid="{00000000-0004-0000-0200-00001D030000}"/>
    <hyperlink ref="AO378" r:id="rId799" xr:uid="{00000000-0004-0000-0200-00001E030000}"/>
    <hyperlink ref="Q379" r:id="rId800" xr:uid="{00000000-0004-0000-0200-00001F030000}"/>
    <hyperlink ref="AO379" r:id="rId801" xr:uid="{00000000-0004-0000-0200-000020030000}"/>
    <hyperlink ref="Q380" r:id="rId802" xr:uid="{00000000-0004-0000-0200-000021030000}"/>
    <hyperlink ref="AO380" r:id="rId803" xr:uid="{00000000-0004-0000-0200-000022030000}"/>
    <hyperlink ref="Q381" r:id="rId804" xr:uid="{00000000-0004-0000-0200-000023030000}"/>
    <hyperlink ref="AO381" r:id="rId805" xr:uid="{00000000-0004-0000-0200-000024030000}"/>
    <hyperlink ref="Q382" r:id="rId806" xr:uid="{00000000-0004-0000-0200-000025030000}"/>
    <hyperlink ref="AO382" r:id="rId807" xr:uid="{00000000-0004-0000-0200-000026030000}"/>
    <hyperlink ref="Q383" r:id="rId808" xr:uid="{00000000-0004-0000-0200-000027030000}"/>
    <hyperlink ref="AO383" r:id="rId809" xr:uid="{00000000-0004-0000-0200-000028030000}"/>
    <hyperlink ref="Q384" r:id="rId810" xr:uid="{00000000-0004-0000-0200-000029030000}"/>
    <hyperlink ref="AO384" r:id="rId811" xr:uid="{00000000-0004-0000-0200-00002A030000}"/>
    <hyperlink ref="Q385" r:id="rId812" xr:uid="{00000000-0004-0000-0200-00002B030000}"/>
    <hyperlink ref="AO385" r:id="rId813" xr:uid="{00000000-0004-0000-0200-00002C030000}"/>
    <hyperlink ref="Q386" r:id="rId814" xr:uid="{00000000-0004-0000-0200-00002D030000}"/>
    <hyperlink ref="AO386" r:id="rId815" xr:uid="{00000000-0004-0000-0200-00002E030000}"/>
    <hyperlink ref="Q387" r:id="rId816" xr:uid="{00000000-0004-0000-0200-00002F030000}"/>
    <hyperlink ref="AO387" r:id="rId817" xr:uid="{00000000-0004-0000-0200-000030030000}"/>
    <hyperlink ref="Q388" r:id="rId818" xr:uid="{00000000-0004-0000-0200-000031030000}"/>
    <hyperlink ref="AO388" r:id="rId819" xr:uid="{00000000-0004-0000-0200-000032030000}"/>
    <hyperlink ref="Q389" r:id="rId820" xr:uid="{00000000-0004-0000-0200-000033030000}"/>
    <hyperlink ref="AO389" r:id="rId821" xr:uid="{00000000-0004-0000-0200-000034030000}"/>
    <hyperlink ref="Q390" r:id="rId822" xr:uid="{00000000-0004-0000-0200-000035030000}"/>
    <hyperlink ref="AO390" r:id="rId823" xr:uid="{00000000-0004-0000-0200-000036030000}"/>
    <hyperlink ref="Q391" r:id="rId824" xr:uid="{00000000-0004-0000-0200-000037030000}"/>
    <hyperlink ref="AO391" r:id="rId825" xr:uid="{00000000-0004-0000-0200-000038030000}"/>
    <hyperlink ref="Q392" r:id="rId826" xr:uid="{00000000-0004-0000-0200-000039030000}"/>
    <hyperlink ref="AO392" r:id="rId827" xr:uid="{00000000-0004-0000-0200-00003A030000}"/>
    <hyperlink ref="Q393" r:id="rId828" xr:uid="{00000000-0004-0000-0200-00003B030000}"/>
    <hyperlink ref="AO393" r:id="rId829" xr:uid="{00000000-0004-0000-0200-00003C030000}"/>
    <hyperlink ref="Q394" r:id="rId830" xr:uid="{00000000-0004-0000-0200-00003D030000}"/>
    <hyperlink ref="AO394" r:id="rId831" xr:uid="{00000000-0004-0000-0200-00003E030000}"/>
    <hyperlink ref="Q395" r:id="rId832" xr:uid="{00000000-0004-0000-0200-00003F030000}"/>
    <hyperlink ref="AO395" r:id="rId833" xr:uid="{00000000-0004-0000-0200-000040030000}"/>
    <hyperlink ref="Q396" r:id="rId834" xr:uid="{00000000-0004-0000-0200-000041030000}"/>
    <hyperlink ref="AO396" r:id="rId835" xr:uid="{00000000-0004-0000-0200-000042030000}"/>
    <hyperlink ref="Q397" r:id="rId836" xr:uid="{00000000-0004-0000-0200-000043030000}"/>
    <hyperlink ref="AO397" r:id="rId837" xr:uid="{00000000-0004-0000-0200-000044030000}"/>
    <hyperlink ref="Q398" r:id="rId838" xr:uid="{00000000-0004-0000-0200-000045030000}"/>
    <hyperlink ref="AO398" r:id="rId839" xr:uid="{00000000-0004-0000-0200-000046030000}"/>
    <hyperlink ref="Q399" r:id="rId840" xr:uid="{00000000-0004-0000-0200-000047030000}"/>
    <hyperlink ref="AO399" r:id="rId841" xr:uid="{00000000-0004-0000-0200-000048030000}"/>
    <hyperlink ref="Q400" r:id="rId842" xr:uid="{00000000-0004-0000-0200-000049030000}"/>
    <hyperlink ref="AO400" r:id="rId843" xr:uid="{00000000-0004-0000-0200-00004A030000}"/>
    <hyperlink ref="Q401" r:id="rId844" xr:uid="{00000000-0004-0000-0200-00004B030000}"/>
    <hyperlink ref="AO401" r:id="rId845" xr:uid="{00000000-0004-0000-0200-00004C030000}"/>
    <hyperlink ref="Q402" r:id="rId846" xr:uid="{00000000-0004-0000-0200-00004D030000}"/>
    <hyperlink ref="AO402" r:id="rId847" xr:uid="{00000000-0004-0000-0200-00004E030000}"/>
    <hyperlink ref="Q403" r:id="rId848" xr:uid="{00000000-0004-0000-0200-00004F030000}"/>
    <hyperlink ref="AO403" r:id="rId849" xr:uid="{00000000-0004-0000-0200-000050030000}"/>
    <hyperlink ref="Q404" r:id="rId850" xr:uid="{00000000-0004-0000-0200-000051030000}"/>
    <hyperlink ref="AO404" r:id="rId851" xr:uid="{00000000-0004-0000-0200-000052030000}"/>
    <hyperlink ref="Q405" r:id="rId852" xr:uid="{00000000-0004-0000-0200-000053030000}"/>
    <hyperlink ref="AO405" r:id="rId853" xr:uid="{00000000-0004-0000-0200-000054030000}"/>
    <hyperlink ref="Q406" r:id="rId854" xr:uid="{00000000-0004-0000-0200-000055030000}"/>
    <hyperlink ref="AO406" r:id="rId855" xr:uid="{00000000-0004-0000-0200-000056030000}"/>
    <hyperlink ref="Q407" r:id="rId856" xr:uid="{00000000-0004-0000-0200-000057030000}"/>
    <hyperlink ref="AO407" r:id="rId857" xr:uid="{00000000-0004-0000-0200-000058030000}"/>
    <hyperlink ref="Q408" r:id="rId858" xr:uid="{00000000-0004-0000-0200-000059030000}"/>
    <hyperlink ref="AO408" r:id="rId859" xr:uid="{00000000-0004-0000-0200-00005A030000}"/>
    <hyperlink ref="Q409" r:id="rId860" xr:uid="{00000000-0004-0000-0200-00005B030000}"/>
    <hyperlink ref="AO409" r:id="rId861" xr:uid="{00000000-0004-0000-0200-00005C030000}"/>
    <hyperlink ref="Q410" r:id="rId862" xr:uid="{00000000-0004-0000-0200-00005D030000}"/>
    <hyperlink ref="AO410" r:id="rId863" xr:uid="{00000000-0004-0000-0200-00005E030000}"/>
    <hyperlink ref="Q411" r:id="rId864" xr:uid="{00000000-0004-0000-0200-00005F030000}"/>
    <hyperlink ref="AO411" r:id="rId865" xr:uid="{00000000-0004-0000-0200-000060030000}"/>
    <hyperlink ref="Q412" r:id="rId866" xr:uid="{00000000-0004-0000-0200-000061030000}"/>
    <hyperlink ref="AO412" r:id="rId867" xr:uid="{00000000-0004-0000-0200-000062030000}"/>
    <hyperlink ref="Q413" r:id="rId868" xr:uid="{00000000-0004-0000-0200-000063030000}"/>
    <hyperlink ref="AO413" r:id="rId869" xr:uid="{00000000-0004-0000-0200-000064030000}"/>
    <hyperlink ref="Q414" r:id="rId870" xr:uid="{00000000-0004-0000-0200-000065030000}"/>
    <hyperlink ref="AO414" r:id="rId871" xr:uid="{00000000-0004-0000-0200-000066030000}"/>
    <hyperlink ref="Q415" r:id="rId872" xr:uid="{00000000-0004-0000-0200-000067030000}"/>
    <hyperlink ref="AO415" r:id="rId873" xr:uid="{00000000-0004-0000-0200-000068030000}"/>
    <hyperlink ref="Q416" r:id="rId874" xr:uid="{00000000-0004-0000-0200-000069030000}"/>
    <hyperlink ref="AO416" r:id="rId875" xr:uid="{00000000-0004-0000-0200-00006A030000}"/>
    <hyperlink ref="Q417" r:id="rId876" xr:uid="{00000000-0004-0000-0200-00006B030000}"/>
    <hyperlink ref="AO417" r:id="rId877" xr:uid="{00000000-0004-0000-0200-00006C030000}"/>
    <hyperlink ref="Q418" r:id="rId878" xr:uid="{00000000-0004-0000-0200-00006D030000}"/>
    <hyperlink ref="AO418" r:id="rId879" xr:uid="{00000000-0004-0000-0200-00006E030000}"/>
    <hyperlink ref="Q419" r:id="rId880" xr:uid="{00000000-0004-0000-0200-00006F030000}"/>
    <hyperlink ref="AO419" r:id="rId881" xr:uid="{00000000-0004-0000-0200-000070030000}"/>
    <hyperlink ref="Q420" r:id="rId882" xr:uid="{00000000-0004-0000-0200-000071030000}"/>
    <hyperlink ref="AO420" r:id="rId883" xr:uid="{00000000-0004-0000-0200-000072030000}"/>
    <hyperlink ref="Q421" r:id="rId884" xr:uid="{00000000-0004-0000-0200-000073030000}"/>
    <hyperlink ref="AO421" r:id="rId885" xr:uid="{00000000-0004-0000-0200-000074030000}"/>
    <hyperlink ref="Q422" r:id="rId886" xr:uid="{00000000-0004-0000-0200-000075030000}"/>
    <hyperlink ref="AO422" r:id="rId887" xr:uid="{00000000-0004-0000-0200-000076030000}"/>
    <hyperlink ref="Q423" r:id="rId888" xr:uid="{00000000-0004-0000-0200-000077030000}"/>
    <hyperlink ref="AO423" r:id="rId889" xr:uid="{00000000-0004-0000-0200-000078030000}"/>
    <hyperlink ref="Q424" r:id="rId890" xr:uid="{00000000-0004-0000-0200-000079030000}"/>
    <hyperlink ref="AO424" r:id="rId891" xr:uid="{00000000-0004-0000-0200-00007A030000}"/>
    <hyperlink ref="Q425" r:id="rId892" xr:uid="{00000000-0004-0000-0200-00007B030000}"/>
    <hyperlink ref="AO425" r:id="rId893" xr:uid="{00000000-0004-0000-0200-00007C030000}"/>
    <hyperlink ref="Q426" r:id="rId894" xr:uid="{00000000-0004-0000-0200-00007D030000}"/>
    <hyperlink ref="AO426" r:id="rId895" xr:uid="{00000000-0004-0000-0200-00007E030000}"/>
    <hyperlink ref="Q427" r:id="rId896" xr:uid="{00000000-0004-0000-0200-00007F030000}"/>
    <hyperlink ref="AO427" r:id="rId897" xr:uid="{00000000-0004-0000-0200-000080030000}"/>
    <hyperlink ref="Q428" r:id="rId898" xr:uid="{00000000-0004-0000-0200-000081030000}"/>
    <hyperlink ref="AO428" r:id="rId899" xr:uid="{00000000-0004-0000-0200-000082030000}"/>
    <hyperlink ref="Q429" r:id="rId900" xr:uid="{00000000-0004-0000-0200-000083030000}"/>
    <hyperlink ref="AO429" r:id="rId901" xr:uid="{00000000-0004-0000-0200-000084030000}"/>
    <hyperlink ref="Q430" r:id="rId902" xr:uid="{00000000-0004-0000-0200-000085030000}"/>
    <hyperlink ref="AO430" r:id="rId903" xr:uid="{00000000-0004-0000-0200-000086030000}"/>
    <hyperlink ref="Q431" r:id="rId904" xr:uid="{00000000-0004-0000-0200-000087030000}"/>
    <hyperlink ref="AO431" r:id="rId905" xr:uid="{00000000-0004-0000-0200-000088030000}"/>
    <hyperlink ref="Q432" r:id="rId906" xr:uid="{00000000-0004-0000-0200-000089030000}"/>
    <hyperlink ref="AO432" r:id="rId907" xr:uid="{00000000-0004-0000-0200-00008A030000}"/>
    <hyperlink ref="Q433" r:id="rId908" xr:uid="{00000000-0004-0000-0200-00008B030000}"/>
    <hyperlink ref="AO433" r:id="rId909" xr:uid="{00000000-0004-0000-0200-00008C030000}"/>
    <hyperlink ref="Q434" r:id="rId910" xr:uid="{00000000-0004-0000-0200-00008D030000}"/>
    <hyperlink ref="AO434" r:id="rId911" xr:uid="{00000000-0004-0000-0200-00008E030000}"/>
    <hyperlink ref="Q435" r:id="rId912" xr:uid="{00000000-0004-0000-0200-00008F030000}"/>
    <hyperlink ref="AO435" r:id="rId913" xr:uid="{00000000-0004-0000-0200-000090030000}"/>
    <hyperlink ref="Q436" r:id="rId914" xr:uid="{00000000-0004-0000-0200-000091030000}"/>
    <hyperlink ref="AO436" r:id="rId915" xr:uid="{00000000-0004-0000-0200-000092030000}"/>
    <hyperlink ref="Q437" r:id="rId916" xr:uid="{00000000-0004-0000-0200-000093030000}"/>
    <hyperlink ref="AO437" r:id="rId917" xr:uid="{00000000-0004-0000-0200-000094030000}"/>
    <hyperlink ref="Q438" r:id="rId918" xr:uid="{00000000-0004-0000-0200-000095030000}"/>
    <hyperlink ref="AO438" r:id="rId919" xr:uid="{00000000-0004-0000-0200-000096030000}"/>
    <hyperlink ref="Q439" r:id="rId920" xr:uid="{00000000-0004-0000-0200-000097030000}"/>
    <hyperlink ref="AO439" r:id="rId921" xr:uid="{00000000-0004-0000-0200-000098030000}"/>
    <hyperlink ref="Q440" r:id="rId922" xr:uid="{00000000-0004-0000-0200-000099030000}"/>
    <hyperlink ref="AO440" r:id="rId923" xr:uid="{00000000-0004-0000-0200-00009A030000}"/>
    <hyperlink ref="Q441" r:id="rId924" xr:uid="{00000000-0004-0000-0200-00009B030000}"/>
    <hyperlink ref="AO441" r:id="rId925" xr:uid="{00000000-0004-0000-0200-00009C030000}"/>
    <hyperlink ref="Q442" r:id="rId926" xr:uid="{00000000-0004-0000-0200-00009D030000}"/>
    <hyperlink ref="AO442" r:id="rId927" xr:uid="{00000000-0004-0000-0200-00009E030000}"/>
    <hyperlink ref="Q443" r:id="rId928" xr:uid="{00000000-0004-0000-0200-00009F030000}"/>
    <hyperlink ref="AO443" r:id="rId929" xr:uid="{00000000-0004-0000-0200-0000A0030000}"/>
    <hyperlink ref="Q444" r:id="rId930" xr:uid="{00000000-0004-0000-0200-0000A1030000}"/>
    <hyperlink ref="AO444" r:id="rId931" xr:uid="{00000000-0004-0000-0200-0000A2030000}"/>
    <hyperlink ref="Q445" r:id="rId932" xr:uid="{00000000-0004-0000-0200-0000A3030000}"/>
    <hyperlink ref="AO445" r:id="rId933" xr:uid="{00000000-0004-0000-0200-0000A4030000}"/>
    <hyperlink ref="Q446" r:id="rId934" xr:uid="{00000000-0004-0000-0200-0000A5030000}"/>
    <hyperlink ref="AO446" r:id="rId935" xr:uid="{00000000-0004-0000-0200-0000A6030000}"/>
    <hyperlink ref="Q447" r:id="rId936" xr:uid="{00000000-0004-0000-0200-0000A7030000}"/>
    <hyperlink ref="AO447" r:id="rId937" xr:uid="{00000000-0004-0000-0200-0000A8030000}"/>
    <hyperlink ref="Q448" r:id="rId938" xr:uid="{00000000-0004-0000-0200-0000A9030000}"/>
    <hyperlink ref="AO448" r:id="rId939" xr:uid="{00000000-0004-0000-0200-0000AA030000}"/>
    <hyperlink ref="Q449" r:id="rId940" xr:uid="{00000000-0004-0000-0200-0000AB030000}"/>
    <hyperlink ref="AO449" r:id="rId941" xr:uid="{00000000-0004-0000-0200-0000AC030000}"/>
    <hyperlink ref="Q450" r:id="rId942" xr:uid="{00000000-0004-0000-0200-0000AD030000}"/>
    <hyperlink ref="AO450" r:id="rId943" xr:uid="{00000000-0004-0000-0200-0000AE030000}"/>
    <hyperlink ref="Q451" r:id="rId944" xr:uid="{00000000-0004-0000-0200-0000AF030000}"/>
    <hyperlink ref="AO451" r:id="rId945" xr:uid="{00000000-0004-0000-0200-0000B0030000}"/>
    <hyperlink ref="Q452" r:id="rId946" xr:uid="{00000000-0004-0000-0200-0000B1030000}"/>
    <hyperlink ref="AO452" r:id="rId947" xr:uid="{00000000-0004-0000-0200-0000B2030000}"/>
    <hyperlink ref="Q453" r:id="rId948" xr:uid="{00000000-0004-0000-0200-0000B3030000}"/>
    <hyperlink ref="AO453" r:id="rId949" xr:uid="{00000000-0004-0000-0200-0000B4030000}"/>
    <hyperlink ref="Q454" r:id="rId950" xr:uid="{00000000-0004-0000-0200-0000B5030000}"/>
    <hyperlink ref="AO454" r:id="rId951" xr:uid="{00000000-0004-0000-0200-0000B6030000}"/>
    <hyperlink ref="Q455" r:id="rId952" xr:uid="{00000000-0004-0000-0200-0000B7030000}"/>
    <hyperlink ref="AO455" r:id="rId953" xr:uid="{00000000-0004-0000-0200-0000B8030000}"/>
    <hyperlink ref="Q456" r:id="rId954" xr:uid="{00000000-0004-0000-0200-0000B9030000}"/>
    <hyperlink ref="AO456" r:id="rId955" xr:uid="{00000000-0004-0000-0200-0000BA030000}"/>
    <hyperlink ref="Q457" r:id="rId956" xr:uid="{00000000-0004-0000-0200-0000BB030000}"/>
    <hyperlink ref="AO457" r:id="rId957" xr:uid="{00000000-0004-0000-0200-0000BC030000}"/>
    <hyperlink ref="Q458" r:id="rId958" xr:uid="{00000000-0004-0000-0200-0000BD030000}"/>
    <hyperlink ref="AO458" r:id="rId959" xr:uid="{00000000-0004-0000-0200-0000BE030000}"/>
    <hyperlink ref="Q459" r:id="rId960" xr:uid="{00000000-0004-0000-0200-0000BF030000}"/>
    <hyperlink ref="AO459" r:id="rId961" xr:uid="{00000000-0004-0000-0200-0000C0030000}"/>
    <hyperlink ref="Q460" r:id="rId962" xr:uid="{00000000-0004-0000-0200-0000C1030000}"/>
    <hyperlink ref="AO460" r:id="rId963" xr:uid="{00000000-0004-0000-0200-0000C2030000}"/>
    <hyperlink ref="Q461" r:id="rId964" xr:uid="{00000000-0004-0000-0200-0000C3030000}"/>
    <hyperlink ref="AO461" r:id="rId965" xr:uid="{00000000-0004-0000-0200-0000C4030000}"/>
    <hyperlink ref="Q462" r:id="rId966" xr:uid="{00000000-0004-0000-0200-0000C5030000}"/>
    <hyperlink ref="AO462" r:id="rId967" xr:uid="{00000000-0004-0000-0200-0000C6030000}"/>
    <hyperlink ref="Q463" r:id="rId968" xr:uid="{00000000-0004-0000-0200-0000C7030000}"/>
    <hyperlink ref="AO463" r:id="rId969" xr:uid="{00000000-0004-0000-0200-0000C8030000}"/>
    <hyperlink ref="Q464" r:id="rId970" xr:uid="{00000000-0004-0000-0200-0000C9030000}"/>
    <hyperlink ref="AO464" r:id="rId971" xr:uid="{00000000-0004-0000-0200-0000CA030000}"/>
    <hyperlink ref="Q465" r:id="rId972" xr:uid="{00000000-0004-0000-0200-0000CB030000}"/>
    <hyperlink ref="AO465" r:id="rId973" xr:uid="{00000000-0004-0000-0200-0000CC030000}"/>
    <hyperlink ref="Q466" r:id="rId974" xr:uid="{00000000-0004-0000-0200-0000CD030000}"/>
    <hyperlink ref="AO466" r:id="rId975" xr:uid="{00000000-0004-0000-0200-0000CE030000}"/>
    <hyperlink ref="Q467" r:id="rId976" xr:uid="{00000000-0004-0000-0200-0000CF030000}"/>
    <hyperlink ref="AO467" r:id="rId977" xr:uid="{00000000-0004-0000-0200-0000D0030000}"/>
    <hyperlink ref="Q468" r:id="rId978" xr:uid="{00000000-0004-0000-0200-0000D1030000}"/>
    <hyperlink ref="AO468" r:id="rId979" xr:uid="{00000000-0004-0000-0200-0000D2030000}"/>
    <hyperlink ref="Q469" r:id="rId980" xr:uid="{00000000-0004-0000-0200-0000D3030000}"/>
    <hyperlink ref="AO469" r:id="rId981" xr:uid="{00000000-0004-0000-0200-0000D4030000}"/>
    <hyperlink ref="Q470" r:id="rId982" xr:uid="{00000000-0004-0000-0200-0000D5030000}"/>
    <hyperlink ref="AO470" r:id="rId983" xr:uid="{00000000-0004-0000-0200-0000D6030000}"/>
    <hyperlink ref="Q471" r:id="rId984" xr:uid="{00000000-0004-0000-0200-0000D7030000}"/>
    <hyperlink ref="AO471" r:id="rId985" xr:uid="{00000000-0004-0000-0200-0000D8030000}"/>
    <hyperlink ref="Q472" r:id="rId986" xr:uid="{00000000-0004-0000-0200-0000D9030000}"/>
    <hyperlink ref="AO472" r:id="rId987" xr:uid="{00000000-0004-0000-0200-0000DA030000}"/>
    <hyperlink ref="Q473" r:id="rId988" xr:uid="{00000000-0004-0000-0200-0000DB030000}"/>
    <hyperlink ref="AO473" r:id="rId989" xr:uid="{00000000-0004-0000-0200-0000DC030000}"/>
    <hyperlink ref="Q474" r:id="rId990" xr:uid="{00000000-0004-0000-0200-0000DD030000}"/>
    <hyperlink ref="AO474" r:id="rId991" xr:uid="{00000000-0004-0000-0200-0000DE030000}"/>
    <hyperlink ref="Q475" r:id="rId992" xr:uid="{00000000-0004-0000-0200-0000DF030000}"/>
    <hyperlink ref="AO475" r:id="rId993" xr:uid="{00000000-0004-0000-0200-0000E0030000}"/>
    <hyperlink ref="Q476" r:id="rId994" xr:uid="{00000000-0004-0000-0200-0000E1030000}"/>
    <hyperlink ref="AO476" r:id="rId995" xr:uid="{00000000-0004-0000-0200-0000E2030000}"/>
    <hyperlink ref="Q477" r:id="rId996" xr:uid="{00000000-0004-0000-0200-0000E3030000}"/>
    <hyperlink ref="AO477" r:id="rId997" xr:uid="{00000000-0004-0000-0200-0000E4030000}"/>
    <hyperlink ref="Q478" r:id="rId998" xr:uid="{00000000-0004-0000-0200-0000E5030000}"/>
    <hyperlink ref="AO478" r:id="rId999" xr:uid="{00000000-0004-0000-0200-0000E6030000}"/>
    <hyperlink ref="Q479" r:id="rId1000" xr:uid="{00000000-0004-0000-0200-0000E7030000}"/>
    <hyperlink ref="AO479" r:id="rId1001" xr:uid="{00000000-0004-0000-0200-0000E8030000}"/>
    <hyperlink ref="Q480" r:id="rId1002" xr:uid="{00000000-0004-0000-0200-0000E9030000}"/>
    <hyperlink ref="AO480" r:id="rId1003" xr:uid="{00000000-0004-0000-0200-0000EA030000}"/>
    <hyperlink ref="Q481" r:id="rId1004" xr:uid="{00000000-0004-0000-0200-0000EB030000}"/>
    <hyperlink ref="AO481" r:id="rId1005" xr:uid="{00000000-0004-0000-0200-0000EC030000}"/>
    <hyperlink ref="Q482" r:id="rId1006" xr:uid="{00000000-0004-0000-0200-0000ED030000}"/>
    <hyperlink ref="AO482" r:id="rId1007" xr:uid="{00000000-0004-0000-0200-0000EE030000}"/>
    <hyperlink ref="Q483" r:id="rId1008" xr:uid="{00000000-0004-0000-0200-0000EF030000}"/>
    <hyperlink ref="AO483" r:id="rId1009" xr:uid="{00000000-0004-0000-0200-0000F0030000}"/>
    <hyperlink ref="Q484" r:id="rId1010" xr:uid="{00000000-0004-0000-0200-0000F1030000}"/>
    <hyperlink ref="AO484" r:id="rId1011" xr:uid="{00000000-0004-0000-0200-0000F2030000}"/>
    <hyperlink ref="Q485" r:id="rId1012" xr:uid="{00000000-0004-0000-0200-0000F3030000}"/>
    <hyperlink ref="AO485" r:id="rId1013" xr:uid="{00000000-0004-0000-0200-0000F4030000}"/>
    <hyperlink ref="Q486" r:id="rId1014" xr:uid="{00000000-0004-0000-0200-0000F5030000}"/>
    <hyperlink ref="AO486" r:id="rId1015" xr:uid="{00000000-0004-0000-0200-0000F6030000}"/>
    <hyperlink ref="Q487" r:id="rId1016" xr:uid="{00000000-0004-0000-0200-0000F7030000}"/>
    <hyperlink ref="AO487" r:id="rId1017" xr:uid="{00000000-0004-0000-0200-0000F8030000}"/>
    <hyperlink ref="Q488" r:id="rId1018" xr:uid="{00000000-0004-0000-0200-0000F9030000}"/>
    <hyperlink ref="AO488" r:id="rId1019" xr:uid="{00000000-0004-0000-0200-0000FA030000}"/>
    <hyperlink ref="Q489" r:id="rId1020" xr:uid="{00000000-0004-0000-0200-0000FB030000}"/>
    <hyperlink ref="AO489" r:id="rId1021" xr:uid="{00000000-0004-0000-0200-0000FC030000}"/>
    <hyperlink ref="Q490" r:id="rId1022" xr:uid="{00000000-0004-0000-0200-0000FD030000}"/>
    <hyperlink ref="AO490" r:id="rId1023" xr:uid="{00000000-0004-0000-0200-0000FE030000}"/>
    <hyperlink ref="Q491" r:id="rId1024" xr:uid="{00000000-0004-0000-0200-0000FF030000}"/>
    <hyperlink ref="AO491" r:id="rId1025" xr:uid="{00000000-0004-0000-0200-000000040000}"/>
    <hyperlink ref="Q492" r:id="rId1026" xr:uid="{00000000-0004-0000-0200-000001040000}"/>
    <hyperlink ref="AO492" r:id="rId1027" xr:uid="{00000000-0004-0000-0200-000002040000}"/>
    <hyperlink ref="Q493" r:id="rId1028" xr:uid="{00000000-0004-0000-0200-000003040000}"/>
    <hyperlink ref="AO493" r:id="rId1029" xr:uid="{00000000-0004-0000-0200-000004040000}"/>
    <hyperlink ref="Q494" r:id="rId1030" xr:uid="{00000000-0004-0000-0200-000005040000}"/>
    <hyperlink ref="AO494" r:id="rId1031" xr:uid="{00000000-0004-0000-0200-000006040000}"/>
    <hyperlink ref="Q495" r:id="rId1032" xr:uid="{00000000-0004-0000-0200-000007040000}"/>
    <hyperlink ref="AO495" r:id="rId1033" xr:uid="{00000000-0004-0000-0200-000008040000}"/>
    <hyperlink ref="Q496" r:id="rId1034" xr:uid="{00000000-0004-0000-0200-000009040000}"/>
    <hyperlink ref="AO496" r:id="rId1035" xr:uid="{00000000-0004-0000-0200-00000A040000}"/>
    <hyperlink ref="Q497" r:id="rId1036" xr:uid="{00000000-0004-0000-0200-00000B040000}"/>
    <hyperlink ref="AO497" r:id="rId1037" xr:uid="{00000000-0004-0000-0200-00000C040000}"/>
    <hyperlink ref="Q498" r:id="rId1038" xr:uid="{00000000-0004-0000-0200-00000D040000}"/>
    <hyperlink ref="AO498" r:id="rId1039" xr:uid="{00000000-0004-0000-0200-00000E040000}"/>
    <hyperlink ref="Q499" r:id="rId1040" xr:uid="{00000000-0004-0000-0200-00000F040000}"/>
    <hyperlink ref="AO499" r:id="rId1041" xr:uid="{00000000-0004-0000-0200-00001004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showGridLines="0" workbookViewId="0">
      <selection activeCell="B8" sqref="B8"/>
    </sheetView>
  </sheetViews>
  <sheetFormatPr defaultRowHeight="15" x14ac:dyDescent="0.25"/>
  <cols>
    <col min="1" max="1" width="22" customWidth="1"/>
    <col min="2" max="2" width="90" customWidth="1"/>
    <col min="3" max="3" width="60" customWidth="1"/>
  </cols>
  <sheetData>
    <row r="1" spans="1:3" ht="28.5" customHeight="1" x14ac:dyDescent="0.25">
      <c r="A1" s="14" t="s">
        <v>1908</v>
      </c>
    </row>
    <row r="3" spans="1:3" ht="36" customHeight="1" x14ac:dyDescent="0.25">
      <c r="A3" s="15" t="s">
        <v>59</v>
      </c>
      <c r="B3" s="16" t="s">
        <v>90</v>
      </c>
    </row>
    <row r="4" spans="1:3" ht="36" customHeight="1" x14ac:dyDescent="0.25">
      <c r="A4" s="15" t="s">
        <v>1909</v>
      </c>
      <c r="B4" s="16" t="s">
        <v>1910</v>
      </c>
    </row>
    <row r="5" spans="1:3" ht="36" customHeight="1" x14ac:dyDescent="0.25">
      <c r="A5" s="15" t="s">
        <v>1911</v>
      </c>
      <c r="B5" s="16" t="s">
        <v>1912</v>
      </c>
    </row>
    <row r="6" spans="1:3" ht="36" customHeight="1" x14ac:dyDescent="0.25">
      <c r="A6" s="15" t="s">
        <v>1913</v>
      </c>
      <c r="B6" s="17" t="s">
        <v>93</v>
      </c>
    </row>
    <row r="7" spans="1:3" ht="36" customHeight="1" x14ac:dyDescent="0.25">
      <c r="A7" s="15" t="s">
        <v>1914</v>
      </c>
      <c r="B7" s="17" t="s">
        <v>1915</v>
      </c>
    </row>
    <row r="8" spans="1:3" ht="95.1" customHeight="1" x14ac:dyDescent="0.25">
      <c r="A8" s="15" t="s">
        <v>1916</v>
      </c>
      <c r="B8" s="18" t="s">
        <v>44</v>
      </c>
    </row>
    <row r="9" spans="1:3" ht="36" customHeight="1" x14ac:dyDescent="0.25">
      <c r="A9" s="15" t="s">
        <v>1917</v>
      </c>
      <c r="B9" s="16" t="s">
        <v>1918</v>
      </c>
    </row>
    <row r="10" spans="1:3" ht="95.1" customHeight="1" x14ac:dyDescent="0.25">
      <c r="A10" s="15" t="s">
        <v>1919</v>
      </c>
      <c r="B10" s="18" t="s">
        <v>1920</v>
      </c>
    </row>
    <row r="12" spans="1:3" ht="18.75" customHeight="1" x14ac:dyDescent="0.3">
      <c r="A12" s="52" t="s">
        <v>1921</v>
      </c>
    </row>
    <row r="13" spans="1:3" x14ac:dyDescent="0.25">
      <c r="A13" s="49" t="s">
        <v>727</v>
      </c>
      <c r="B13" s="49" t="s">
        <v>1922</v>
      </c>
      <c r="C13" s="49" t="s">
        <v>1923</v>
      </c>
    </row>
    <row r="14" spans="1:3" x14ac:dyDescent="0.25">
      <c r="A14" s="50" t="s">
        <v>1924</v>
      </c>
      <c r="B14" s="50" t="s">
        <v>1925</v>
      </c>
      <c r="C14" s="50" t="s">
        <v>1926</v>
      </c>
    </row>
    <row r="15" spans="1:3" x14ac:dyDescent="0.25">
      <c r="A15" s="50" t="s">
        <v>1927</v>
      </c>
      <c r="B15" s="50" t="s">
        <v>1928</v>
      </c>
      <c r="C15" s="50" t="s">
        <v>1929</v>
      </c>
    </row>
    <row r="16" spans="1:3" x14ac:dyDescent="0.25">
      <c r="A16" s="50" t="s">
        <v>1930</v>
      </c>
      <c r="B16" s="50" t="s">
        <v>265</v>
      </c>
      <c r="C16" s="50" t="s">
        <v>1931</v>
      </c>
    </row>
    <row r="17" spans="1:3" x14ac:dyDescent="0.25">
      <c r="A17" s="50" t="s">
        <v>1932</v>
      </c>
      <c r="B17" s="50" t="s">
        <v>735</v>
      </c>
      <c r="C17" s="50" t="s">
        <v>1933</v>
      </c>
    </row>
  </sheetData>
  <hyperlinks>
    <hyperlink ref="B6" r:id="rId1" xr:uid="{00000000-0004-0000-0300-000000000000}"/>
    <hyperlink ref="B7" r:id="rId2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4" width="14" customWidth="1"/>
    <col min="5" max="5" width="15" customWidth="1"/>
    <col min="6" max="6" width="14" customWidth="1"/>
    <col min="7" max="7" width="18" customWidth="1"/>
    <col min="8" max="8" width="14" customWidth="1"/>
    <col min="9" max="9" width="18" customWidth="1"/>
    <col min="10" max="10" width="14" customWidth="1"/>
  </cols>
  <sheetData>
    <row r="1" spans="1:10" x14ac:dyDescent="0.25">
      <c r="A1" s="8" t="s">
        <v>7</v>
      </c>
      <c r="B1" s="8" t="s">
        <v>8</v>
      </c>
      <c r="C1" s="8" t="s">
        <v>1934</v>
      </c>
      <c r="D1" s="8" t="s">
        <v>51</v>
      </c>
      <c r="E1" s="8" t="s">
        <v>1935</v>
      </c>
      <c r="F1" s="8" t="s">
        <v>29</v>
      </c>
      <c r="G1" s="8" t="s">
        <v>1936</v>
      </c>
      <c r="H1" s="8" t="s">
        <v>54</v>
      </c>
      <c r="I1" s="8" t="s">
        <v>1937</v>
      </c>
      <c r="J1" s="8"/>
    </row>
    <row r="2" spans="1:10" x14ac:dyDescent="0.25">
      <c r="A2" s="12" t="s">
        <v>134</v>
      </c>
      <c r="B2" s="12"/>
      <c r="C2" s="12">
        <v>9085525377</v>
      </c>
      <c r="D2" s="12"/>
      <c r="E2" s="12">
        <v>0</v>
      </c>
      <c r="F2" s="12" t="s">
        <v>88</v>
      </c>
      <c r="G2" s="19">
        <v>46117</v>
      </c>
      <c r="H2" s="19">
        <v>46136</v>
      </c>
      <c r="I2" s="12" t="s">
        <v>136</v>
      </c>
      <c r="J2" s="12"/>
    </row>
    <row r="3" spans="1:10" x14ac:dyDescent="0.25">
      <c r="A3" s="13" t="s">
        <v>139</v>
      </c>
      <c r="B3" s="13"/>
      <c r="C3" s="13">
        <v>8638867855</v>
      </c>
      <c r="D3" s="13"/>
      <c r="E3" s="13">
        <v>0</v>
      </c>
      <c r="F3" s="13" t="s">
        <v>88</v>
      </c>
      <c r="G3" s="20">
        <v>46118</v>
      </c>
      <c r="H3" s="20">
        <v>46136</v>
      </c>
      <c r="I3" s="13" t="s">
        <v>136</v>
      </c>
      <c r="J3" s="13"/>
    </row>
    <row r="4" spans="1:10" x14ac:dyDescent="0.25">
      <c r="A4" s="12" t="s">
        <v>143</v>
      </c>
      <c r="B4" s="12"/>
      <c r="C4" s="12">
        <v>7002029001</v>
      </c>
      <c r="D4" s="12"/>
      <c r="E4" s="12">
        <v>0</v>
      </c>
      <c r="F4" s="12" t="s">
        <v>88</v>
      </c>
      <c r="G4" s="19">
        <v>46121</v>
      </c>
      <c r="H4" s="19">
        <v>46136</v>
      </c>
      <c r="I4" s="12" t="s">
        <v>136</v>
      </c>
      <c r="J4" s="12"/>
    </row>
    <row r="5" spans="1:10" ht="27" customHeight="1" x14ac:dyDescent="0.25">
      <c r="A5" s="13" t="s">
        <v>121</v>
      </c>
      <c r="B5" s="13" t="s">
        <v>122</v>
      </c>
      <c r="C5" s="13">
        <v>9435033780</v>
      </c>
      <c r="D5" s="13"/>
      <c r="E5" s="13">
        <v>0</v>
      </c>
      <c r="F5" s="13" t="s">
        <v>88</v>
      </c>
      <c r="G5" s="20">
        <v>46122</v>
      </c>
      <c r="H5" s="20">
        <v>46133</v>
      </c>
      <c r="I5" s="13" t="s">
        <v>124</v>
      </c>
      <c r="J5" s="13" t="s">
        <v>125</v>
      </c>
    </row>
    <row r="6" spans="1:10" ht="27" customHeight="1" x14ac:dyDescent="0.25">
      <c r="A6" s="12" t="s">
        <v>85</v>
      </c>
      <c r="B6" s="12" t="s">
        <v>86</v>
      </c>
      <c r="C6" s="12">
        <v>8011017498</v>
      </c>
      <c r="D6" s="12">
        <v>200</v>
      </c>
      <c r="E6" s="12">
        <v>0</v>
      </c>
      <c r="F6" s="12" t="s">
        <v>88</v>
      </c>
      <c r="G6" s="19">
        <v>46122</v>
      </c>
      <c r="H6" s="19">
        <v>46128</v>
      </c>
      <c r="I6" s="12" t="s">
        <v>89</v>
      </c>
      <c r="J6" s="12"/>
    </row>
    <row r="7" spans="1:10" ht="40.5" customHeight="1" x14ac:dyDescent="0.25">
      <c r="A7" s="13" t="s">
        <v>147</v>
      </c>
      <c r="B7" s="13" t="s">
        <v>148</v>
      </c>
      <c r="C7" s="13">
        <v>7002483957</v>
      </c>
      <c r="D7" s="13"/>
      <c r="E7" s="13">
        <v>0</v>
      </c>
      <c r="F7" s="13" t="s">
        <v>88</v>
      </c>
      <c r="G7" s="20">
        <v>46127</v>
      </c>
      <c r="H7" s="20">
        <v>46130</v>
      </c>
      <c r="I7" s="13" t="s">
        <v>136</v>
      </c>
      <c r="J7" s="13"/>
    </row>
    <row r="8" spans="1:10" ht="27" customHeight="1" x14ac:dyDescent="0.25">
      <c r="A8" s="12" t="s">
        <v>152</v>
      </c>
      <c r="B8" s="12"/>
      <c r="C8" s="12">
        <v>9435035801</v>
      </c>
      <c r="D8" s="12"/>
      <c r="E8" s="12">
        <v>0</v>
      </c>
      <c r="F8" s="12" t="s">
        <v>88</v>
      </c>
      <c r="G8" s="19">
        <v>46140</v>
      </c>
      <c r="H8" s="19">
        <v>46139</v>
      </c>
      <c r="I8" s="12" t="s">
        <v>154</v>
      </c>
      <c r="J8" s="12" t="s">
        <v>155</v>
      </c>
    </row>
    <row r="9" spans="1:10" x14ac:dyDescent="0.25">
      <c r="A9" s="13" t="s">
        <v>158</v>
      </c>
      <c r="B9" s="13"/>
      <c r="C9" s="13">
        <v>8876321148</v>
      </c>
      <c r="D9" s="13"/>
      <c r="E9" s="13">
        <v>0</v>
      </c>
      <c r="F9" s="13" t="s">
        <v>88</v>
      </c>
      <c r="G9" s="20">
        <v>46140</v>
      </c>
      <c r="H9" s="20">
        <v>46139</v>
      </c>
      <c r="I9" s="13" t="s">
        <v>136</v>
      </c>
      <c r="J9" s="13"/>
    </row>
    <row r="10" spans="1:10" x14ac:dyDescent="0.25">
      <c r="A10" s="12" t="s">
        <v>162</v>
      </c>
      <c r="B10" s="12" t="s">
        <v>162</v>
      </c>
      <c r="C10" s="12">
        <v>9435738646</v>
      </c>
      <c r="D10" s="12"/>
      <c r="E10" s="12">
        <v>0</v>
      </c>
      <c r="F10" s="12" t="s">
        <v>88</v>
      </c>
      <c r="G10" s="19">
        <v>46146</v>
      </c>
      <c r="H10" s="19">
        <v>46136</v>
      </c>
      <c r="I10" s="12" t="s">
        <v>1938</v>
      </c>
      <c r="J10" s="12"/>
    </row>
    <row r="11" spans="1:10" ht="40.5" customHeight="1" x14ac:dyDescent="0.25">
      <c r="A11" s="13" t="s">
        <v>129</v>
      </c>
      <c r="B11" s="13" t="s">
        <v>130</v>
      </c>
      <c r="C11" s="13">
        <v>9435034005</v>
      </c>
      <c r="D11" s="13"/>
      <c r="E11" s="13">
        <v>0</v>
      </c>
      <c r="F11" s="13" t="s">
        <v>88</v>
      </c>
      <c r="G11" s="20">
        <v>46146</v>
      </c>
      <c r="H11" s="20">
        <v>46136</v>
      </c>
      <c r="I11" s="13" t="s">
        <v>124</v>
      </c>
      <c r="J11" s="13"/>
    </row>
    <row r="12" spans="1:10" x14ac:dyDescent="0.25">
      <c r="A12" s="12" t="s">
        <v>166</v>
      </c>
      <c r="B12" s="12" t="s">
        <v>167</v>
      </c>
      <c r="C12" s="12">
        <v>9831594993</v>
      </c>
      <c r="D12" s="12"/>
      <c r="E12" s="12">
        <v>0</v>
      </c>
      <c r="F12" s="12" t="s">
        <v>88</v>
      </c>
      <c r="G12" s="19">
        <v>46146</v>
      </c>
      <c r="H12" s="19">
        <v>46136</v>
      </c>
      <c r="I12" s="12" t="s">
        <v>136</v>
      </c>
      <c r="J12" s="12"/>
    </row>
    <row r="13" spans="1:10" x14ac:dyDescent="0.25">
      <c r="A13" s="13" t="s">
        <v>171</v>
      </c>
      <c r="B13" s="13"/>
      <c r="C13" s="13">
        <v>9101006460</v>
      </c>
      <c r="D13" s="13"/>
      <c r="E13" s="13">
        <v>0</v>
      </c>
      <c r="F13" s="13" t="s">
        <v>88</v>
      </c>
      <c r="G13" s="20">
        <v>46146</v>
      </c>
      <c r="H13" s="20">
        <v>46136</v>
      </c>
      <c r="I13" s="13" t="s">
        <v>1939</v>
      </c>
      <c r="J13" s="13"/>
    </row>
    <row r="14" spans="1:10" ht="40.5" customHeight="1" x14ac:dyDescent="0.25">
      <c r="A14" s="12" t="s">
        <v>176</v>
      </c>
      <c r="B14" s="12"/>
      <c r="C14" s="12">
        <v>9435132157</v>
      </c>
      <c r="D14" s="12"/>
      <c r="E14" s="12">
        <v>0</v>
      </c>
      <c r="F14" s="12" t="s">
        <v>88</v>
      </c>
      <c r="G14" s="19">
        <v>46146</v>
      </c>
      <c r="H14" s="19">
        <v>46136</v>
      </c>
      <c r="I14" s="12" t="s">
        <v>154</v>
      </c>
      <c r="J14" s="12"/>
    </row>
    <row r="15" spans="1:10" ht="40.5" customHeight="1" x14ac:dyDescent="0.25">
      <c r="A15" s="13" t="s">
        <v>180</v>
      </c>
      <c r="B15" s="13"/>
      <c r="C15" s="13">
        <v>9435473237</v>
      </c>
      <c r="D15" s="13"/>
      <c r="E15" s="13">
        <v>0</v>
      </c>
      <c r="F15" s="13" t="s">
        <v>88</v>
      </c>
      <c r="G15" s="20">
        <v>46146</v>
      </c>
      <c r="H15" s="20">
        <v>46136</v>
      </c>
      <c r="I15" s="13" t="s">
        <v>154</v>
      </c>
      <c r="J15" s="13"/>
    </row>
    <row r="16" spans="1:10" ht="27" customHeight="1" x14ac:dyDescent="0.25">
      <c r="A16" s="12" t="s">
        <v>184</v>
      </c>
      <c r="B16" s="12"/>
      <c r="C16" s="12">
        <v>6001684868</v>
      </c>
      <c r="D16" s="12"/>
      <c r="E16" s="12">
        <v>0</v>
      </c>
      <c r="F16" s="12" t="s">
        <v>88</v>
      </c>
      <c r="G16" s="19">
        <v>46146</v>
      </c>
      <c r="H16" s="19">
        <v>46136</v>
      </c>
      <c r="I16" s="12" t="s">
        <v>154</v>
      </c>
      <c r="J16" s="12"/>
    </row>
    <row r="17" spans="1:10" ht="54" customHeight="1" x14ac:dyDescent="0.25">
      <c r="A17" s="13" t="s">
        <v>188</v>
      </c>
      <c r="B17" s="13"/>
      <c r="C17" s="13">
        <v>9101006460</v>
      </c>
      <c r="D17" s="13"/>
      <c r="E17" s="13">
        <v>0</v>
      </c>
      <c r="F17" s="13" t="s">
        <v>88</v>
      </c>
      <c r="G17" s="20">
        <v>46146</v>
      </c>
      <c r="H17" s="20">
        <v>46136</v>
      </c>
      <c r="I17" s="13" t="s">
        <v>154</v>
      </c>
      <c r="J17" s="13"/>
    </row>
    <row r="18" spans="1:10" x14ac:dyDescent="0.25">
      <c r="A18" s="12" t="s">
        <v>190</v>
      </c>
      <c r="B18" s="12"/>
      <c r="C18" s="12">
        <v>8638784227</v>
      </c>
      <c r="D18" s="12"/>
      <c r="E18" s="12">
        <v>0</v>
      </c>
      <c r="F18" s="12" t="s">
        <v>88</v>
      </c>
      <c r="G18" s="19">
        <v>46147</v>
      </c>
      <c r="H18" s="19">
        <v>46136</v>
      </c>
      <c r="I18" s="12" t="s">
        <v>136</v>
      </c>
      <c r="J18" s="12"/>
    </row>
    <row r="19" spans="1:10" x14ac:dyDescent="0.25">
      <c r="A19" s="13" t="s">
        <v>194</v>
      </c>
      <c r="B19" s="13"/>
      <c r="C19" s="13"/>
      <c r="D19" s="13"/>
      <c r="E19" s="13">
        <v>0</v>
      </c>
      <c r="F19" s="13" t="s">
        <v>88</v>
      </c>
      <c r="G19" s="20">
        <v>46147</v>
      </c>
      <c r="H19" s="20">
        <v>46139</v>
      </c>
      <c r="I19" s="13"/>
      <c r="J19" s="13"/>
    </row>
    <row r="20" spans="1:10" x14ac:dyDescent="0.25">
      <c r="A20" s="12" t="s">
        <v>196</v>
      </c>
      <c r="B20" s="12"/>
      <c r="C20" s="12">
        <v>9365634055</v>
      </c>
      <c r="D20" s="12"/>
      <c r="E20" s="12">
        <v>0</v>
      </c>
      <c r="F20" s="12" t="s">
        <v>88</v>
      </c>
      <c r="G20" s="19">
        <v>46147</v>
      </c>
      <c r="H20" s="19">
        <v>46139</v>
      </c>
      <c r="I20" s="12" t="s">
        <v>136</v>
      </c>
      <c r="J20" s="12"/>
    </row>
    <row r="21" spans="1:10" x14ac:dyDescent="0.25">
      <c r="A21" s="13" t="s">
        <v>200</v>
      </c>
      <c r="B21" s="13"/>
      <c r="C21" s="13">
        <v>6002218979</v>
      </c>
      <c r="D21" s="13"/>
      <c r="E21" s="13">
        <v>0</v>
      </c>
      <c r="F21" s="13" t="s">
        <v>88</v>
      </c>
      <c r="G21" s="20">
        <v>46147</v>
      </c>
      <c r="H21" s="20">
        <v>46139</v>
      </c>
      <c r="I21" s="13" t="s">
        <v>136</v>
      </c>
      <c r="J21" s="13"/>
    </row>
    <row r="22" spans="1:10" x14ac:dyDescent="0.25">
      <c r="A22" s="12" t="s">
        <v>204</v>
      </c>
      <c r="B22" s="12" t="s">
        <v>205</v>
      </c>
      <c r="C22" s="12">
        <v>8402061666</v>
      </c>
      <c r="D22" s="12"/>
      <c r="E22" s="12">
        <v>0</v>
      </c>
      <c r="F22" s="12" t="s">
        <v>88</v>
      </c>
      <c r="G22" s="19">
        <v>46148</v>
      </c>
      <c r="H22" s="19">
        <v>46136</v>
      </c>
      <c r="I22" s="12" t="s">
        <v>154</v>
      </c>
      <c r="J22" s="12"/>
    </row>
    <row r="23" spans="1:10" x14ac:dyDescent="0.25">
      <c r="A23" s="13" t="s">
        <v>209</v>
      </c>
      <c r="B23" s="13"/>
      <c r="C23" s="13">
        <v>8638926153</v>
      </c>
      <c r="D23" s="13"/>
      <c r="E23" s="13">
        <v>0</v>
      </c>
      <c r="F23" s="13" t="s">
        <v>88</v>
      </c>
      <c r="G23" s="20">
        <v>46148</v>
      </c>
      <c r="H23" s="20">
        <v>46139</v>
      </c>
      <c r="I23" s="13" t="s">
        <v>234</v>
      </c>
      <c r="J23" s="13"/>
    </row>
    <row r="24" spans="1:10" x14ac:dyDescent="0.25">
      <c r="A24" s="12" t="s">
        <v>213</v>
      </c>
      <c r="B24" s="12"/>
      <c r="C24" s="12">
        <v>9395637154</v>
      </c>
      <c r="D24" s="12"/>
      <c r="E24" s="12">
        <v>0</v>
      </c>
      <c r="F24" s="12" t="s">
        <v>88</v>
      </c>
      <c r="G24" s="19">
        <v>46148</v>
      </c>
      <c r="H24" s="19">
        <v>46139</v>
      </c>
      <c r="I24" s="12" t="s">
        <v>89</v>
      </c>
      <c r="J24" s="12"/>
    </row>
    <row r="25" spans="1:10" x14ac:dyDescent="0.25">
      <c r="A25" s="13" t="s">
        <v>217</v>
      </c>
      <c r="B25" s="13"/>
      <c r="C25" s="13">
        <v>8133949296</v>
      </c>
      <c r="D25" s="13"/>
      <c r="E25" s="13">
        <v>0</v>
      </c>
      <c r="F25" s="13" t="s">
        <v>88</v>
      </c>
      <c r="G25" s="20">
        <v>46149</v>
      </c>
      <c r="H25" s="20">
        <v>46136</v>
      </c>
      <c r="I25" s="13" t="s">
        <v>89</v>
      </c>
      <c r="J25" s="13"/>
    </row>
    <row r="26" spans="1:10" x14ac:dyDescent="0.25">
      <c r="A26" s="12" t="s">
        <v>221</v>
      </c>
      <c r="B26" s="12"/>
      <c r="C26" s="12">
        <v>8876321148</v>
      </c>
      <c r="D26" s="12"/>
      <c r="E26" s="12">
        <v>0</v>
      </c>
      <c r="F26" s="12" t="s">
        <v>88</v>
      </c>
      <c r="G26" s="19">
        <v>46149</v>
      </c>
      <c r="H26" s="19">
        <v>46143</v>
      </c>
      <c r="I26" s="12" t="s">
        <v>234</v>
      </c>
      <c r="J26" s="12"/>
    </row>
    <row r="27" spans="1:10" x14ac:dyDescent="0.25">
      <c r="A27" s="13" t="s">
        <v>223</v>
      </c>
      <c r="B27" s="13"/>
      <c r="C27" s="13">
        <v>8876426227</v>
      </c>
      <c r="D27" s="13"/>
      <c r="E27" s="13">
        <v>0</v>
      </c>
      <c r="F27" s="13" t="s">
        <v>88</v>
      </c>
      <c r="G27" s="20">
        <v>46150</v>
      </c>
      <c r="H27" s="20">
        <v>46143</v>
      </c>
      <c r="I27" s="13" t="s">
        <v>234</v>
      </c>
      <c r="J27" s="13"/>
    </row>
    <row r="28" spans="1:10" x14ac:dyDescent="0.25">
      <c r="A28" s="12" t="s">
        <v>227</v>
      </c>
      <c r="B28" s="12"/>
      <c r="C28" s="12">
        <v>8876426227</v>
      </c>
      <c r="D28" s="12"/>
      <c r="E28" s="12">
        <v>0</v>
      </c>
      <c r="F28" s="12" t="s">
        <v>88</v>
      </c>
      <c r="G28" s="19">
        <v>46150</v>
      </c>
      <c r="H28" s="19">
        <v>46143</v>
      </c>
      <c r="I28" s="12"/>
      <c r="J28" s="12"/>
    </row>
    <row r="29" spans="1:10" ht="27" customHeight="1" x14ac:dyDescent="0.25">
      <c r="A29" s="13" t="s">
        <v>229</v>
      </c>
      <c r="B29" s="13" t="s">
        <v>230</v>
      </c>
      <c r="C29" s="13"/>
      <c r="D29" s="13"/>
      <c r="E29" s="13">
        <v>0</v>
      </c>
      <c r="F29" s="13" t="s">
        <v>88</v>
      </c>
      <c r="G29" s="20">
        <v>46151</v>
      </c>
      <c r="H29" s="20">
        <v>46133</v>
      </c>
      <c r="I29" s="13"/>
      <c r="J29" s="13"/>
    </row>
    <row r="30" spans="1:10" ht="27" customHeight="1" x14ac:dyDescent="0.25">
      <c r="A30" s="12" t="s">
        <v>232</v>
      </c>
      <c r="B30" s="12"/>
      <c r="C30" s="12">
        <v>6000522700</v>
      </c>
      <c r="D30" s="12"/>
      <c r="E30" s="12">
        <v>0</v>
      </c>
      <c r="F30" s="12" t="s">
        <v>88</v>
      </c>
      <c r="G30" s="19">
        <v>46151</v>
      </c>
      <c r="H30" s="19">
        <v>46143</v>
      </c>
      <c r="I30" s="12" t="s">
        <v>234</v>
      </c>
      <c r="J30" s="12"/>
    </row>
    <row r="31" spans="1:10" ht="27" customHeight="1" x14ac:dyDescent="0.25">
      <c r="A31" s="13" t="s">
        <v>237</v>
      </c>
      <c r="B31" s="13"/>
      <c r="C31" s="13">
        <v>6000522700</v>
      </c>
      <c r="D31" s="13"/>
      <c r="E31" s="13">
        <v>0</v>
      </c>
      <c r="F31" s="13" t="s">
        <v>88</v>
      </c>
      <c r="G31" s="20">
        <v>46151</v>
      </c>
      <c r="H31" s="20">
        <v>46143</v>
      </c>
      <c r="I31" s="13" t="s">
        <v>234</v>
      </c>
      <c r="J31" s="13"/>
    </row>
    <row r="32" spans="1:10" x14ac:dyDescent="0.25">
      <c r="A32" s="12" t="s">
        <v>239</v>
      </c>
      <c r="B32" s="12"/>
      <c r="C32" s="12">
        <v>9435476099</v>
      </c>
      <c r="D32" s="12"/>
      <c r="E32" s="12">
        <v>0</v>
      </c>
      <c r="F32" s="12" t="s">
        <v>88</v>
      </c>
      <c r="G32" s="19">
        <v>46152</v>
      </c>
      <c r="H32" s="19">
        <v>46143</v>
      </c>
      <c r="I32" s="12" t="s">
        <v>136</v>
      </c>
      <c r="J32" s="12"/>
    </row>
    <row r="33" spans="1:10" x14ac:dyDescent="0.25">
      <c r="A33" s="13" t="s">
        <v>243</v>
      </c>
      <c r="B33" s="13"/>
      <c r="C33" s="13">
        <v>9706793269</v>
      </c>
      <c r="D33" s="13"/>
      <c r="E33" s="13">
        <v>0</v>
      </c>
      <c r="F33" s="13" t="s">
        <v>88</v>
      </c>
      <c r="G33" s="20">
        <v>46152</v>
      </c>
      <c r="H33" s="20">
        <v>46143</v>
      </c>
      <c r="I33" s="13" t="s">
        <v>136</v>
      </c>
      <c r="J33" s="13"/>
    </row>
    <row r="34" spans="1:10" ht="27" customHeight="1" x14ac:dyDescent="0.25">
      <c r="A34" s="12" t="s">
        <v>247</v>
      </c>
      <c r="B34" s="12"/>
      <c r="C34" s="12"/>
      <c r="D34" s="12"/>
      <c r="E34" s="12">
        <v>0</v>
      </c>
      <c r="F34" s="12" t="s">
        <v>88</v>
      </c>
      <c r="G34" s="19">
        <v>46153</v>
      </c>
      <c r="H34" s="19">
        <v>46130</v>
      </c>
      <c r="I34" s="12"/>
      <c r="J34" s="12"/>
    </row>
    <row r="35" spans="1:10" x14ac:dyDescent="0.25">
      <c r="A35" s="13" t="s">
        <v>104</v>
      </c>
      <c r="B35" s="13" t="s">
        <v>105</v>
      </c>
      <c r="C35" s="13">
        <v>7002398813</v>
      </c>
      <c r="D35" s="13">
        <v>300</v>
      </c>
      <c r="E35" s="13">
        <v>0</v>
      </c>
      <c r="F35" s="13" t="s">
        <v>88</v>
      </c>
      <c r="G35" s="20">
        <v>46154</v>
      </c>
      <c r="H35" s="20">
        <v>46130</v>
      </c>
      <c r="I35" s="13" t="s">
        <v>113</v>
      </c>
      <c r="J35" s="13"/>
    </row>
    <row r="36" spans="1:10" ht="27" customHeight="1" x14ac:dyDescent="0.25">
      <c r="A36" s="12" t="s">
        <v>110</v>
      </c>
      <c r="B36" s="12" t="s">
        <v>111</v>
      </c>
      <c r="C36" s="12">
        <v>9435033506</v>
      </c>
      <c r="D36" s="12">
        <v>300</v>
      </c>
      <c r="E36" s="12">
        <v>0</v>
      </c>
      <c r="F36" s="12" t="s">
        <v>88</v>
      </c>
      <c r="G36" s="19">
        <v>46154</v>
      </c>
      <c r="H36" s="19">
        <v>46130</v>
      </c>
      <c r="I36" s="12" t="s">
        <v>113</v>
      </c>
      <c r="J36" s="12"/>
    </row>
    <row r="37" spans="1:10" ht="27" customHeight="1" x14ac:dyDescent="0.25">
      <c r="A37" s="13" t="s">
        <v>116</v>
      </c>
      <c r="B37" s="13" t="s">
        <v>117</v>
      </c>
      <c r="C37" s="13">
        <v>9435030679</v>
      </c>
      <c r="D37" s="13">
        <v>700</v>
      </c>
      <c r="E37" s="13">
        <v>0</v>
      </c>
      <c r="F37" s="13" t="s">
        <v>88</v>
      </c>
      <c r="G37" s="20">
        <v>46154</v>
      </c>
      <c r="H37" s="20">
        <v>46130</v>
      </c>
      <c r="I37" s="13" t="s">
        <v>113</v>
      </c>
      <c r="J37" s="13"/>
    </row>
    <row r="38" spans="1:10" x14ac:dyDescent="0.25">
      <c r="A38" s="12" t="s">
        <v>249</v>
      </c>
      <c r="B38" s="12"/>
      <c r="C38" s="12">
        <v>7002037389</v>
      </c>
      <c r="D38" s="12"/>
      <c r="E38" s="12">
        <v>0</v>
      </c>
      <c r="F38" s="12" t="s">
        <v>88</v>
      </c>
      <c r="G38" s="19">
        <v>46154</v>
      </c>
      <c r="H38" s="19">
        <v>46136</v>
      </c>
      <c r="I38" s="12" t="s">
        <v>113</v>
      </c>
      <c r="J38" s="12"/>
    </row>
    <row r="39" spans="1:10" x14ac:dyDescent="0.25">
      <c r="A39" s="13" t="s">
        <v>253</v>
      </c>
      <c r="B39" s="13"/>
      <c r="C39" s="13">
        <v>7002833087</v>
      </c>
      <c r="D39" s="13"/>
      <c r="E39" s="13">
        <v>0</v>
      </c>
      <c r="F39" s="13" t="s">
        <v>88</v>
      </c>
      <c r="G39" s="20">
        <v>46154</v>
      </c>
      <c r="H39" s="20">
        <v>46136</v>
      </c>
      <c r="I39" s="13" t="s">
        <v>113</v>
      </c>
      <c r="J39" s="13"/>
    </row>
    <row r="41" spans="1:10" x14ac:dyDescent="0.25">
      <c r="A41" s="47" t="s">
        <v>1940</v>
      </c>
      <c r="B41" s="47" t="s">
        <v>7</v>
      </c>
      <c r="C41" s="47" t="s">
        <v>8</v>
      </c>
      <c r="D41" s="47" t="s">
        <v>1941</v>
      </c>
      <c r="E41" s="47" t="s">
        <v>1942</v>
      </c>
      <c r="F41" s="47" t="s">
        <v>1943</v>
      </c>
      <c r="G41" s="47" t="s">
        <v>58</v>
      </c>
      <c r="H41" s="47" t="s">
        <v>16</v>
      </c>
      <c r="I41" s="47" t="s">
        <v>1944</v>
      </c>
    </row>
    <row r="42" spans="1:10" x14ac:dyDescent="0.25">
      <c r="A42" t="s">
        <v>256</v>
      </c>
      <c r="B42" t="s">
        <v>257</v>
      </c>
      <c r="C42" t="s">
        <v>257</v>
      </c>
      <c r="D42" t="s">
        <v>258</v>
      </c>
      <c r="E42" t="s">
        <v>1945</v>
      </c>
      <c r="F42" t="s">
        <v>1946</v>
      </c>
      <c r="G42" t="s">
        <v>262</v>
      </c>
      <c r="H42" t="s">
        <v>260</v>
      </c>
      <c r="I42" s="48">
        <v>46161.589962627317</v>
      </c>
    </row>
    <row r="43" spans="1:10" x14ac:dyDescent="0.25">
      <c r="A43" t="s">
        <v>268</v>
      </c>
      <c r="B43" t="s">
        <v>269</v>
      </c>
      <c r="C43" t="s">
        <v>269</v>
      </c>
      <c r="D43" t="s">
        <v>270</v>
      </c>
      <c r="E43" t="s">
        <v>1945</v>
      </c>
      <c r="F43" t="s">
        <v>1946</v>
      </c>
      <c r="G43" t="s">
        <v>262</v>
      </c>
      <c r="H43" t="s">
        <v>271</v>
      </c>
      <c r="I43" s="48">
        <v>46161.589962627317</v>
      </c>
    </row>
    <row r="44" spans="1:10" x14ac:dyDescent="0.25">
      <c r="A44" t="s">
        <v>275</v>
      </c>
      <c r="B44" t="s">
        <v>276</v>
      </c>
      <c r="C44" t="s">
        <v>276</v>
      </c>
      <c r="D44" t="s">
        <v>277</v>
      </c>
      <c r="E44" t="s">
        <v>1945</v>
      </c>
      <c r="F44" t="s">
        <v>1946</v>
      </c>
      <c r="G44" t="s">
        <v>262</v>
      </c>
      <c r="H44" t="s">
        <v>260</v>
      </c>
      <c r="I44" s="48">
        <v>46161.589962627317</v>
      </c>
    </row>
    <row r="45" spans="1:10" x14ac:dyDescent="0.25">
      <c r="A45" t="s">
        <v>279</v>
      </c>
      <c r="B45" t="s">
        <v>280</v>
      </c>
      <c r="C45" t="s">
        <v>280</v>
      </c>
      <c r="D45" t="s">
        <v>281</v>
      </c>
      <c r="E45" t="s">
        <v>1945</v>
      </c>
      <c r="F45" t="s">
        <v>1946</v>
      </c>
      <c r="G45" t="s">
        <v>262</v>
      </c>
      <c r="H45" t="s">
        <v>260</v>
      </c>
      <c r="I45" s="48">
        <v>46161.589962627317</v>
      </c>
    </row>
    <row r="46" spans="1:10" x14ac:dyDescent="0.25">
      <c r="A46" t="s">
        <v>283</v>
      </c>
      <c r="B46" t="s">
        <v>284</v>
      </c>
      <c r="C46" t="s">
        <v>284</v>
      </c>
      <c r="D46" t="s">
        <v>285</v>
      </c>
      <c r="E46" t="s">
        <v>1945</v>
      </c>
      <c r="F46" t="s">
        <v>1946</v>
      </c>
      <c r="G46" t="s">
        <v>262</v>
      </c>
      <c r="H46" t="s">
        <v>260</v>
      </c>
      <c r="I46" s="48">
        <v>46161.589962627317</v>
      </c>
    </row>
    <row r="47" spans="1:10" x14ac:dyDescent="0.25">
      <c r="A47" t="s">
        <v>287</v>
      </c>
      <c r="B47" t="s">
        <v>288</v>
      </c>
      <c r="C47" t="s">
        <v>288</v>
      </c>
      <c r="D47" t="s">
        <v>289</v>
      </c>
      <c r="E47" t="s">
        <v>1945</v>
      </c>
      <c r="F47" t="s">
        <v>1946</v>
      </c>
      <c r="G47" t="s">
        <v>262</v>
      </c>
      <c r="H47" t="s">
        <v>290</v>
      </c>
      <c r="I47" s="48">
        <v>46161.589962627317</v>
      </c>
    </row>
    <row r="48" spans="1:10" x14ac:dyDescent="0.25">
      <c r="A48" t="s">
        <v>293</v>
      </c>
      <c r="B48" t="s">
        <v>294</v>
      </c>
      <c r="C48" t="s">
        <v>294</v>
      </c>
      <c r="D48" t="s">
        <v>295</v>
      </c>
      <c r="E48" t="s">
        <v>1945</v>
      </c>
      <c r="F48" t="s">
        <v>1946</v>
      </c>
      <c r="G48" t="s">
        <v>262</v>
      </c>
      <c r="H48" t="s">
        <v>290</v>
      </c>
      <c r="I48" s="48">
        <v>46161.589962627317</v>
      </c>
    </row>
    <row r="49" spans="1:9" x14ac:dyDescent="0.25">
      <c r="A49" t="s">
        <v>297</v>
      </c>
      <c r="B49" t="s">
        <v>298</v>
      </c>
      <c r="C49" t="s">
        <v>298</v>
      </c>
      <c r="D49" t="s">
        <v>299</v>
      </c>
      <c r="E49" t="s">
        <v>1945</v>
      </c>
      <c r="F49" t="s">
        <v>1946</v>
      </c>
      <c r="G49" t="s">
        <v>262</v>
      </c>
      <c r="H49" t="s">
        <v>300</v>
      </c>
      <c r="I49" s="48">
        <v>46161.589962627317</v>
      </c>
    </row>
    <row r="50" spans="1:9" x14ac:dyDescent="0.25">
      <c r="A50" t="s">
        <v>303</v>
      </c>
      <c r="B50" t="s">
        <v>304</v>
      </c>
      <c r="C50" t="s">
        <v>304</v>
      </c>
      <c r="D50" t="s">
        <v>305</v>
      </c>
      <c r="E50" t="s">
        <v>1945</v>
      </c>
      <c r="F50" t="s">
        <v>1946</v>
      </c>
      <c r="G50" t="s">
        <v>262</v>
      </c>
      <c r="H50" t="s">
        <v>271</v>
      </c>
      <c r="I50" s="48">
        <v>46161.589962627317</v>
      </c>
    </row>
    <row r="51" spans="1:9" x14ac:dyDescent="0.25">
      <c r="A51" t="s">
        <v>307</v>
      </c>
      <c r="B51" t="s">
        <v>308</v>
      </c>
      <c r="C51" t="s">
        <v>308</v>
      </c>
      <c r="D51" t="s">
        <v>309</v>
      </c>
      <c r="E51" t="s">
        <v>1945</v>
      </c>
      <c r="F51" t="s">
        <v>1946</v>
      </c>
      <c r="G51" t="s">
        <v>262</v>
      </c>
      <c r="H51" t="s">
        <v>271</v>
      </c>
      <c r="I51" s="48">
        <v>46161.589962627317</v>
      </c>
    </row>
    <row r="52" spans="1:9" x14ac:dyDescent="0.25">
      <c r="A52" t="s">
        <v>311</v>
      </c>
      <c r="B52" t="s">
        <v>312</v>
      </c>
      <c r="C52" t="s">
        <v>312</v>
      </c>
      <c r="D52" t="s">
        <v>313</v>
      </c>
      <c r="E52" t="s">
        <v>1945</v>
      </c>
      <c r="F52" t="s">
        <v>1946</v>
      </c>
      <c r="G52" t="s">
        <v>262</v>
      </c>
      <c r="H52" t="s">
        <v>260</v>
      </c>
      <c r="I52" s="48">
        <v>46161.589962627317</v>
      </c>
    </row>
    <row r="53" spans="1:9" x14ac:dyDescent="0.25">
      <c r="A53" t="s">
        <v>315</v>
      </c>
      <c r="B53" t="s">
        <v>316</v>
      </c>
      <c r="C53" t="s">
        <v>316</v>
      </c>
      <c r="D53" t="s">
        <v>317</v>
      </c>
      <c r="E53" t="s">
        <v>1945</v>
      </c>
      <c r="F53" t="s">
        <v>1946</v>
      </c>
      <c r="G53" t="s">
        <v>262</v>
      </c>
      <c r="H53" t="s">
        <v>260</v>
      </c>
      <c r="I53" s="48">
        <v>46161.589962627317</v>
      </c>
    </row>
    <row r="54" spans="1:9" x14ac:dyDescent="0.25">
      <c r="A54" t="s">
        <v>319</v>
      </c>
      <c r="B54" t="s">
        <v>320</v>
      </c>
      <c r="C54" t="s">
        <v>320</v>
      </c>
      <c r="D54" t="s">
        <v>321</v>
      </c>
      <c r="E54" t="s">
        <v>1945</v>
      </c>
      <c r="F54" t="s">
        <v>1946</v>
      </c>
      <c r="G54" t="s">
        <v>262</v>
      </c>
      <c r="H54" t="s">
        <v>290</v>
      </c>
      <c r="I54" s="48">
        <v>46161.589962627317</v>
      </c>
    </row>
    <row r="55" spans="1:9" x14ac:dyDescent="0.25">
      <c r="A55" t="s">
        <v>323</v>
      </c>
      <c r="B55" t="s">
        <v>324</v>
      </c>
      <c r="C55" t="s">
        <v>324</v>
      </c>
      <c r="D55" t="s">
        <v>325</v>
      </c>
      <c r="E55" t="s">
        <v>1945</v>
      </c>
      <c r="F55" t="s">
        <v>1946</v>
      </c>
      <c r="G55" t="s">
        <v>262</v>
      </c>
      <c r="H55" t="s">
        <v>290</v>
      </c>
      <c r="I55" s="48">
        <v>46161.589962627317</v>
      </c>
    </row>
    <row r="56" spans="1:9" x14ac:dyDescent="0.25">
      <c r="A56" t="s">
        <v>327</v>
      </c>
      <c r="B56" t="s">
        <v>328</v>
      </c>
      <c r="C56" t="s">
        <v>328</v>
      </c>
      <c r="D56" t="s">
        <v>329</v>
      </c>
      <c r="E56" t="s">
        <v>1945</v>
      </c>
      <c r="F56" t="s">
        <v>1946</v>
      </c>
      <c r="G56" t="s">
        <v>262</v>
      </c>
      <c r="H56" t="s">
        <v>271</v>
      </c>
      <c r="I56" s="48">
        <v>46161.589962627317</v>
      </c>
    </row>
    <row r="57" spans="1:9" x14ac:dyDescent="0.25">
      <c r="A57" t="s">
        <v>331</v>
      </c>
      <c r="B57" t="s">
        <v>332</v>
      </c>
      <c r="C57" t="s">
        <v>332</v>
      </c>
      <c r="D57" t="s">
        <v>333</v>
      </c>
      <c r="E57" t="s">
        <v>1945</v>
      </c>
      <c r="F57" t="s">
        <v>1946</v>
      </c>
      <c r="G57" t="s">
        <v>262</v>
      </c>
      <c r="H57" t="s">
        <v>260</v>
      </c>
      <c r="I57" s="48">
        <v>46161.589962627317</v>
      </c>
    </row>
    <row r="58" spans="1:9" x14ac:dyDescent="0.25">
      <c r="A58" t="s">
        <v>335</v>
      </c>
      <c r="B58" t="s">
        <v>336</v>
      </c>
      <c r="C58" t="s">
        <v>336</v>
      </c>
      <c r="D58" t="s">
        <v>337</v>
      </c>
      <c r="E58" t="s">
        <v>1945</v>
      </c>
      <c r="F58" t="s">
        <v>1946</v>
      </c>
      <c r="G58" t="s">
        <v>262</v>
      </c>
      <c r="H58" t="s">
        <v>260</v>
      </c>
      <c r="I58" s="48">
        <v>46161.589962627317</v>
      </c>
    </row>
    <row r="59" spans="1:9" x14ac:dyDescent="0.25">
      <c r="A59" t="s">
        <v>339</v>
      </c>
      <c r="B59" t="s">
        <v>340</v>
      </c>
      <c r="C59" t="s">
        <v>340</v>
      </c>
      <c r="D59" t="s">
        <v>341</v>
      </c>
      <c r="E59" t="s">
        <v>1945</v>
      </c>
      <c r="F59" t="s">
        <v>1946</v>
      </c>
      <c r="G59" t="s">
        <v>262</v>
      </c>
      <c r="H59" t="s">
        <v>271</v>
      </c>
      <c r="I59" s="48">
        <v>46161.589962627317</v>
      </c>
    </row>
    <row r="60" spans="1:9" x14ac:dyDescent="0.25">
      <c r="A60" t="s">
        <v>343</v>
      </c>
      <c r="B60" t="s">
        <v>344</v>
      </c>
      <c r="C60" t="s">
        <v>344</v>
      </c>
      <c r="D60" t="s">
        <v>345</v>
      </c>
      <c r="E60" t="s">
        <v>1945</v>
      </c>
      <c r="F60" t="s">
        <v>1946</v>
      </c>
      <c r="G60" t="s">
        <v>262</v>
      </c>
      <c r="H60" t="s">
        <v>260</v>
      </c>
      <c r="I60" s="48">
        <v>46161.589962627317</v>
      </c>
    </row>
    <row r="61" spans="1:9" x14ac:dyDescent="0.25">
      <c r="A61" t="s">
        <v>347</v>
      </c>
      <c r="B61" t="s">
        <v>348</v>
      </c>
      <c r="C61" t="s">
        <v>348</v>
      </c>
      <c r="D61" t="s">
        <v>349</v>
      </c>
      <c r="E61" t="s">
        <v>1945</v>
      </c>
      <c r="F61" t="s">
        <v>1946</v>
      </c>
      <c r="G61" t="s">
        <v>262</v>
      </c>
      <c r="H61" t="s">
        <v>260</v>
      </c>
      <c r="I61" s="48">
        <v>46161.589962627317</v>
      </c>
    </row>
    <row r="62" spans="1:9" x14ac:dyDescent="0.25">
      <c r="A62" t="s">
        <v>351</v>
      </c>
      <c r="B62" t="s">
        <v>352</v>
      </c>
      <c r="C62" t="s">
        <v>352</v>
      </c>
      <c r="D62" t="s">
        <v>353</v>
      </c>
      <c r="E62" t="s">
        <v>1945</v>
      </c>
      <c r="F62" t="s">
        <v>1946</v>
      </c>
      <c r="G62" t="s">
        <v>262</v>
      </c>
      <c r="H62" t="s">
        <v>290</v>
      </c>
      <c r="I62" s="48">
        <v>46161.589962627317</v>
      </c>
    </row>
    <row r="63" spans="1:9" x14ac:dyDescent="0.25">
      <c r="A63" t="s">
        <v>355</v>
      </c>
      <c r="B63" t="s">
        <v>356</v>
      </c>
      <c r="C63" t="s">
        <v>356</v>
      </c>
      <c r="D63" t="s">
        <v>357</v>
      </c>
      <c r="E63" t="s">
        <v>1947</v>
      </c>
      <c r="F63" t="s">
        <v>1946</v>
      </c>
      <c r="G63" t="s">
        <v>262</v>
      </c>
      <c r="H63" t="s">
        <v>358</v>
      </c>
      <c r="I63" s="48">
        <v>46161.589962627317</v>
      </c>
    </row>
    <row r="64" spans="1:9" x14ac:dyDescent="0.25">
      <c r="A64" t="s">
        <v>362</v>
      </c>
      <c r="B64" t="s">
        <v>363</v>
      </c>
      <c r="C64" t="s">
        <v>363</v>
      </c>
      <c r="D64" t="s">
        <v>364</v>
      </c>
      <c r="E64" t="s">
        <v>1945</v>
      </c>
      <c r="F64" t="s">
        <v>1946</v>
      </c>
      <c r="G64" t="s">
        <v>262</v>
      </c>
      <c r="H64" t="s">
        <v>290</v>
      </c>
      <c r="I64" s="48">
        <v>46161.589962638893</v>
      </c>
    </row>
    <row r="65" spans="1:9" x14ac:dyDescent="0.25">
      <c r="A65" t="s">
        <v>366</v>
      </c>
      <c r="B65" t="s">
        <v>367</v>
      </c>
      <c r="C65" t="s">
        <v>367</v>
      </c>
      <c r="D65" t="s">
        <v>368</v>
      </c>
      <c r="E65" t="s">
        <v>1945</v>
      </c>
      <c r="F65" t="s">
        <v>1946</v>
      </c>
      <c r="G65" t="s">
        <v>262</v>
      </c>
      <c r="H65" t="s">
        <v>260</v>
      </c>
      <c r="I65" s="48">
        <v>46161.589962638893</v>
      </c>
    </row>
    <row r="66" spans="1:9" x14ac:dyDescent="0.25">
      <c r="A66" t="s">
        <v>370</v>
      </c>
      <c r="B66" t="s">
        <v>371</v>
      </c>
      <c r="C66" t="s">
        <v>371</v>
      </c>
      <c r="D66" t="s">
        <v>372</v>
      </c>
      <c r="E66" t="s">
        <v>1945</v>
      </c>
      <c r="F66" t="s">
        <v>1946</v>
      </c>
      <c r="G66" t="s">
        <v>262</v>
      </c>
      <c r="H66" t="s">
        <v>260</v>
      </c>
      <c r="I66" s="48">
        <v>46161.589962638893</v>
      </c>
    </row>
    <row r="67" spans="1:9" x14ac:dyDescent="0.25">
      <c r="A67" t="s">
        <v>374</v>
      </c>
      <c r="B67" t="s">
        <v>375</v>
      </c>
      <c r="C67" t="s">
        <v>375</v>
      </c>
      <c r="D67" t="s">
        <v>376</v>
      </c>
      <c r="E67" t="s">
        <v>1945</v>
      </c>
      <c r="F67" t="s">
        <v>1946</v>
      </c>
      <c r="G67" t="s">
        <v>262</v>
      </c>
      <c r="H67" t="s">
        <v>260</v>
      </c>
      <c r="I67" s="48">
        <v>46161.589962638893</v>
      </c>
    </row>
    <row r="68" spans="1:9" x14ac:dyDescent="0.25">
      <c r="A68" t="s">
        <v>378</v>
      </c>
      <c r="B68" t="s">
        <v>379</v>
      </c>
      <c r="C68" t="s">
        <v>379</v>
      </c>
      <c r="D68" t="s">
        <v>380</v>
      </c>
      <c r="E68" t="s">
        <v>1945</v>
      </c>
      <c r="F68" t="s">
        <v>1946</v>
      </c>
      <c r="G68" t="s">
        <v>262</v>
      </c>
      <c r="H68" t="s">
        <v>260</v>
      </c>
      <c r="I68" s="48">
        <v>46161.589962638893</v>
      </c>
    </row>
    <row r="69" spans="1:9" x14ac:dyDescent="0.25">
      <c r="A69" t="s">
        <v>382</v>
      </c>
      <c r="B69" t="s">
        <v>383</v>
      </c>
      <c r="C69" t="s">
        <v>383</v>
      </c>
      <c r="D69" t="s">
        <v>384</v>
      </c>
      <c r="E69" t="s">
        <v>1945</v>
      </c>
      <c r="F69" t="s">
        <v>1946</v>
      </c>
      <c r="G69" t="s">
        <v>262</v>
      </c>
      <c r="H69" t="s">
        <v>260</v>
      </c>
      <c r="I69" s="48">
        <v>46161.589962638893</v>
      </c>
    </row>
    <row r="70" spans="1:9" x14ac:dyDescent="0.25">
      <c r="A70" t="s">
        <v>386</v>
      </c>
      <c r="B70" t="s">
        <v>387</v>
      </c>
      <c r="C70" t="s">
        <v>387</v>
      </c>
      <c r="D70" t="s">
        <v>388</v>
      </c>
      <c r="E70" t="s">
        <v>1945</v>
      </c>
      <c r="F70" t="s">
        <v>1946</v>
      </c>
      <c r="G70" t="s">
        <v>262</v>
      </c>
      <c r="H70" t="s">
        <v>290</v>
      </c>
      <c r="I70" s="48">
        <v>46161.589962638893</v>
      </c>
    </row>
    <row r="71" spans="1:9" x14ac:dyDescent="0.25">
      <c r="A71" t="s">
        <v>390</v>
      </c>
      <c r="B71" t="s">
        <v>391</v>
      </c>
      <c r="C71" t="s">
        <v>392</v>
      </c>
      <c r="D71" t="s">
        <v>393</v>
      </c>
      <c r="E71" t="s">
        <v>1948</v>
      </c>
      <c r="F71" t="s">
        <v>1949</v>
      </c>
      <c r="G71" t="s">
        <v>262</v>
      </c>
      <c r="H71" t="s">
        <v>395</v>
      </c>
      <c r="I71" s="48">
        <v>46161.589962638893</v>
      </c>
    </row>
    <row r="72" spans="1:9" x14ac:dyDescent="0.25">
      <c r="A72" t="s">
        <v>399</v>
      </c>
      <c r="B72" t="s">
        <v>400</v>
      </c>
      <c r="C72" t="s">
        <v>401</v>
      </c>
      <c r="D72" t="s">
        <v>402</v>
      </c>
      <c r="E72" t="s">
        <v>1948</v>
      </c>
      <c r="F72" t="s">
        <v>1949</v>
      </c>
      <c r="G72" t="s">
        <v>262</v>
      </c>
      <c r="H72" t="s">
        <v>403</v>
      </c>
      <c r="I72" s="48">
        <v>46161.589962638893</v>
      </c>
    </row>
    <row r="73" spans="1:9" x14ac:dyDescent="0.25">
      <c r="A73" t="s">
        <v>406</v>
      </c>
      <c r="B73" t="s">
        <v>407</v>
      </c>
      <c r="C73" t="s">
        <v>276</v>
      </c>
      <c r="D73" t="s">
        <v>408</v>
      </c>
      <c r="E73" t="s">
        <v>1948</v>
      </c>
      <c r="F73" t="s">
        <v>1949</v>
      </c>
      <c r="G73" t="s">
        <v>262</v>
      </c>
      <c r="H73" t="s">
        <v>403</v>
      </c>
      <c r="I73" s="48">
        <v>46161.589962638893</v>
      </c>
    </row>
    <row r="74" spans="1:9" x14ac:dyDescent="0.25">
      <c r="A74" t="s">
        <v>410</v>
      </c>
      <c r="B74" t="s">
        <v>411</v>
      </c>
      <c r="C74" t="s">
        <v>280</v>
      </c>
      <c r="D74" t="s">
        <v>412</v>
      </c>
      <c r="E74" t="s">
        <v>1948</v>
      </c>
      <c r="F74" t="s">
        <v>1949</v>
      </c>
      <c r="G74" t="s">
        <v>262</v>
      </c>
      <c r="H74" t="s">
        <v>413</v>
      </c>
      <c r="I74" s="48">
        <v>46161.589962638893</v>
      </c>
    </row>
    <row r="75" spans="1:9" x14ac:dyDescent="0.25">
      <c r="A75" t="s">
        <v>416</v>
      </c>
      <c r="B75" t="s">
        <v>417</v>
      </c>
      <c r="C75" t="s">
        <v>418</v>
      </c>
      <c r="D75" t="s">
        <v>419</v>
      </c>
      <c r="E75" t="s">
        <v>1948</v>
      </c>
      <c r="F75" t="s">
        <v>1949</v>
      </c>
      <c r="G75" t="s">
        <v>262</v>
      </c>
      <c r="H75" t="s">
        <v>403</v>
      </c>
      <c r="I75" s="48">
        <v>46161.589962638893</v>
      </c>
    </row>
    <row r="76" spans="1:9" x14ac:dyDescent="0.25">
      <c r="A76" t="s">
        <v>421</v>
      </c>
      <c r="B76" t="s">
        <v>422</v>
      </c>
      <c r="C76" t="s">
        <v>423</v>
      </c>
      <c r="D76" t="s">
        <v>424</v>
      </c>
      <c r="E76" t="s">
        <v>1948</v>
      </c>
      <c r="F76" t="s">
        <v>1949</v>
      </c>
      <c r="G76" t="s">
        <v>262</v>
      </c>
      <c r="H76" t="s">
        <v>425</v>
      </c>
      <c r="I76" s="48">
        <v>46161.589962638893</v>
      </c>
    </row>
    <row r="77" spans="1:9" x14ac:dyDescent="0.25">
      <c r="A77" t="s">
        <v>428</v>
      </c>
      <c r="B77" t="s">
        <v>429</v>
      </c>
      <c r="C77" t="s">
        <v>430</v>
      </c>
      <c r="D77" t="s">
        <v>431</v>
      </c>
      <c r="E77" t="s">
        <v>1948</v>
      </c>
      <c r="F77" t="s">
        <v>1949</v>
      </c>
      <c r="G77" t="s">
        <v>262</v>
      </c>
      <c r="H77" t="s">
        <v>425</v>
      </c>
      <c r="I77" s="48">
        <v>46161.589962638893</v>
      </c>
    </row>
    <row r="78" spans="1:9" x14ac:dyDescent="0.25">
      <c r="A78" t="s">
        <v>433</v>
      </c>
      <c r="B78" t="s">
        <v>434</v>
      </c>
      <c r="C78" t="s">
        <v>435</v>
      </c>
      <c r="D78" t="s">
        <v>436</v>
      </c>
      <c r="E78" t="s">
        <v>1948</v>
      </c>
      <c r="F78" t="s">
        <v>1949</v>
      </c>
      <c r="G78" t="s">
        <v>262</v>
      </c>
      <c r="H78" t="s">
        <v>425</v>
      </c>
      <c r="I78" s="48">
        <v>46161.589962638893</v>
      </c>
    </row>
    <row r="79" spans="1:9" x14ac:dyDescent="0.25">
      <c r="A79" t="s">
        <v>438</v>
      </c>
      <c r="B79" t="s">
        <v>439</v>
      </c>
      <c r="C79" t="s">
        <v>440</v>
      </c>
      <c r="D79" t="s">
        <v>441</v>
      </c>
      <c r="E79" t="s">
        <v>1948</v>
      </c>
      <c r="F79" t="s">
        <v>1949</v>
      </c>
      <c r="G79" t="s">
        <v>262</v>
      </c>
      <c r="H79" t="s">
        <v>425</v>
      </c>
      <c r="I79" s="48">
        <v>46161.589962638893</v>
      </c>
    </row>
    <row r="80" spans="1:9" x14ac:dyDescent="0.25">
      <c r="A80" t="s">
        <v>443</v>
      </c>
      <c r="B80" t="s">
        <v>444</v>
      </c>
      <c r="C80" t="s">
        <v>445</v>
      </c>
      <c r="D80" t="s">
        <v>446</v>
      </c>
      <c r="E80" t="s">
        <v>1948</v>
      </c>
      <c r="F80" t="s">
        <v>1949</v>
      </c>
      <c r="G80" t="s">
        <v>262</v>
      </c>
      <c r="H80" t="s">
        <v>403</v>
      </c>
      <c r="I80" s="48">
        <v>46161.589962638893</v>
      </c>
    </row>
    <row r="81" spans="1:9" x14ac:dyDescent="0.25">
      <c r="A81" t="s">
        <v>448</v>
      </c>
      <c r="B81" t="s">
        <v>449</v>
      </c>
      <c r="C81" t="s">
        <v>312</v>
      </c>
      <c r="D81" t="s">
        <v>450</v>
      </c>
      <c r="E81" t="s">
        <v>1948</v>
      </c>
      <c r="F81" t="s">
        <v>1949</v>
      </c>
      <c r="G81" t="s">
        <v>262</v>
      </c>
      <c r="H81" t="s">
        <v>403</v>
      </c>
      <c r="I81" s="48">
        <v>46161.589962638893</v>
      </c>
    </row>
    <row r="82" spans="1:9" x14ac:dyDescent="0.25">
      <c r="A82" t="s">
        <v>452</v>
      </c>
      <c r="B82" t="s">
        <v>453</v>
      </c>
      <c r="C82" t="s">
        <v>454</v>
      </c>
      <c r="D82" t="s">
        <v>455</v>
      </c>
      <c r="E82" t="s">
        <v>1948</v>
      </c>
      <c r="F82" t="s">
        <v>1949</v>
      </c>
      <c r="G82" t="s">
        <v>262</v>
      </c>
      <c r="H82" t="s">
        <v>425</v>
      </c>
      <c r="I82" s="48">
        <v>46161.589962638893</v>
      </c>
    </row>
    <row r="83" spans="1:9" x14ac:dyDescent="0.25">
      <c r="A83" t="s">
        <v>457</v>
      </c>
      <c r="B83" t="s">
        <v>458</v>
      </c>
      <c r="C83" t="s">
        <v>332</v>
      </c>
      <c r="D83" t="s">
        <v>459</v>
      </c>
      <c r="E83" t="s">
        <v>1948</v>
      </c>
      <c r="F83" t="s">
        <v>1949</v>
      </c>
      <c r="G83" t="s">
        <v>262</v>
      </c>
      <c r="H83" t="s">
        <v>403</v>
      </c>
      <c r="I83" s="48">
        <v>46161.589962638893</v>
      </c>
    </row>
    <row r="84" spans="1:9" x14ac:dyDescent="0.25">
      <c r="A84" t="s">
        <v>461</v>
      </c>
      <c r="B84" t="s">
        <v>462</v>
      </c>
      <c r="C84" t="s">
        <v>463</v>
      </c>
      <c r="D84" t="s">
        <v>464</v>
      </c>
      <c r="E84" t="s">
        <v>1948</v>
      </c>
      <c r="F84" t="s">
        <v>1949</v>
      </c>
      <c r="G84" t="s">
        <v>262</v>
      </c>
      <c r="H84" t="s">
        <v>425</v>
      </c>
      <c r="I84" s="48">
        <v>46161.589962638893</v>
      </c>
    </row>
    <row r="85" spans="1:9" x14ac:dyDescent="0.25">
      <c r="A85" t="s">
        <v>466</v>
      </c>
      <c r="B85" t="s">
        <v>467</v>
      </c>
      <c r="C85" t="s">
        <v>468</v>
      </c>
      <c r="D85" t="s">
        <v>469</v>
      </c>
      <c r="E85" t="s">
        <v>1948</v>
      </c>
      <c r="F85" t="s">
        <v>1949</v>
      </c>
      <c r="G85" t="s">
        <v>262</v>
      </c>
      <c r="H85" t="s">
        <v>403</v>
      </c>
      <c r="I85" s="48">
        <v>46161.589962638893</v>
      </c>
    </row>
    <row r="86" spans="1:9" x14ac:dyDescent="0.25">
      <c r="A86" t="s">
        <v>471</v>
      </c>
      <c r="B86" t="s">
        <v>472</v>
      </c>
      <c r="C86" t="s">
        <v>473</v>
      </c>
      <c r="D86" t="s">
        <v>474</v>
      </c>
      <c r="E86" t="s">
        <v>1948</v>
      </c>
      <c r="F86" t="s">
        <v>1949</v>
      </c>
      <c r="G86" t="s">
        <v>262</v>
      </c>
      <c r="H86" t="s">
        <v>425</v>
      </c>
      <c r="I86" s="48">
        <v>46161.589962638893</v>
      </c>
    </row>
    <row r="87" spans="1:9" x14ac:dyDescent="0.25">
      <c r="A87" t="s">
        <v>476</v>
      </c>
      <c r="B87" t="s">
        <v>477</v>
      </c>
      <c r="C87" t="s">
        <v>478</v>
      </c>
      <c r="D87" t="s">
        <v>479</v>
      </c>
      <c r="E87" t="s">
        <v>1948</v>
      </c>
      <c r="F87" t="s">
        <v>1949</v>
      </c>
      <c r="G87" t="s">
        <v>262</v>
      </c>
      <c r="H87" t="s">
        <v>425</v>
      </c>
      <c r="I87" s="48">
        <v>46161.589962638893</v>
      </c>
    </row>
    <row r="88" spans="1:9" x14ac:dyDescent="0.25">
      <c r="A88" t="s">
        <v>481</v>
      </c>
      <c r="B88" t="s">
        <v>482</v>
      </c>
      <c r="C88" t="s">
        <v>483</v>
      </c>
      <c r="D88" t="s">
        <v>484</v>
      </c>
      <c r="E88" t="s">
        <v>1948</v>
      </c>
      <c r="F88" t="s">
        <v>1949</v>
      </c>
      <c r="G88" t="s">
        <v>262</v>
      </c>
      <c r="H88" t="s">
        <v>403</v>
      </c>
      <c r="I88" s="48">
        <v>46161.589962638893</v>
      </c>
    </row>
    <row r="89" spans="1:9" x14ac:dyDescent="0.25">
      <c r="A89" t="s">
        <v>486</v>
      </c>
      <c r="B89" t="s">
        <v>487</v>
      </c>
      <c r="C89" t="s">
        <v>348</v>
      </c>
      <c r="D89" t="s">
        <v>488</v>
      </c>
      <c r="E89" t="s">
        <v>1948</v>
      </c>
      <c r="F89" t="s">
        <v>1949</v>
      </c>
      <c r="G89" t="s">
        <v>262</v>
      </c>
      <c r="H89" t="s">
        <v>403</v>
      </c>
      <c r="I89" s="48">
        <v>46161.589962638893</v>
      </c>
    </row>
    <row r="90" spans="1:9" x14ac:dyDescent="0.25">
      <c r="A90" t="s">
        <v>490</v>
      </c>
      <c r="B90" t="s">
        <v>491</v>
      </c>
      <c r="C90" t="s">
        <v>492</v>
      </c>
      <c r="D90" t="s">
        <v>493</v>
      </c>
      <c r="E90" t="s">
        <v>1948</v>
      </c>
      <c r="F90" t="s">
        <v>1949</v>
      </c>
      <c r="G90" t="s">
        <v>262</v>
      </c>
      <c r="H90" t="s">
        <v>425</v>
      </c>
      <c r="I90" s="48">
        <v>46161.589962638893</v>
      </c>
    </row>
    <row r="91" spans="1:9" x14ac:dyDescent="0.25">
      <c r="A91" t="s">
        <v>495</v>
      </c>
      <c r="B91" t="s">
        <v>496</v>
      </c>
      <c r="C91" t="s">
        <v>497</v>
      </c>
      <c r="D91" t="s">
        <v>498</v>
      </c>
      <c r="E91" t="s">
        <v>1948</v>
      </c>
      <c r="F91" t="s">
        <v>1949</v>
      </c>
      <c r="G91" t="s">
        <v>262</v>
      </c>
      <c r="H91" t="s">
        <v>403</v>
      </c>
      <c r="I91" s="48">
        <v>46161.589962638893</v>
      </c>
    </row>
    <row r="92" spans="1:9" x14ac:dyDescent="0.25">
      <c r="A92" t="s">
        <v>500</v>
      </c>
      <c r="B92" t="s">
        <v>501</v>
      </c>
      <c r="C92" t="s">
        <v>502</v>
      </c>
      <c r="D92" t="s">
        <v>503</v>
      </c>
      <c r="E92" t="s">
        <v>1948</v>
      </c>
      <c r="F92" t="s">
        <v>1949</v>
      </c>
      <c r="G92" t="s">
        <v>262</v>
      </c>
      <c r="H92" t="s">
        <v>425</v>
      </c>
      <c r="I92" s="48">
        <v>46161.589962638893</v>
      </c>
    </row>
    <row r="93" spans="1:9" x14ac:dyDescent="0.25">
      <c r="A93" t="s">
        <v>505</v>
      </c>
      <c r="B93" t="s">
        <v>506</v>
      </c>
      <c r="C93" t="s">
        <v>507</v>
      </c>
      <c r="D93" t="s">
        <v>508</v>
      </c>
      <c r="E93" t="s">
        <v>1948</v>
      </c>
      <c r="F93" t="s">
        <v>1949</v>
      </c>
      <c r="G93" t="s">
        <v>262</v>
      </c>
      <c r="H93" t="s">
        <v>403</v>
      </c>
      <c r="I93" s="48">
        <v>46161.589962638893</v>
      </c>
    </row>
    <row r="94" spans="1:9" x14ac:dyDescent="0.25">
      <c r="A94" t="s">
        <v>510</v>
      </c>
      <c r="B94" t="s">
        <v>511</v>
      </c>
      <c r="C94" t="s">
        <v>379</v>
      </c>
      <c r="D94" t="s">
        <v>512</v>
      </c>
      <c r="E94" t="s">
        <v>1948</v>
      </c>
      <c r="F94" t="s">
        <v>1949</v>
      </c>
      <c r="G94" t="s">
        <v>262</v>
      </c>
      <c r="H94" t="s">
        <v>403</v>
      </c>
      <c r="I94" s="48">
        <v>46161.589962638893</v>
      </c>
    </row>
    <row r="95" spans="1:9" x14ac:dyDescent="0.25">
      <c r="A95" t="s">
        <v>514</v>
      </c>
      <c r="B95" t="s">
        <v>515</v>
      </c>
      <c r="C95" t="s">
        <v>516</v>
      </c>
      <c r="D95" t="s">
        <v>517</v>
      </c>
      <c r="E95" t="s">
        <v>1948</v>
      </c>
      <c r="F95" t="s">
        <v>1949</v>
      </c>
      <c r="G95" t="s">
        <v>262</v>
      </c>
      <c r="H95" t="s">
        <v>425</v>
      </c>
      <c r="I95" s="48">
        <v>46161.589962638893</v>
      </c>
    </row>
    <row r="96" spans="1:9" x14ac:dyDescent="0.25">
      <c r="A96" t="s">
        <v>519</v>
      </c>
      <c r="B96" t="s">
        <v>520</v>
      </c>
      <c r="C96" t="s">
        <v>383</v>
      </c>
      <c r="D96" t="s">
        <v>521</v>
      </c>
      <c r="E96" t="s">
        <v>1948</v>
      </c>
      <c r="F96" t="s">
        <v>1949</v>
      </c>
      <c r="G96" t="s">
        <v>262</v>
      </c>
      <c r="H96" t="s">
        <v>403</v>
      </c>
      <c r="I96" s="48">
        <v>46161.589962638893</v>
      </c>
    </row>
    <row r="97" spans="1:9" x14ac:dyDescent="0.25">
      <c r="A97" t="s">
        <v>523</v>
      </c>
      <c r="B97" t="s">
        <v>524</v>
      </c>
      <c r="C97" t="s">
        <v>525</v>
      </c>
      <c r="D97" t="s">
        <v>526</v>
      </c>
      <c r="E97" t="s">
        <v>1950</v>
      </c>
      <c r="F97" t="s">
        <v>1949</v>
      </c>
      <c r="G97" t="s">
        <v>262</v>
      </c>
      <c r="H97" t="s">
        <v>527</v>
      </c>
      <c r="I97" s="48">
        <v>46161.589962638893</v>
      </c>
    </row>
    <row r="98" spans="1:9" x14ac:dyDescent="0.25">
      <c r="A98" t="s">
        <v>531</v>
      </c>
      <c r="B98" t="s">
        <v>532</v>
      </c>
      <c r="C98" t="s">
        <v>533</v>
      </c>
      <c r="D98" t="s">
        <v>534</v>
      </c>
      <c r="E98" t="s">
        <v>1950</v>
      </c>
      <c r="F98" t="s">
        <v>1949</v>
      </c>
      <c r="G98" t="s">
        <v>262</v>
      </c>
      <c r="H98" t="s">
        <v>527</v>
      </c>
      <c r="I98" s="48">
        <v>46161.589962638893</v>
      </c>
    </row>
    <row r="99" spans="1:9" x14ac:dyDescent="0.25">
      <c r="A99" t="s">
        <v>536</v>
      </c>
      <c r="B99" t="s">
        <v>537</v>
      </c>
      <c r="C99" t="s">
        <v>538</v>
      </c>
      <c r="D99" t="s">
        <v>539</v>
      </c>
      <c r="E99" t="s">
        <v>1950</v>
      </c>
      <c r="F99" t="s">
        <v>1949</v>
      </c>
      <c r="G99" t="s">
        <v>262</v>
      </c>
      <c r="H99" t="s">
        <v>527</v>
      </c>
      <c r="I99" s="48">
        <v>46161.589962638893</v>
      </c>
    </row>
    <row r="100" spans="1:9" x14ac:dyDescent="0.25">
      <c r="A100" t="s">
        <v>541</v>
      </c>
      <c r="B100" t="s">
        <v>542</v>
      </c>
      <c r="C100" t="s">
        <v>543</v>
      </c>
      <c r="D100" t="s">
        <v>544</v>
      </c>
      <c r="E100" t="s">
        <v>1950</v>
      </c>
      <c r="F100" t="s">
        <v>1949</v>
      </c>
      <c r="G100" t="s">
        <v>262</v>
      </c>
      <c r="H100" t="s">
        <v>527</v>
      </c>
      <c r="I100" s="48">
        <v>46161.589962638893</v>
      </c>
    </row>
    <row r="101" spans="1:9" x14ac:dyDescent="0.25">
      <c r="A101" t="s">
        <v>546</v>
      </c>
      <c r="B101" t="s">
        <v>547</v>
      </c>
      <c r="C101" t="s">
        <v>548</v>
      </c>
      <c r="D101" t="s">
        <v>549</v>
      </c>
      <c r="E101" t="s">
        <v>1950</v>
      </c>
      <c r="F101" t="s">
        <v>1949</v>
      </c>
      <c r="G101" t="s">
        <v>262</v>
      </c>
      <c r="H101" t="s">
        <v>527</v>
      </c>
      <c r="I101" s="48">
        <v>46161.589962650462</v>
      </c>
    </row>
    <row r="102" spans="1:9" x14ac:dyDescent="0.25">
      <c r="A102" t="s">
        <v>552</v>
      </c>
      <c r="B102" t="s">
        <v>553</v>
      </c>
      <c r="C102" t="s">
        <v>554</v>
      </c>
      <c r="D102" t="s">
        <v>555</v>
      </c>
      <c r="E102" t="s">
        <v>1950</v>
      </c>
      <c r="F102" t="s">
        <v>1949</v>
      </c>
      <c r="G102" t="s">
        <v>262</v>
      </c>
      <c r="H102" t="s">
        <v>527</v>
      </c>
      <c r="I102" s="48">
        <v>46161.589962650462</v>
      </c>
    </row>
    <row r="103" spans="1:9" x14ac:dyDescent="0.25">
      <c r="A103" t="s">
        <v>557</v>
      </c>
      <c r="B103" t="s">
        <v>558</v>
      </c>
      <c r="C103" t="s">
        <v>559</v>
      </c>
      <c r="D103" t="s">
        <v>560</v>
      </c>
      <c r="E103" t="s">
        <v>1950</v>
      </c>
      <c r="F103" t="s">
        <v>1949</v>
      </c>
      <c r="G103" t="s">
        <v>262</v>
      </c>
      <c r="H103" t="s">
        <v>527</v>
      </c>
      <c r="I103" s="48">
        <v>46161.589962650462</v>
      </c>
    </row>
    <row r="104" spans="1:9" x14ac:dyDescent="0.25">
      <c r="A104" t="s">
        <v>562</v>
      </c>
      <c r="B104" t="s">
        <v>563</v>
      </c>
      <c r="C104" t="s">
        <v>564</v>
      </c>
      <c r="D104" t="s">
        <v>565</v>
      </c>
      <c r="E104" t="s">
        <v>1950</v>
      </c>
      <c r="F104" t="s">
        <v>1949</v>
      </c>
      <c r="G104" t="s">
        <v>262</v>
      </c>
      <c r="H104" t="s">
        <v>527</v>
      </c>
      <c r="I104" s="48">
        <v>46161.589962650462</v>
      </c>
    </row>
    <row r="105" spans="1:9" x14ac:dyDescent="0.25">
      <c r="A105" t="s">
        <v>567</v>
      </c>
      <c r="B105" t="s">
        <v>568</v>
      </c>
      <c r="C105" t="s">
        <v>568</v>
      </c>
      <c r="D105" t="s">
        <v>569</v>
      </c>
      <c r="E105" t="s">
        <v>1951</v>
      </c>
      <c r="F105" t="s">
        <v>1949</v>
      </c>
      <c r="G105" t="s">
        <v>262</v>
      </c>
      <c r="H105" t="s">
        <v>570</v>
      </c>
      <c r="I105" s="48">
        <v>46161.589962650462</v>
      </c>
    </row>
    <row r="106" spans="1:9" x14ac:dyDescent="0.25">
      <c r="A106" t="s">
        <v>577</v>
      </c>
      <c r="B106" t="s">
        <v>578</v>
      </c>
      <c r="C106" t="s">
        <v>578</v>
      </c>
      <c r="D106" t="s">
        <v>579</v>
      </c>
      <c r="E106" t="s">
        <v>1951</v>
      </c>
      <c r="F106" t="s">
        <v>1949</v>
      </c>
      <c r="G106" t="s">
        <v>262</v>
      </c>
      <c r="H106" t="s">
        <v>570</v>
      </c>
      <c r="I106" s="48">
        <v>46161.589962650462</v>
      </c>
    </row>
    <row r="107" spans="1:9" x14ac:dyDescent="0.25">
      <c r="A107" t="s">
        <v>582</v>
      </c>
      <c r="B107" t="s">
        <v>583</v>
      </c>
      <c r="C107" t="s">
        <v>583</v>
      </c>
      <c r="D107" t="s">
        <v>584</v>
      </c>
      <c r="E107" t="s">
        <v>1951</v>
      </c>
      <c r="F107" t="s">
        <v>1949</v>
      </c>
      <c r="G107" t="s">
        <v>262</v>
      </c>
      <c r="H107" t="s">
        <v>570</v>
      </c>
      <c r="I107" s="48">
        <v>46161.589962650462</v>
      </c>
    </row>
    <row r="108" spans="1:9" x14ac:dyDescent="0.25">
      <c r="A108" t="s">
        <v>587</v>
      </c>
      <c r="B108" t="s">
        <v>588</v>
      </c>
      <c r="C108" t="s">
        <v>588</v>
      </c>
      <c r="D108" t="s">
        <v>589</v>
      </c>
      <c r="E108" t="s">
        <v>1951</v>
      </c>
      <c r="F108" t="s">
        <v>1949</v>
      </c>
      <c r="G108" t="s">
        <v>262</v>
      </c>
      <c r="H108" t="s">
        <v>570</v>
      </c>
      <c r="I108" s="48">
        <v>46161.589962650462</v>
      </c>
    </row>
    <row r="109" spans="1:9" x14ac:dyDescent="0.25">
      <c r="A109" t="s">
        <v>591</v>
      </c>
      <c r="B109" t="s">
        <v>592</v>
      </c>
      <c r="C109" t="s">
        <v>592</v>
      </c>
      <c r="D109" t="s">
        <v>593</v>
      </c>
      <c r="E109" t="s">
        <v>1951</v>
      </c>
      <c r="F109" t="s">
        <v>1949</v>
      </c>
      <c r="G109" t="s">
        <v>262</v>
      </c>
      <c r="H109" t="s">
        <v>570</v>
      </c>
      <c r="I109" s="48">
        <v>46161.589962650462</v>
      </c>
    </row>
    <row r="110" spans="1:9" x14ac:dyDescent="0.25">
      <c r="A110" t="s">
        <v>595</v>
      </c>
      <c r="B110" t="s">
        <v>596</v>
      </c>
      <c r="C110" t="s">
        <v>596</v>
      </c>
      <c r="D110" t="s">
        <v>597</v>
      </c>
      <c r="E110" t="s">
        <v>1951</v>
      </c>
      <c r="F110" t="s">
        <v>1949</v>
      </c>
      <c r="G110" t="s">
        <v>262</v>
      </c>
      <c r="H110" t="s">
        <v>570</v>
      </c>
      <c r="I110" s="48">
        <v>46161.589962650462</v>
      </c>
    </row>
    <row r="111" spans="1:9" x14ac:dyDescent="0.25">
      <c r="A111" t="s">
        <v>599</v>
      </c>
      <c r="B111" t="s">
        <v>600</v>
      </c>
      <c r="C111" t="s">
        <v>600</v>
      </c>
      <c r="D111" t="s">
        <v>601</v>
      </c>
      <c r="E111" t="s">
        <v>1951</v>
      </c>
      <c r="F111" t="s">
        <v>1949</v>
      </c>
      <c r="G111" t="s">
        <v>262</v>
      </c>
      <c r="H111" t="s">
        <v>570</v>
      </c>
      <c r="I111" s="48">
        <v>46161.589962650462</v>
      </c>
    </row>
    <row r="112" spans="1:9" x14ac:dyDescent="0.25">
      <c r="A112" t="s">
        <v>604</v>
      </c>
      <c r="B112" t="s">
        <v>605</v>
      </c>
      <c r="C112" t="s">
        <v>605</v>
      </c>
      <c r="D112" t="s">
        <v>606</v>
      </c>
      <c r="E112" t="s">
        <v>1951</v>
      </c>
      <c r="F112" t="s">
        <v>1949</v>
      </c>
      <c r="G112" t="s">
        <v>262</v>
      </c>
      <c r="H112" t="s">
        <v>570</v>
      </c>
      <c r="I112" s="48">
        <v>46161.589962650462</v>
      </c>
    </row>
    <row r="113" spans="1:9" x14ac:dyDescent="0.25">
      <c r="A113" t="s">
        <v>608</v>
      </c>
      <c r="B113" t="s">
        <v>605</v>
      </c>
      <c r="C113" t="s">
        <v>605</v>
      </c>
      <c r="D113" t="s">
        <v>609</v>
      </c>
      <c r="E113" t="s">
        <v>1951</v>
      </c>
      <c r="F113" t="s">
        <v>1949</v>
      </c>
      <c r="G113" t="s">
        <v>262</v>
      </c>
      <c r="H113" t="s">
        <v>570</v>
      </c>
      <c r="I113" s="48">
        <v>46161.589962650462</v>
      </c>
    </row>
    <row r="114" spans="1:9" x14ac:dyDescent="0.25">
      <c r="A114" t="s">
        <v>611</v>
      </c>
      <c r="B114" t="s">
        <v>612</v>
      </c>
      <c r="C114" t="s">
        <v>612</v>
      </c>
      <c r="D114" t="s">
        <v>613</v>
      </c>
      <c r="E114" t="s">
        <v>1951</v>
      </c>
      <c r="F114" t="s">
        <v>1949</v>
      </c>
      <c r="G114" t="s">
        <v>262</v>
      </c>
      <c r="H114" t="s">
        <v>570</v>
      </c>
      <c r="I114" s="48">
        <v>46161.589962650462</v>
      </c>
    </row>
    <row r="115" spans="1:9" x14ac:dyDescent="0.25">
      <c r="A115" t="s">
        <v>615</v>
      </c>
      <c r="B115" t="s">
        <v>616</v>
      </c>
      <c r="C115" t="s">
        <v>616</v>
      </c>
      <c r="D115" t="s">
        <v>617</v>
      </c>
      <c r="E115" t="s">
        <v>1951</v>
      </c>
      <c r="F115" t="s">
        <v>1949</v>
      </c>
      <c r="G115" t="s">
        <v>262</v>
      </c>
      <c r="H115" t="s">
        <v>570</v>
      </c>
      <c r="I115" s="48">
        <v>46161.589962650462</v>
      </c>
    </row>
    <row r="116" spans="1:9" x14ac:dyDescent="0.25">
      <c r="A116" t="s">
        <v>619</v>
      </c>
      <c r="B116" t="s">
        <v>620</v>
      </c>
      <c r="C116" t="s">
        <v>620</v>
      </c>
      <c r="D116" t="s">
        <v>621</v>
      </c>
      <c r="E116" t="s">
        <v>1951</v>
      </c>
      <c r="F116" t="s">
        <v>1949</v>
      </c>
      <c r="G116" t="s">
        <v>262</v>
      </c>
      <c r="H116" t="s">
        <v>570</v>
      </c>
      <c r="I116" s="48">
        <v>46161.589962650462</v>
      </c>
    </row>
    <row r="117" spans="1:9" x14ac:dyDescent="0.25">
      <c r="A117" t="s">
        <v>624</v>
      </c>
      <c r="B117" t="s">
        <v>620</v>
      </c>
      <c r="C117" t="s">
        <v>620</v>
      </c>
      <c r="D117" t="s">
        <v>625</v>
      </c>
      <c r="E117" t="s">
        <v>1951</v>
      </c>
      <c r="F117" t="s">
        <v>1949</v>
      </c>
      <c r="G117" t="s">
        <v>262</v>
      </c>
      <c r="H117" t="s">
        <v>570</v>
      </c>
      <c r="I117" s="48">
        <v>46161.589962650462</v>
      </c>
    </row>
    <row r="118" spans="1:9" x14ac:dyDescent="0.25">
      <c r="A118" t="s">
        <v>627</v>
      </c>
      <c r="B118" t="s">
        <v>628</v>
      </c>
      <c r="C118" t="s">
        <v>628</v>
      </c>
      <c r="D118" t="s">
        <v>629</v>
      </c>
      <c r="E118" t="s">
        <v>1951</v>
      </c>
      <c r="F118" t="s">
        <v>1949</v>
      </c>
      <c r="G118" t="s">
        <v>262</v>
      </c>
      <c r="H118" t="s">
        <v>570</v>
      </c>
      <c r="I118" s="48">
        <v>46161.589962650462</v>
      </c>
    </row>
    <row r="119" spans="1:9" x14ac:dyDescent="0.25">
      <c r="A119" t="s">
        <v>631</v>
      </c>
      <c r="B119" t="s">
        <v>628</v>
      </c>
      <c r="C119" t="s">
        <v>628</v>
      </c>
      <c r="D119" t="s">
        <v>632</v>
      </c>
      <c r="E119" t="s">
        <v>1951</v>
      </c>
      <c r="F119" t="s">
        <v>1949</v>
      </c>
      <c r="G119" t="s">
        <v>262</v>
      </c>
      <c r="H119" t="s">
        <v>570</v>
      </c>
      <c r="I119" s="48">
        <v>46161.589962650462</v>
      </c>
    </row>
    <row r="120" spans="1:9" x14ac:dyDescent="0.25">
      <c r="A120" t="s">
        <v>634</v>
      </c>
      <c r="B120" t="s">
        <v>635</v>
      </c>
      <c r="C120" t="s">
        <v>635</v>
      </c>
      <c r="D120" t="s">
        <v>636</v>
      </c>
      <c r="E120" t="s">
        <v>1951</v>
      </c>
      <c r="F120" t="s">
        <v>1949</v>
      </c>
      <c r="G120" t="s">
        <v>262</v>
      </c>
      <c r="H120" t="s">
        <v>570</v>
      </c>
      <c r="I120" s="48">
        <v>46161.589962650462</v>
      </c>
    </row>
    <row r="121" spans="1:9" x14ac:dyDescent="0.25">
      <c r="A121" t="s">
        <v>639</v>
      </c>
      <c r="B121" t="s">
        <v>640</v>
      </c>
      <c r="C121" t="s">
        <v>640</v>
      </c>
      <c r="D121" t="s">
        <v>641</v>
      </c>
      <c r="E121" t="s">
        <v>1951</v>
      </c>
      <c r="F121" t="s">
        <v>1949</v>
      </c>
      <c r="G121" t="s">
        <v>262</v>
      </c>
      <c r="H121" t="s">
        <v>570</v>
      </c>
      <c r="I121" s="48">
        <v>46161.589962650462</v>
      </c>
    </row>
    <row r="122" spans="1:9" x14ac:dyDescent="0.25">
      <c r="A122" t="s">
        <v>643</v>
      </c>
      <c r="B122" t="s">
        <v>640</v>
      </c>
      <c r="C122" t="s">
        <v>640</v>
      </c>
      <c r="D122" t="s">
        <v>644</v>
      </c>
      <c r="E122" t="s">
        <v>1951</v>
      </c>
      <c r="F122" t="s">
        <v>1949</v>
      </c>
      <c r="G122" t="s">
        <v>262</v>
      </c>
      <c r="H122" t="s">
        <v>570</v>
      </c>
      <c r="I122" s="48">
        <v>46161.589962650462</v>
      </c>
    </row>
    <row r="123" spans="1:9" x14ac:dyDescent="0.25">
      <c r="A123" t="s">
        <v>646</v>
      </c>
      <c r="B123" t="s">
        <v>647</v>
      </c>
      <c r="C123" t="s">
        <v>647</v>
      </c>
      <c r="D123" t="s">
        <v>648</v>
      </c>
      <c r="E123" t="s">
        <v>1951</v>
      </c>
      <c r="F123" t="s">
        <v>1949</v>
      </c>
      <c r="G123" t="s">
        <v>262</v>
      </c>
      <c r="H123" t="s">
        <v>570</v>
      </c>
      <c r="I123" s="48">
        <v>46161.589962650462</v>
      </c>
    </row>
    <row r="124" spans="1:9" x14ac:dyDescent="0.25">
      <c r="A124" t="s">
        <v>650</v>
      </c>
      <c r="B124" t="s">
        <v>651</v>
      </c>
      <c r="C124" t="s">
        <v>651</v>
      </c>
      <c r="D124" t="s">
        <v>652</v>
      </c>
      <c r="E124" t="s">
        <v>1951</v>
      </c>
      <c r="F124" t="s">
        <v>1949</v>
      </c>
      <c r="G124" t="s">
        <v>262</v>
      </c>
      <c r="H124" t="s">
        <v>570</v>
      </c>
      <c r="I124" s="48">
        <v>46161.589962650462</v>
      </c>
    </row>
    <row r="125" spans="1:9" x14ac:dyDescent="0.25">
      <c r="A125" t="s">
        <v>655</v>
      </c>
      <c r="B125" t="s">
        <v>656</v>
      </c>
      <c r="C125" t="s">
        <v>656</v>
      </c>
      <c r="D125" t="s">
        <v>657</v>
      </c>
      <c r="E125" t="s">
        <v>1951</v>
      </c>
      <c r="F125" t="s">
        <v>1949</v>
      </c>
      <c r="G125" t="s">
        <v>262</v>
      </c>
      <c r="H125" t="s">
        <v>570</v>
      </c>
      <c r="I125" s="48">
        <v>46161.589962650462</v>
      </c>
    </row>
    <row r="126" spans="1:9" x14ac:dyDescent="0.25">
      <c r="A126" t="s">
        <v>659</v>
      </c>
      <c r="B126" t="s">
        <v>656</v>
      </c>
      <c r="C126" t="s">
        <v>656</v>
      </c>
      <c r="D126" t="s">
        <v>660</v>
      </c>
      <c r="E126" t="s">
        <v>1951</v>
      </c>
      <c r="F126" t="s">
        <v>1949</v>
      </c>
      <c r="G126" t="s">
        <v>262</v>
      </c>
      <c r="H126" t="s">
        <v>570</v>
      </c>
      <c r="I126" s="48">
        <v>46161.589962650462</v>
      </c>
    </row>
    <row r="127" spans="1:9" x14ac:dyDescent="0.25">
      <c r="A127" t="s">
        <v>662</v>
      </c>
      <c r="B127" t="s">
        <v>663</v>
      </c>
      <c r="C127" t="s">
        <v>663</v>
      </c>
      <c r="D127" t="s">
        <v>664</v>
      </c>
      <c r="E127" t="s">
        <v>1951</v>
      </c>
      <c r="F127" t="s">
        <v>1949</v>
      </c>
      <c r="G127" t="s">
        <v>262</v>
      </c>
      <c r="H127" t="s">
        <v>570</v>
      </c>
      <c r="I127" s="48">
        <v>46161.589962650462</v>
      </c>
    </row>
    <row r="128" spans="1:9" x14ac:dyDescent="0.25">
      <c r="A128" t="s">
        <v>667</v>
      </c>
      <c r="B128" t="s">
        <v>668</v>
      </c>
      <c r="C128" t="s">
        <v>668</v>
      </c>
      <c r="D128" t="s">
        <v>669</v>
      </c>
      <c r="E128" t="s">
        <v>1951</v>
      </c>
      <c r="F128" t="s">
        <v>1949</v>
      </c>
      <c r="G128" t="s">
        <v>262</v>
      </c>
      <c r="H128" t="s">
        <v>570</v>
      </c>
      <c r="I128" s="48">
        <v>46161.589962650462</v>
      </c>
    </row>
    <row r="129" spans="1:9" x14ac:dyDescent="0.25">
      <c r="A129" t="s">
        <v>671</v>
      </c>
      <c r="B129" t="s">
        <v>672</v>
      </c>
      <c r="C129" t="s">
        <v>672</v>
      </c>
      <c r="D129" t="s">
        <v>673</v>
      </c>
      <c r="E129" t="s">
        <v>1951</v>
      </c>
      <c r="F129" t="s">
        <v>1949</v>
      </c>
      <c r="G129" t="s">
        <v>262</v>
      </c>
      <c r="H129" t="s">
        <v>570</v>
      </c>
      <c r="I129" s="48">
        <v>46161.589962650462</v>
      </c>
    </row>
    <row r="130" spans="1:9" x14ac:dyDescent="0.25">
      <c r="A130" t="s">
        <v>676</v>
      </c>
      <c r="B130" t="s">
        <v>677</v>
      </c>
      <c r="C130" t="s">
        <v>677</v>
      </c>
      <c r="D130" t="s">
        <v>678</v>
      </c>
      <c r="E130" t="s">
        <v>1951</v>
      </c>
      <c r="F130" t="s">
        <v>1949</v>
      </c>
      <c r="G130" t="s">
        <v>262</v>
      </c>
      <c r="H130" t="s">
        <v>570</v>
      </c>
      <c r="I130" s="48">
        <v>46161.589962650462</v>
      </c>
    </row>
    <row r="131" spans="1:9" x14ac:dyDescent="0.25">
      <c r="A131" t="s">
        <v>681</v>
      </c>
      <c r="B131" t="s">
        <v>677</v>
      </c>
      <c r="C131" t="s">
        <v>677</v>
      </c>
      <c r="D131" t="s">
        <v>682</v>
      </c>
      <c r="E131" t="s">
        <v>1951</v>
      </c>
      <c r="F131" t="s">
        <v>1949</v>
      </c>
      <c r="G131" t="s">
        <v>262</v>
      </c>
      <c r="H131" t="s">
        <v>570</v>
      </c>
      <c r="I131" s="48">
        <v>46161.589962650462</v>
      </c>
    </row>
    <row r="132" spans="1:9" x14ac:dyDescent="0.25">
      <c r="A132" t="s">
        <v>684</v>
      </c>
      <c r="B132" t="s">
        <v>685</v>
      </c>
      <c r="C132" t="s">
        <v>685</v>
      </c>
      <c r="D132" t="s">
        <v>686</v>
      </c>
      <c r="E132" t="s">
        <v>1951</v>
      </c>
      <c r="F132" t="s">
        <v>1949</v>
      </c>
      <c r="G132" t="s">
        <v>262</v>
      </c>
      <c r="H132" t="s">
        <v>570</v>
      </c>
      <c r="I132" s="48">
        <v>46161.589962650462</v>
      </c>
    </row>
    <row r="133" spans="1:9" x14ac:dyDescent="0.25">
      <c r="A133" t="s">
        <v>689</v>
      </c>
      <c r="B133" t="s">
        <v>690</v>
      </c>
      <c r="C133" t="s">
        <v>690</v>
      </c>
      <c r="D133" t="s">
        <v>691</v>
      </c>
      <c r="E133" t="s">
        <v>1951</v>
      </c>
      <c r="F133" t="s">
        <v>1949</v>
      </c>
      <c r="G133" t="s">
        <v>262</v>
      </c>
      <c r="H133" t="s">
        <v>570</v>
      </c>
      <c r="I133" s="48">
        <v>46161.589962650462</v>
      </c>
    </row>
    <row r="134" spans="1:9" x14ac:dyDescent="0.25">
      <c r="A134" t="s">
        <v>694</v>
      </c>
      <c r="B134" t="s">
        <v>695</v>
      </c>
      <c r="C134" t="s">
        <v>695</v>
      </c>
      <c r="D134" t="s">
        <v>696</v>
      </c>
      <c r="E134" t="s">
        <v>1951</v>
      </c>
      <c r="F134" t="s">
        <v>1949</v>
      </c>
      <c r="G134" t="s">
        <v>262</v>
      </c>
      <c r="H134" t="s">
        <v>570</v>
      </c>
      <c r="I134" s="48">
        <v>46161.589962650462</v>
      </c>
    </row>
    <row r="135" spans="1:9" x14ac:dyDescent="0.25">
      <c r="A135" t="s">
        <v>699</v>
      </c>
      <c r="B135" t="s">
        <v>695</v>
      </c>
      <c r="C135" t="s">
        <v>695</v>
      </c>
      <c r="D135" t="s">
        <v>700</v>
      </c>
      <c r="E135" t="s">
        <v>1951</v>
      </c>
      <c r="F135" t="s">
        <v>1949</v>
      </c>
      <c r="G135" t="s">
        <v>262</v>
      </c>
      <c r="H135" t="s">
        <v>570</v>
      </c>
      <c r="I135" s="48">
        <v>46161.589962650462</v>
      </c>
    </row>
    <row r="136" spans="1:9" x14ac:dyDescent="0.25">
      <c r="A136" t="s">
        <v>702</v>
      </c>
      <c r="B136" t="s">
        <v>703</v>
      </c>
      <c r="C136" t="s">
        <v>703</v>
      </c>
      <c r="D136" t="s">
        <v>704</v>
      </c>
      <c r="E136" t="s">
        <v>1951</v>
      </c>
      <c r="F136" t="s">
        <v>1949</v>
      </c>
      <c r="G136" t="s">
        <v>262</v>
      </c>
      <c r="H136" t="s">
        <v>570</v>
      </c>
      <c r="I136" s="48">
        <v>46161.589962650462</v>
      </c>
    </row>
    <row r="137" spans="1:9" x14ac:dyDescent="0.25">
      <c r="A137" t="s">
        <v>707</v>
      </c>
      <c r="B137" t="s">
        <v>708</v>
      </c>
      <c r="C137" t="s">
        <v>708</v>
      </c>
      <c r="D137" t="s">
        <v>709</v>
      </c>
      <c r="E137" t="s">
        <v>1951</v>
      </c>
      <c r="F137" t="s">
        <v>1949</v>
      </c>
      <c r="G137" t="s">
        <v>262</v>
      </c>
      <c r="H137" t="s">
        <v>570</v>
      </c>
      <c r="I137" s="48">
        <v>46161.589962650462</v>
      </c>
    </row>
    <row r="138" spans="1:9" x14ac:dyDescent="0.25">
      <c r="A138" t="s">
        <v>711</v>
      </c>
      <c r="B138" t="s">
        <v>712</v>
      </c>
      <c r="C138" t="s">
        <v>712</v>
      </c>
      <c r="D138" t="s">
        <v>713</v>
      </c>
      <c r="E138" t="s">
        <v>1951</v>
      </c>
      <c r="F138" t="s">
        <v>1949</v>
      </c>
      <c r="G138" t="s">
        <v>262</v>
      </c>
      <c r="H138" t="s">
        <v>570</v>
      </c>
      <c r="I138" s="48">
        <v>46161.589962650462</v>
      </c>
    </row>
    <row r="139" spans="1:9" x14ac:dyDescent="0.25">
      <c r="A139" t="s">
        <v>715</v>
      </c>
      <c r="B139" t="s">
        <v>712</v>
      </c>
      <c r="C139" t="s">
        <v>712</v>
      </c>
      <c r="D139" t="s">
        <v>716</v>
      </c>
      <c r="E139" t="s">
        <v>1951</v>
      </c>
      <c r="F139" t="s">
        <v>1949</v>
      </c>
      <c r="G139" t="s">
        <v>262</v>
      </c>
      <c r="H139" t="s">
        <v>570</v>
      </c>
      <c r="I139" s="48">
        <v>46161.589962662038</v>
      </c>
    </row>
    <row r="140" spans="1:9" x14ac:dyDescent="0.25">
      <c r="A140" t="s">
        <v>718</v>
      </c>
      <c r="B140" t="s">
        <v>719</v>
      </c>
      <c r="C140" t="s">
        <v>719</v>
      </c>
      <c r="D140" t="s">
        <v>720</v>
      </c>
      <c r="E140" t="s">
        <v>1951</v>
      </c>
      <c r="F140" t="s">
        <v>1949</v>
      </c>
      <c r="G140" t="s">
        <v>262</v>
      </c>
      <c r="H140" t="s">
        <v>570</v>
      </c>
      <c r="I140" s="48">
        <v>46161.589962662038</v>
      </c>
    </row>
    <row r="141" spans="1:9" x14ac:dyDescent="0.25">
      <c r="A141" t="s">
        <v>723</v>
      </c>
      <c r="B141" t="s">
        <v>719</v>
      </c>
      <c r="C141" t="s">
        <v>719</v>
      </c>
      <c r="D141" t="s">
        <v>724</v>
      </c>
      <c r="E141" t="s">
        <v>1951</v>
      </c>
      <c r="F141" t="s">
        <v>1949</v>
      </c>
      <c r="G141" t="s">
        <v>262</v>
      </c>
      <c r="H141" t="s">
        <v>570</v>
      </c>
      <c r="I141" s="48">
        <v>46161.589962662038</v>
      </c>
    </row>
    <row r="142" spans="1:9" x14ac:dyDescent="0.25">
      <c r="A142" t="s">
        <v>726</v>
      </c>
      <c r="B142" t="s">
        <v>727</v>
      </c>
      <c r="C142" t="s">
        <v>727</v>
      </c>
      <c r="D142" t="s">
        <v>728</v>
      </c>
      <c r="E142" t="s">
        <v>1952</v>
      </c>
      <c r="F142" t="s">
        <v>1953</v>
      </c>
      <c r="G142" t="s">
        <v>732</v>
      </c>
      <c r="H142" t="s">
        <v>730</v>
      </c>
      <c r="I142" s="48">
        <v>46161.589962662038</v>
      </c>
    </row>
    <row r="143" spans="1:9" x14ac:dyDescent="0.25">
      <c r="A143" t="s">
        <v>738</v>
      </c>
      <c r="B143" t="s">
        <v>727</v>
      </c>
      <c r="C143" t="s">
        <v>727</v>
      </c>
      <c r="D143" t="s">
        <v>739</v>
      </c>
      <c r="E143" t="s">
        <v>1952</v>
      </c>
      <c r="F143" t="s">
        <v>1953</v>
      </c>
      <c r="G143" t="s">
        <v>732</v>
      </c>
      <c r="H143" t="s">
        <v>730</v>
      </c>
      <c r="I143" s="48">
        <v>46161.589962662038</v>
      </c>
    </row>
    <row r="144" spans="1:9" x14ac:dyDescent="0.25">
      <c r="A144" t="s">
        <v>741</v>
      </c>
      <c r="B144" t="s">
        <v>742</v>
      </c>
      <c r="C144" t="s">
        <v>742</v>
      </c>
      <c r="D144" t="s">
        <v>743</v>
      </c>
      <c r="E144" t="s">
        <v>1952</v>
      </c>
      <c r="F144" t="s">
        <v>1953</v>
      </c>
      <c r="G144" t="s">
        <v>732</v>
      </c>
      <c r="H144" t="s">
        <v>730</v>
      </c>
      <c r="I144" s="48">
        <v>46161.589962662038</v>
      </c>
    </row>
    <row r="145" spans="1:9" x14ac:dyDescent="0.25">
      <c r="A145" t="s">
        <v>745</v>
      </c>
      <c r="B145" t="s">
        <v>746</v>
      </c>
      <c r="C145" t="s">
        <v>746</v>
      </c>
      <c r="D145" t="s">
        <v>747</v>
      </c>
      <c r="E145" t="s">
        <v>1952</v>
      </c>
      <c r="F145" t="s">
        <v>1953</v>
      </c>
      <c r="G145" t="s">
        <v>732</v>
      </c>
      <c r="H145" t="s">
        <v>730</v>
      </c>
      <c r="I145" s="48">
        <v>46161.589962662038</v>
      </c>
    </row>
    <row r="146" spans="1:9" x14ac:dyDescent="0.25">
      <c r="A146" t="s">
        <v>749</v>
      </c>
      <c r="B146" t="s">
        <v>750</v>
      </c>
      <c r="C146" t="s">
        <v>750</v>
      </c>
      <c r="D146" t="s">
        <v>751</v>
      </c>
      <c r="E146" t="s">
        <v>1952</v>
      </c>
      <c r="F146" t="s">
        <v>1953</v>
      </c>
      <c r="G146" t="s">
        <v>732</v>
      </c>
      <c r="H146" t="s">
        <v>730</v>
      </c>
      <c r="I146" s="48">
        <v>46161.589962662038</v>
      </c>
    </row>
    <row r="147" spans="1:9" x14ac:dyDescent="0.25">
      <c r="A147" t="s">
        <v>753</v>
      </c>
      <c r="B147" t="s">
        <v>754</v>
      </c>
      <c r="C147" t="s">
        <v>754</v>
      </c>
      <c r="D147" t="s">
        <v>755</v>
      </c>
      <c r="E147" t="s">
        <v>1952</v>
      </c>
      <c r="F147" t="s">
        <v>1953</v>
      </c>
      <c r="G147" t="s">
        <v>732</v>
      </c>
      <c r="H147" t="s">
        <v>730</v>
      </c>
      <c r="I147" s="48">
        <v>46161.589962662038</v>
      </c>
    </row>
    <row r="148" spans="1:9" x14ac:dyDescent="0.25">
      <c r="A148" t="s">
        <v>757</v>
      </c>
      <c r="B148" t="s">
        <v>758</v>
      </c>
      <c r="C148" t="s">
        <v>758</v>
      </c>
      <c r="D148" t="s">
        <v>759</v>
      </c>
      <c r="E148" t="s">
        <v>1952</v>
      </c>
      <c r="F148" t="s">
        <v>1953</v>
      </c>
      <c r="G148" t="s">
        <v>732</v>
      </c>
      <c r="H148" t="s">
        <v>730</v>
      </c>
      <c r="I148" s="48">
        <v>46161.589962662038</v>
      </c>
    </row>
    <row r="149" spans="1:9" x14ac:dyDescent="0.25">
      <c r="A149" t="s">
        <v>761</v>
      </c>
      <c r="B149" t="s">
        <v>762</v>
      </c>
      <c r="C149" t="s">
        <v>762</v>
      </c>
      <c r="D149" t="s">
        <v>763</v>
      </c>
      <c r="E149" t="s">
        <v>1952</v>
      </c>
      <c r="F149" t="s">
        <v>1953</v>
      </c>
      <c r="G149" t="s">
        <v>732</v>
      </c>
      <c r="H149" t="s">
        <v>730</v>
      </c>
      <c r="I149" s="48">
        <v>46161.589962662038</v>
      </c>
    </row>
    <row r="150" spans="1:9" x14ac:dyDescent="0.25">
      <c r="A150" t="s">
        <v>765</v>
      </c>
      <c r="B150" t="s">
        <v>766</v>
      </c>
      <c r="C150" t="s">
        <v>766</v>
      </c>
      <c r="D150" t="s">
        <v>767</v>
      </c>
      <c r="E150" t="s">
        <v>1952</v>
      </c>
      <c r="F150" t="s">
        <v>1953</v>
      </c>
      <c r="G150" t="s">
        <v>732</v>
      </c>
      <c r="H150" t="s">
        <v>730</v>
      </c>
      <c r="I150" s="48">
        <v>46161.589962662038</v>
      </c>
    </row>
    <row r="151" spans="1:9" x14ac:dyDescent="0.25">
      <c r="A151" t="s">
        <v>769</v>
      </c>
      <c r="B151" t="s">
        <v>770</v>
      </c>
      <c r="C151" t="s">
        <v>770</v>
      </c>
      <c r="D151" t="s">
        <v>771</v>
      </c>
      <c r="E151" t="s">
        <v>1952</v>
      </c>
      <c r="F151" t="s">
        <v>1953</v>
      </c>
      <c r="G151" t="s">
        <v>732</v>
      </c>
      <c r="H151" t="s">
        <v>730</v>
      </c>
      <c r="I151" s="48">
        <v>46161.589962662038</v>
      </c>
    </row>
    <row r="152" spans="1:9" x14ac:dyDescent="0.25">
      <c r="A152" t="s">
        <v>773</v>
      </c>
      <c r="B152" t="s">
        <v>774</v>
      </c>
      <c r="C152" t="s">
        <v>774</v>
      </c>
      <c r="D152" t="s">
        <v>775</v>
      </c>
      <c r="E152" t="s">
        <v>1952</v>
      </c>
      <c r="F152" t="s">
        <v>1953</v>
      </c>
      <c r="G152" t="s">
        <v>732</v>
      </c>
      <c r="H152" t="s">
        <v>730</v>
      </c>
      <c r="I152" s="48">
        <v>46161.589962662038</v>
      </c>
    </row>
    <row r="153" spans="1:9" x14ac:dyDescent="0.25">
      <c r="A153" t="s">
        <v>777</v>
      </c>
      <c r="B153" t="s">
        <v>778</v>
      </c>
      <c r="C153" t="s">
        <v>778</v>
      </c>
      <c r="D153" t="s">
        <v>779</v>
      </c>
      <c r="E153" t="s">
        <v>1952</v>
      </c>
      <c r="F153" t="s">
        <v>1953</v>
      </c>
      <c r="G153" t="s">
        <v>732</v>
      </c>
      <c r="H153" t="s">
        <v>730</v>
      </c>
      <c r="I153" s="48">
        <v>46161.589962662038</v>
      </c>
    </row>
    <row r="154" spans="1:9" x14ac:dyDescent="0.25">
      <c r="A154" t="s">
        <v>781</v>
      </c>
      <c r="B154" t="s">
        <v>782</v>
      </c>
      <c r="C154" t="s">
        <v>782</v>
      </c>
      <c r="D154" t="s">
        <v>783</v>
      </c>
      <c r="E154" t="s">
        <v>1952</v>
      </c>
      <c r="F154" t="s">
        <v>1953</v>
      </c>
      <c r="G154" t="s">
        <v>732</v>
      </c>
      <c r="H154" t="s">
        <v>730</v>
      </c>
      <c r="I154" s="48">
        <v>46161.589962662038</v>
      </c>
    </row>
    <row r="155" spans="1:9" x14ac:dyDescent="0.25">
      <c r="A155" t="s">
        <v>785</v>
      </c>
      <c r="B155" t="s">
        <v>786</v>
      </c>
      <c r="C155" t="s">
        <v>786</v>
      </c>
      <c r="D155" t="s">
        <v>787</v>
      </c>
      <c r="E155" t="s">
        <v>1952</v>
      </c>
      <c r="F155" t="s">
        <v>1953</v>
      </c>
      <c r="G155" t="s">
        <v>732</v>
      </c>
      <c r="H155" t="s">
        <v>730</v>
      </c>
      <c r="I155" s="48">
        <v>46161.589962662038</v>
      </c>
    </row>
    <row r="156" spans="1:9" x14ac:dyDescent="0.25">
      <c r="A156" t="s">
        <v>789</v>
      </c>
      <c r="D156" t="s">
        <v>791</v>
      </c>
      <c r="E156" t="s">
        <v>1952</v>
      </c>
      <c r="F156" t="s">
        <v>1953</v>
      </c>
      <c r="G156" t="s">
        <v>732</v>
      </c>
      <c r="H156" t="s">
        <v>730</v>
      </c>
      <c r="I156" s="48">
        <v>46161.589962662038</v>
      </c>
    </row>
    <row r="157" spans="1:9" x14ac:dyDescent="0.25">
      <c r="A157" t="s">
        <v>793</v>
      </c>
      <c r="D157" t="s">
        <v>794</v>
      </c>
      <c r="E157" t="s">
        <v>1952</v>
      </c>
      <c r="F157" t="s">
        <v>1953</v>
      </c>
      <c r="G157" t="s">
        <v>732</v>
      </c>
      <c r="H157" t="s">
        <v>730</v>
      </c>
      <c r="I157" s="48">
        <v>46161.589962662038</v>
      </c>
    </row>
    <row r="158" spans="1:9" x14ac:dyDescent="0.25">
      <c r="A158" t="s">
        <v>796</v>
      </c>
      <c r="D158" t="s">
        <v>797</v>
      </c>
      <c r="E158" t="s">
        <v>1952</v>
      </c>
      <c r="F158" t="s">
        <v>1953</v>
      </c>
      <c r="G158" t="s">
        <v>732</v>
      </c>
      <c r="H158" t="s">
        <v>730</v>
      </c>
      <c r="I158" s="48">
        <v>46161.589962673614</v>
      </c>
    </row>
    <row r="159" spans="1:9" x14ac:dyDescent="0.25">
      <c r="A159" t="s">
        <v>799</v>
      </c>
      <c r="D159" t="s">
        <v>800</v>
      </c>
      <c r="E159" t="s">
        <v>1952</v>
      </c>
      <c r="F159" t="s">
        <v>1953</v>
      </c>
      <c r="G159" t="s">
        <v>732</v>
      </c>
      <c r="H159" t="s">
        <v>730</v>
      </c>
      <c r="I159" s="48">
        <v>46161.589962673614</v>
      </c>
    </row>
    <row r="160" spans="1:9" x14ac:dyDescent="0.25">
      <c r="A160" t="s">
        <v>802</v>
      </c>
      <c r="D160" t="s">
        <v>803</v>
      </c>
      <c r="E160" t="s">
        <v>1952</v>
      </c>
      <c r="F160" t="s">
        <v>1953</v>
      </c>
      <c r="G160" t="s">
        <v>732</v>
      </c>
      <c r="H160" t="s">
        <v>730</v>
      </c>
      <c r="I160" s="48">
        <v>46161.589962673614</v>
      </c>
    </row>
    <row r="161" spans="1:9" x14ac:dyDescent="0.25">
      <c r="A161" t="s">
        <v>805</v>
      </c>
      <c r="D161" t="s">
        <v>806</v>
      </c>
      <c r="E161" t="s">
        <v>1952</v>
      </c>
      <c r="F161" t="s">
        <v>1953</v>
      </c>
      <c r="G161" t="s">
        <v>732</v>
      </c>
      <c r="H161" t="s">
        <v>730</v>
      </c>
      <c r="I161" s="48">
        <v>46161.589962673614</v>
      </c>
    </row>
    <row r="162" spans="1:9" x14ac:dyDescent="0.25">
      <c r="A162" t="s">
        <v>808</v>
      </c>
      <c r="D162" t="s">
        <v>809</v>
      </c>
      <c r="E162" t="s">
        <v>1952</v>
      </c>
      <c r="F162" t="s">
        <v>1953</v>
      </c>
      <c r="G162" t="s">
        <v>732</v>
      </c>
      <c r="H162" t="s">
        <v>730</v>
      </c>
      <c r="I162" s="48">
        <v>46161.589962673614</v>
      </c>
    </row>
    <row r="163" spans="1:9" x14ac:dyDescent="0.25">
      <c r="A163" t="s">
        <v>811</v>
      </c>
      <c r="D163" t="s">
        <v>812</v>
      </c>
      <c r="E163" t="s">
        <v>1952</v>
      </c>
      <c r="F163" t="s">
        <v>1953</v>
      </c>
      <c r="G163" t="s">
        <v>732</v>
      </c>
      <c r="H163" t="s">
        <v>730</v>
      </c>
      <c r="I163" s="48">
        <v>46161.589962673614</v>
      </c>
    </row>
    <row r="164" spans="1:9" x14ac:dyDescent="0.25">
      <c r="A164" t="s">
        <v>814</v>
      </c>
      <c r="D164" t="s">
        <v>815</v>
      </c>
      <c r="E164" t="s">
        <v>1952</v>
      </c>
      <c r="F164" t="s">
        <v>1953</v>
      </c>
      <c r="G164" t="s">
        <v>732</v>
      </c>
      <c r="H164" t="s">
        <v>730</v>
      </c>
      <c r="I164" s="48">
        <v>46161.589962673614</v>
      </c>
    </row>
    <row r="165" spans="1:9" x14ac:dyDescent="0.25">
      <c r="A165" t="s">
        <v>817</v>
      </c>
      <c r="D165" t="s">
        <v>818</v>
      </c>
      <c r="E165" t="s">
        <v>1952</v>
      </c>
      <c r="F165" t="s">
        <v>1953</v>
      </c>
      <c r="G165" t="s">
        <v>732</v>
      </c>
      <c r="H165" t="s">
        <v>730</v>
      </c>
      <c r="I165" s="48">
        <v>46161.589962673614</v>
      </c>
    </row>
    <row r="166" spans="1:9" x14ac:dyDescent="0.25">
      <c r="A166" t="s">
        <v>820</v>
      </c>
      <c r="D166" t="s">
        <v>821</v>
      </c>
      <c r="E166" t="s">
        <v>1952</v>
      </c>
      <c r="F166" t="s">
        <v>1953</v>
      </c>
      <c r="G166" t="s">
        <v>732</v>
      </c>
      <c r="H166" t="s">
        <v>730</v>
      </c>
      <c r="I166" s="48">
        <v>46161.589962673614</v>
      </c>
    </row>
    <row r="167" spans="1:9" x14ac:dyDescent="0.25">
      <c r="A167" t="s">
        <v>823</v>
      </c>
      <c r="B167" t="s">
        <v>824</v>
      </c>
      <c r="C167" t="s">
        <v>824</v>
      </c>
      <c r="D167" t="s">
        <v>825</v>
      </c>
      <c r="E167" t="s">
        <v>1952</v>
      </c>
      <c r="F167" t="s">
        <v>1953</v>
      </c>
      <c r="G167" t="s">
        <v>732</v>
      </c>
      <c r="H167" t="s">
        <v>730</v>
      </c>
      <c r="I167" s="48">
        <v>46161.589962673614</v>
      </c>
    </row>
    <row r="168" spans="1:9" x14ac:dyDescent="0.25">
      <c r="A168" t="s">
        <v>827</v>
      </c>
      <c r="D168" t="s">
        <v>828</v>
      </c>
      <c r="E168" t="s">
        <v>1952</v>
      </c>
      <c r="F168" t="s">
        <v>1953</v>
      </c>
      <c r="G168" t="s">
        <v>732</v>
      </c>
      <c r="H168" t="s">
        <v>730</v>
      </c>
      <c r="I168" s="48">
        <v>46161.589962673614</v>
      </c>
    </row>
    <row r="169" spans="1:9" x14ac:dyDescent="0.25">
      <c r="A169" t="s">
        <v>830</v>
      </c>
      <c r="D169" t="s">
        <v>831</v>
      </c>
      <c r="E169" t="s">
        <v>1952</v>
      </c>
      <c r="F169" t="s">
        <v>1953</v>
      </c>
      <c r="G169" t="s">
        <v>732</v>
      </c>
      <c r="H169" t="s">
        <v>730</v>
      </c>
      <c r="I169" s="48">
        <v>46161.589962673614</v>
      </c>
    </row>
    <row r="170" spans="1:9" x14ac:dyDescent="0.25">
      <c r="A170" t="s">
        <v>833</v>
      </c>
      <c r="D170" t="s">
        <v>834</v>
      </c>
      <c r="E170" t="s">
        <v>1952</v>
      </c>
      <c r="F170" t="s">
        <v>1953</v>
      </c>
      <c r="G170" t="s">
        <v>732</v>
      </c>
      <c r="H170" t="s">
        <v>730</v>
      </c>
      <c r="I170" s="48">
        <v>46161.589962673614</v>
      </c>
    </row>
    <row r="171" spans="1:9" x14ac:dyDescent="0.25">
      <c r="A171" t="s">
        <v>836</v>
      </c>
      <c r="D171" t="s">
        <v>837</v>
      </c>
      <c r="E171" t="s">
        <v>1952</v>
      </c>
      <c r="F171" t="s">
        <v>1953</v>
      </c>
      <c r="G171" t="s">
        <v>732</v>
      </c>
      <c r="H171" t="s">
        <v>730</v>
      </c>
      <c r="I171" s="48">
        <v>46161.589962673614</v>
      </c>
    </row>
    <row r="172" spans="1:9" x14ac:dyDescent="0.25">
      <c r="A172" t="s">
        <v>839</v>
      </c>
      <c r="D172" t="s">
        <v>840</v>
      </c>
      <c r="E172" t="s">
        <v>1952</v>
      </c>
      <c r="F172" t="s">
        <v>1953</v>
      </c>
      <c r="G172" t="s">
        <v>732</v>
      </c>
      <c r="H172" t="s">
        <v>730</v>
      </c>
      <c r="I172" s="48">
        <v>46161.589962673614</v>
      </c>
    </row>
    <row r="173" spans="1:9" x14ac:dyDescent="0.25">
      <c r="A173" t="s">
        <v>842</v>
      </c>
      <c r="D173" t="s">
        <v>843</v>
      </c>
      <c r="E173" t="s">
        <v>1952</v>
      </c>
      <c r="F173" t="s">
        <v>1953</v>
      </c>
      <c r="G173" t="s">
        <v>732</v>
      </c>
      <c r="H173" t="s">
        <v>730</v>
      </c>
      <c r="I173" s="48">
        <v>46161.589962673614</v>
      </c>
    </row>
    <row r="174" spans="1:9" x14ac:dyDescent="0.25">
      <c r="A174" t="s">
        <v>845</v>
      </c>
      <c r="D174" t="s">
        <v>846</v>
      </c>
      <c r="E174" t="s">
        <v>1952</v>
      </c>
      <c r="F174" t="s">
        <v>1953</v>
      </c>
      <c r="G174" t="s">
        <v>732</v>
      </c>
      <c r="H174" t="s">
        <v>730</v>
      </c>
      <c r="I174" s="48">
        <v>46161.589962673614</v>
      </c>
    </row>
    <row r="175" spans="1:9" x14ac:dyDescent="0.25">
      <c r="A175" t="s">
        <v>848</v>
      </c>
      <c r="D175" t="s">
        <v>849</v>
      </c>
      <c r="E175" t="s">
        <v>1952</v>
      </c>
      <c r="F175" t="s">
        <v>1953</v>
      </c>
      <c r="G175" t="s">
        <v>732</v>
      </c>
      <c r="H175" t="s">
        <v>730</v>
      </c>
      <c r="I175" s="48">
        <v>46161.589962673614</v>
      </c>
    </row>
    <row r="176" spans="1:9" x14ac:dyDescent="0.25">
      <c r="A176" t="s">
        <v>851</v>
      </c>
      <c r="D176" t="s">
        <v>852</v>
      </c>
      <c r="E176" t="s">
        <v>1952</v>
      </c>
      <c r="F176" t="s">
        <v>1953</v>
      </c>
      <c r="G176" t="s">
        <v>732</v>
      </c>
      <c r="H176" t="s">
        <v>730</v>
      </c>
      <c r="I176" s="48">
        <v>46161.589962673614</v>
      </c>
    </row>
    <row r="177" spans="1:9" x14ac:dyDescent="0.25">
      <c r="A177" t="s">
        <v>854</v>
      </c>
      <c r="D177" t="s">
        <v>855</v>
      </c>
      <c r="E177" t="s">
        <v>1952</v>
      </c>
      <c r="F177" t="s">
        <v>1953</v>
      </c>
      <c r="G177" t="s">
        <v>732</v>
      </c>
      <c r="H177" t="s">
        <v>730</v>
      </c>
      <c r="I177" s="48">
        <v>46161.589962673614</v>
      </c>
    </row>
    <row r="178" spans="1:9" x14ac:dyDescent="0.25">
      <c r="A178" t="s">
        <v>857</v>
      </c>
      <c r="D178" t="s">
        <v>858</v>
      </c>
      <c r="E178" t="s">
        <v>1952</v>
      </c>
      <c r="F178" t="s">
        <v>1953</v>
      </c>
      <c r="G178" t="s">
        <v>732</v>
      </c>
      <c r="H178" t="s">
        <v>730</v>
      </c>
      <c r="I178" s="48">
        <v>46161.589962673614</v>
      </c>
    </row>
    <row r="179" spans="1:9" x14ac:dyDescent="0.25">
      <c r="A179" t="s">
        <v>860</v>
      </c>
      <c r="D179" t="s">
        <v>861</v>
      </c>
      <c r="E179" t="s">
        <v>1952</v>
      </c>
      <c r="F179" t="s">
        <v>1953</v>
      </c>
      <c r="G179" t="s">
        <v>732</v>
      </c>
      <c r="H179" t="s">
        <v>730</v>
      </c>
      <c r="I179" s="48">
        <v>46161.589962673614</v>
      </c>
    </row>
    <row r="180" spans="1:9" x14ac:dyDescent="0.25">
      <c r="A180" t="s">
        <v>863</v>
      </c>
      <c r="D180" t="s">
        <v>864</v>
      </c>
      <c r="E180" t="s">
        <v>1952</v>
      </c>
      <c r="F180" t="s">
        <v>1953</v>
      </c>
      <c r="G180" t="s">
        <v>732</v>
      </c>
      <c r="H180" t="s">
        <v>730</v>
      </c>
      <c r="I180" s="48">
        <v>46161.589962673614</v>
      </c>
    </row>
    <row r="181" spans="1:9" x14ac:dyDescent="0.25">
      <c r="A181" t="s">
        <v>866</v>
      </c>
      <c r="D181" t="s">
        <v>867</v>
      </c>
      <c r="E181" t="s">
        <v>1952</v>
      </c>
      <c r="F181" t="s">
        <v>1953</v>
      </c>
      <c r="G181" t="s">
        <v>732</v>
      </c>
      <c r="H181" t="s">
        <v>730</v>
      </c>
      <c r="I181" s="48">
        <v>46161.589962673614</v>
      </c>
    </row>
    <row r="182" spans="1:9" x14ac:dyDescent="0.25">
      <c r="A182" t="s">
        <v>869</v>
      </c>
      <c r="D182" t="s">
        <v>870</v>
      </c>
      <c r="E182" t="s">
        <v>1952</v>
      </c>
      <c r="F182" t="s">
        <v>1953</v>
      </c>
      <c r="G182" t="s">
        <v>732</v>
      </c>
      <c r="H182" t="s">
        <v>730</v>
      </c>
      <c r="I182" s="48">
        <v>46161.589962673614</v>
      </c>
    </row>
    <row r="183" spans="1:9" x14ac:dyDescent="0.25">
      <c r="A183" t="s">
        <v>872</v>
      </c>
      <c r="D183" t="s">
        <v>873</v>
      </c>
      <c r="E183" t="s">
        <v>1952</v>
      </c>
      <c r="F183" t="s">
        <v>1953</v>
      </c>
      <c r="G183" t="s">
        <v>732</v>
      </c>
      <c r="H183" t="s">
        <v>730</v>
      </c>
      <c r="I183" s="48">
        <v>46161.589962673614</v>
      </c>
    </row>
    <row r="184" spans="1:9" x14ac:dyDescent="0.25">
      <c r="A184" t="s">
        <v>875</v>
      </c>
      <c r="D184" t="s">
        <v>876</v>
      </c>
      <c r="E184" t="s">
        <v>1952</v>
      </c>
      <c r="F184" t="s">
        <v>1953</v>
      </c>
      <c r="G184" t="s">
        <v>732</v>
      </c>
      <c r="H184" t="s">
        <v>730</v>
      </c>
      <c r="I184" s="48">
        <v>46161.589962673614</v>
      </c>
    </row>
    <row r="185" spans="1:9" x14ac:dyDescent="0.25">
      <c r="A185" t="s">
        <v>878</v>
      </c>
      <c r="D185" t="s">
        <v>879</v>
      </c>
      <c r="E185" t="s">
        <v>1952</v>
      </c>
      <c r="F185" t="s">
        <v>1953</v>
      </c>
      <c r="G185" t="s">
        <v>732</v>
      </c>
      <c r="H185" t="s">
        <v>730</v>
      </c>
      <c r="I185" s="48">
        <v>46161.589962673614</v>
      </c>
    </row>
    <row r="186" spans="1:9" x14ac:dyDescent="0.25">
      <c r="A186" t="s">
        <v>881</v>
      </c>
      <c r="D186" t="s">
        <v>882</v>
      </c>
      <c r="E186" t="s">
        <v>1952</v>
      </c>
      <c r="F186" t="s">
        <v>1953</v>
      </c>
      <c r="G186" t="s">
        <v>732</v>
      </c>
      <c r="H186" t="s">
        <v>730</v>
      </c>
      <c r="I186" s="48">
        <v>46161.589962685182</v>
      </c>
    </row>
    <row r="187" spans="1:9" x14ac:dyDescent="0.25">
      <c r="A187" t="s">
        <v>884</v>
      </c>
      <c r="B187" t="s">
        <v>885</v>
      </c>
      <c r="C187" t="s">
        <v>885</v>
      </c>
      <c r="D187" t="s">
        <v>886</v>
      </c>
      <c r="E187" t="s">
        <v>1952</v>
      </c>
      <c r="F187" t="s">
        <v>1953</v>
      </c>
      <c r="G187" t="s">
        <v>732</v>
      </c>
      <c r="H187" t="s">
        <v>730</v>
      </c>
      <c r="I187" s="48">
        <v>46161.589962685182</v>
      </c>
    </row>
    <row r="188" spans="1:9" x14ac:dyDescent="0.25">
      <c r="A188" t="s">
        <v>888</v>
      </c>
      <c r="D188" t="s">
        <v>889</v>
      </c>
      <c r="E188" t="s">
        <v>1952</v>
      </c>
      <c r="F188" t="s">
        <v>1953</v>
      </c>
      <c r="G188" t="s">
        <v>732</v>
      </c>
      <c r="H188" t="s">
        <v>730</v>
      </c>
      <c r="I188" s="48">
        <v>46161.589962685182</v>
      </c>
    </row>
    <row r="189" spans="1:9" x14ac:dyDescent="0.25">
      <c r="A189" t="s">
        <v>891</v>
      </c>
      <c r="D189" t="s">
        <v>892</v>
      </c>
      <c r="E189" t="s">
        <v>1952</v>
      </c>
      <c r="F189" t="s">
        <v>1953</v>
      </c>
      <c r="G189" t="s">
        <v>732</v>
      </c>
      <c r="H189" t="s">
        <v>730</v>
      </c>
      <c r="I189" s="48">
        <v>46161.589962685182</v>
      </c>
    </row>
    <row r="190" spans="1:9" x14ac:dyDescent="0.25">
      <c r="A190" t="s">
        <v>894</v>
      </c>
      <c r="D190" t="s">
        <v>895</v>
      </c>
      <c r="E190" t="s">
        <v>1952</v>
      </c>
      <c r="F190" t="s">
        <v>1953</v>
      </c>
      <c r="G190" t="s">
        <v>732</v>
      </c>
      <c r="H190" t="s">
        <v>730</v>
      </c>
      <c r="I190" s="48">
        <v>46161.589962685182</v>
      </c>
    </row>
    <row r="191" spans="1:9" x14ac:dyDescent="0.25">
      <c r="A191" t="s">
        <v>897</v>
      </c>
      <c r="D191" t="s">
        <v>898</v>
      </c>
      <c r="E191" t="s">
        <v>1952</v>
      </c>
      <c r="F191" t="s">
        <v>1953</v>
      </c>
      <c r="G191" t="s">
        <v>732</v>
      </c>
      <c r="H191" t="s">
        <v>730</v>
      </c>
      <c r="I191" s="48">
        <v>46161.589962685182</v>
      </c>
    </row>
    <row r="192" spans="1:9" x14ac:dyDescent="0.25">
      <c r="A192" t="s">
        <v>900</v>
      </c>
      <c r="D192" t="s">
        <v>901</v>
      </c>
      <c r="E192" t="s">
        <v>1952</v>
      </c>
      <c r="F192" t="s">
        <v>1953</v>
      </c>
      <c r="G192" t="s">
        <v>732</v>
      </c>
      <c r="H192" t="s">
        <v>730</v>
      </c>
      <c r="I192" s="48">
        <v>46161.589962685182</v>
      </c>
    </row>
    <row r="193" spans="1:9" x14ac:dyDescent="0.25">
      <c r="A193" t="s">
        <v>903</v>
      </c>
      <c r="D193" t="s">
        <v>904</v>
      </c>
      <c r="E193" t="s">
        <v>1952</v>
      </c>
      <c r="F193" t="s">
        <v>1953</v>
      </c>
      <c r="G193" t="s">
        <v>732</v>
      </c>
      <c r="H193" t="s">
        <v>730</v>
      </c>
      <c r="I193" s="48">
        <v>46161.589962685182</v>
      </c>
    </row>
    <row r="194" spans="1:9" x14ac:dyDescent="0.25">
      <c r="A194" t="s">
        <v>906</v>
      </c>
      <c r="D194" t="s">
        <v>907</v>
      </c>
      <c r="E194" t="s">
        <v>1952</v>
      </c>
      <c r="F194" t="s">
        <v>1953</v>
      </c>
      <c r="G194" t="s">
        <v>732</v>
      </c>
      <c r="H194" t="s">
        <v>730</v>
      </c>
      <c r="I194" s="48">
        <v>46161.589962685182</v>
      </c>
    </row>
    <row r="195" spans="1:9" x14ac:dyDescent="0.25">
      <c r="A195" t="s">
        <v>909</v>
      </c>
      <c r="D195" t="s">
        <v>910</v>
      </c>
      <c r="E195" t="s">
        <v>1952</v>
      </c>
      <c r="F195" t="s">
        <v>1953</v>
      </c>
      <c r="G195" t="s">
        <v>732</v>
      </c>
      <c r="H195" t="s">
        <v>730</v>
      </c>
      <c r="I195" s="48">
        <v>46161.589962685182</v>
      </c>
    </row>
    <row r="196" spans="1:9" x14ac:dyDescent="0.25">
      <c r="A196" t="s">
        <v>912</v>
      </c>
      <c r="D196" t="s">
        <v>913</v>
      </c>
      <c r="E196" t="s">
        <v>1952</v>
      </c>
      <c r="F196" t="s">
        <v>1953</v>
      </c>
      <c r="G196" t="s">
        <v>732</v>
      </c>
      <c r="H196" t="s">
        <v>730</v>
      </c>
      <c r="I196" s="48">
        <v>46161.589962685182</v>
      </c>
    </row>
    <row r="197" spans="1:9" x14ac:dyDescent="0.25">
      <c r="A197" t="s">
        <v>915</v>
      </c>
      <c r="D197" t="s">
        <v>916</v>
      </c>
      <c r="E197" t="s">
        <v>1952</v>
      </c>
      <c r="F197" t="s">
        <v>1953</v>
      </c>
      <c r="G197" t="s">
        <v>732</v>
      </c>
      <c r="H197" t="s">
        <v>730</v>
      </c>
      <c r="I197" s="48">
        <v>46161.589962685182</v>
      </c>
    </row>
    <row r="198" spans="1:9" x14ac:dyDescent="0.25">
      <c r="A198" t="s">
        <v>918</v>
      </c>
      <c r="D198" t="s">
        <v>919</v>
      </c>
      <c r="E198" t="s">
        <v>1952</v>
      </c>
      <c r="F198" t="s">
        <v>1953</v>
      </c>
      <c r="G198" t="s">
        <v>732</v>
      </c>
      <c r="H198" t="s">
        <v>730</v>
      </c>
      <c r="I198" s="48">
        <v>46161.589962685182</v>
      </c>
    </row>
    <row r="199" spans="1:9" x14ac:dyDescent="0.25">
      <c r="A199" t="s">
        <v>921</v>
      </c>
      <c r="D199" t="s">
        <v>922</v>
      </c>
      <c r="E199" t="s">
        <v>1952</v>
      </c>
      <c r="F199" t="s">
        <v>1953</v>
      </c>
      <c r="G199" t="s">
        <v>732</v>
      </c>
      <c r="H199" t="s">
        <v>730</v>
      </c>
      <c r="I199" s="48">
        <v>46161.589962685182</v>
      </c>
    </row>
    <row r="200" spans="1:9" x14ac:dyDescent="0.25">
      <c r="A200" t="s">
        <v>924</v>
      </c>
      <c r="D200" t="s">
        <v>925</v>
      </c>
      <c r="E200" t="s">
        <v>1952</v>
      </c>
      <c r="F200" t="s">
        <v>1953</v>
      </c>
      <c r="G200" t="s">
        <v>732</v>
      </c>
      <c r="H200" t="s">
        <v>730</v>
      </c>
      <c r="I200" s="48">
        <v>46161.589962685182</v>
      </c>
    </row>
    <row r="201" spans="1:9" x14ac:dyDescent="0.25">
      <c r="A201" t="s">
        <v>927</v>
      </c>
      <c r="D201" t="s">
        <v>928</v>
      </c>
      <c r="E201" t="s">
        <v>1952</v>
      </c>
      <c r="F201" t="s">
        <v>1953</v>
      </c>
      <c r="G201" t="s">
        <v>732</v>
      </c>
      <c r="H201" t="s">
        <v>730</v>
      </c>
      <c r="I201" s="48">
        <v>46161.589962685182</v>
      </c>
    </row>
    <row r="202" spans="1:9" x14ac:dyDescent="0.25">
      <c r="A202" t="s">
        <v>930</v>
      </c>
      <c r="D202" t="s">
        <v>931</v>
      </c>
      <c r="E202" t="s">
        <v>1952</v>
      </c>
      <c r="F202" t="s">
        <v>1953</v>
      </c>
      <c r="G202" t="s">
        <v>732</v>
      </c>
      <c r="H202" t="s">
        <v>730</v>
      </c>
      <c r="I202" s="48">
        <v>46161.589962685182</v>
      </c>
    </row>
    <row r="203" spans="1:9" x14ac:dyDescent="0.25">
      <c r="A203" t="s">
        <v>933</v>
      </c>
      <c r="D203" t="s">
        <v>934</v>
      </c>
      <c r="E203" t="s">
        <v>1952</v>
      </c>
      <c r="F203" t="s">
        <v>1953</v>
      </c>
      <c r="G203" t="s">
        <v>732</v>
      </c>
      <c r="H203" t="s">
        <v>730</v>
      </c>
      <c r="I203" s="48">
        <v>46161.589962685182</v>
      </c>
    </row>
    <row r="204" spans="1:9" x14ac:dyDescent="0.25">
      <c r="A204" t="s">
        <v>936</v>
      </c>
      <c r="D204" t="s">
        <v>937</v>
      </c>
      <c r="E204" t="s">
        <v>1952</v>
      </c>
      <c r="F204" t="s">
        <v>1953</v>
      </c>
      <c r="G204" t="s">
        <v>732</v>
      </c>
      <c r="H204" t="s">
        <v>730</v>
      </c>
      <c r="I204" s="48">
        <v>46161.589962685182</v>
      </c>
    </row>
    <row r="205" spans="1:9" x14ac:dyDescent="0.25">
      <c r="A205" t="s">
        <v>939</v>
      </c>
      <c r="D205" t="s">
        <v>940</v>
      </c>
      <c r="E205" t="s">
        <v>1952</v>
      </c>
      <c r="F205" t="s">
        <v>1953</v>
      </c>
      <c r="G205" t="s">
        <v>732</v>
      </c>
      <c r="H205" t="s">
        <v>730</v>
      </c>
      <c r="I205" s="48">
        <v>46161.589962685182</v>
      </c>
    </row>
    <row r="206" spans="1:9" x14ac:dyDescent="0.25">
      <c r="A206" t="s">
        <v>942</v>
      </c>
      <c r="D206" t="s">
        <v>943</v>
      </c>
      <c r="E206" t="s">
        <v>1952</v>
      </c>
      <c r="F206" t="s">
        <v>1953</v>
      </c>
      <c r="G206" t="s">
        <v>732</v>
      </c>
      <c r="H206" t="s">
        <v>730</v>
      </c>
      <c r="I206" s="48">
        <v>46161.589962685182</v>
      </c>
    </row>
    <row r="207" spans="1:9" x14ac:dyDescent="0.25">
      <c r="A207" t="s">
        <v>945</v>
      </c>
      <c r="D207" t="s">
        <v>946</v>
      </c>
      <c r="E207" t="s">
        <v>1952</v>
      </c>
      <c r="F207" t="s">
        <v>1953</v>
      </c>
      <c r="G207" t="s">
        <v>732</v>
      </c>
      <c r="H207" t="s">
        <v>730</v>
      </c>
      <c r="I207" s="48">
        <v>46161.589962685182</v>
      </c>
    </row>
    <row r="208" spans="1:9" x14ac:dyDescent="0.25">
      <c r="A208" t="s">
        <v>948</v>
      </c>
      <c r="D208" t="s">
        <v>949</v>
      </c>
      <c r="E208" t="s">
        <v>1952</v>
      </c>
      <c r="F208" t="s">
        <v>1953</v>
      </c>
      <c r="G208" t="s">
        <v>732</v>
      </c>
      <c r="H208" t="s">
        <v>730</v>
      </c>
      <c r="I208" s="48">
        <v>46161.589962685182</v>
      </c>
    </row>
    <row r="209" spans="1:9" x14ac:dyDescent="0.25">
      <c r="A209" t="s">
        <v>951</v>
      </c>
      <c r="D209" t="s">
        <v>952</v>
      </c>
      <c r="E209" t="s">
        <v>1952</v>
      </c>
      <c r="F209" t="s">
        <v>1953</v>
      </c>
      <c r="G209" t="s">
        <v>732</v>
      </c>
      <c r="H209" t="s">
        <v>730</v>
      </c>
      <c r="I209" s="48">
        <v>46161.589962685182</v>
      </c>
    </row>
    <row r="210" spans="1:9" x14ac:dyDescent="0.25">
      <c r="A210" t="s">
        <v>954</v>
      </c>
      <c r="D210" t="s">
        <v>955</v>
      </c>
      <c r="E210" t="s">
        <v>1952</v>
      </c>
      <c r="F210" t="s">
        <v>1953</v>
      </c>
      <c r="G210" t="s">
        <v>732</v>
      </c>
      <c r="H210" t="s">
        <v>730</v>
      </c>
      <c r="I210" s="48">
        <v>46161.589962685182</v>
      </c>
    </row>
    <row r="211" spans="1:9" x14ac:dyDescent="0.25">
      <c r="A211" t="s">
        <v>957</v>
      </c>
      <c r="D211" t="s">
        <v>958</v>
      </c>
      <c r="E211" t="s">
        <v>1952</v>
      </c>
      <c r="F211" t="s">
        <v>1953</v>
      </c>
      <c r="G211" t="s">
        <v>732</v>
      </c>
      <c r="H211" t="s">
        <v>730</v>
      </c>
      <c r="I211" s="48">
        <v>46161.589962685182</v>
      </c>
    </row>
    <row r="212" spans="1:9" x14ac:dyDescent="0.25">
      <c r="A212" t="s">
        <v>960</v>
      </c>
      <c r="D212" t="s">
        <v>961</v>
      </c>
      <c r="E212" t="s">
        <v>1952</v>
      </c>
      <c r="F212" t="s">
        <v>1953</v>
      </c>
      <c r="G212" t="s">
        <v>732</v>
      </c>
      <c r="H212" t="s">
        <v>730</v>
      </c>
      <c r="I212" s="48">
        <v>46161.589962685182</v>
      </c>
    </row>
    <row r="213" spans="1:9" x14ac:dyDescent="0.25">
      <c r="A213" t="s">
        <v>963</v>
      </c>
      <c r="D213" t="s">
        <v>964</v>
      </c>
      <c r="E213" t="s">
        <v>1952</v>
      </c>
      <c r="F213" t="s">
        <v>1953</v>
      </c>
      <c r="G213" t="s">
        <v>732</v>
      </c>
      <c r="H213" t="s">
        <v>730</v>
      </c>
      <c r="I213" s="48">
        <v>46161.589962685182</v>
      </c>
    </row>
    <row r="214" spans="1:9" x14ac:dyDescent="0.25">
      <c r="A214" t="s">
        <v>966</v>
      </c>
      <c r="D214" t="s">
        <v>967</v>
      </c>
      <c r="E214" t="s">
        <v>1952</v>
      </c>
      <c r="F214" t="s">
        <v>1953</v>
      </c>
      <c r="G214" t="s">
        <v>732</v>
      </c>
      <c r="H214" t="s">
        <v>730</v>
      </c>
      <c r="I214" s="48">
        <v>46161.589962685182</v>
      </c>
    </row>
    <row r="215" spans="1:9" x14ac:dyDescent="0.25">
      <c r="A215" t="s">
        <v>969</v>
      </c>
      <c r="D215" t="s">
        <v>970</v>
      </c>
      <c r="E215" t="s">
        <v>1952</v>
      </c>
      <c r="F215" t="s">
        <v>1953</v>
      </c>
      <c r="G215" t="s">
        <v>732</v>
      </c>
      <c r="H215" t="s">
        <v>730</v>
      </c>
      <c r="I215" s="48">
        <v>46161.589962685182</v>
      </c>
    </row>
    <row r="216" spans="1:9" x14ac:dyDescent="0.25">
      <c r="A216" t="s">
        <v>972</v>
      </c>
      <c r="D216" t="s">
        <v>973</v>
      </c>
      <c r="E216" t="s">
        <v>1952</v>
      </c>
      <c r="F216" t="s">
        <v>1953</v>
      </c>
      <c r="G216" t="s">
        <v>732</v>
      </c>
      <c r="H216" t="s">
        <v>730</v>
      </c>
      <c r="I216" s="48">
        <v>46161.589962685182</v>
      </c>
    </row>
    <row r="217" spans="1:9" x14ac:dyDescent="0.25">
      <c r="A217" t="s">
        <v>975</v>
      </c>
      <c r="D217" t="s">
        <v>976</v>
      </c>
      <c r="E217" t="s">
        <v>1952</v>
      </c>
      <c r="F217" t="s">
        <v>1953</v>
      </c>
      <c r="G217" t="s">
        <v>732</v>
      </c>
      <c r="H217" t="s">
        <v>730</v>
      </c>
      <c r="I217" s="48">
        <v>46161.589962685182</v>
      </c>
    </row>
    <row r="218" spans="1:9" x14ac:dyDescent="0.25">
      <c r="A218" t="s">
        <v>978</v>
      </c>
      <c r="D218" t="s">
        <v>979</v>
      </c>
      <c r="E218" t="s">
        <v>1952</v>
      </c>
      <c r="F218" t="s">
        <v>1953</v>
      </c>
      <c r="G218" t="s">
        <v>732</v>
      </c>
      <c r="H218" t="s">
        <v>730</v>
      </c>
      <c r="I218" s="48">
        <v>46161.589962685182</v>
      </c>
    </row>
    <row r="219" spans="1:9" x14ac:dyDescent="0.25">
      <c r="A219" t="s">
        <v>981</v>
      </c>
      <c r="D219" t="s">
        <v>982</v>
      </c>
      <c r="E219" t="s">
        <v>1952</v>
      </c>
      <c r="F219" t="s">
        <v>1953</v>
      </c>
      <c r="G219" t="s">
        <v>732</v>
      </c>
      <c r="H219" t="s">
        <v>730</v>
      </c>
      <c r="I219" s="48">
        <v>46161.589962685182</v>
      </c>
    </row>
    <row r="220" spans="1:9" x14ac:dyDescent="0.25">
      <c r="A220" t="s">
        <v>984</v>
      </c>
      <c r="D220" t="s">
        <v>985</v>
      </c>
      <c r="E220" t="s">
        <v>1952</v>
      </c>
      <c r="F220" t="s">
        <v>1953</v>
      </c>
      <c r="G220" t="s">
        <v>732</v>
      </c>
      <c r="H220" t="s">
        <v>730</v>
      </c>
      <c r="I220" s="48">
        <v>46161.589962685182</v>
      </c>
    </row>
    <row r="221" spans="1:9" x14ac:dyDescent="0.25">
      <c r="A221" t="s">
        <v>987</v>
      </c>
      <c r="D221" t="s">
        <v>988</v>
      </c>
      <c r="E221" t="s">
        <v>1952</v>
      </c>
      <c r="F221" t="s">
        <v>1953</v>
      </c>
      <c r="G221" t="s">
        <v>732</v>
      </c>
      <c r="H221" t="s">
        <v>730</v>
      </c>
      <c r="I221" s="48">
        <v>46161.589962685182</v>
      </c>
    </row>
    <row r="222" spans="1:9" x14ac:dyDescent="0.25">
      <c r="A222" t="s">
        <v>990</v>
      </c>
      <c r="D222" t="s">
        <v>991</v>
      </c>
      <c r="E222" t="s">
        <v>1952</v>
      </c>
      <c r="F222" t="s">
        <v>1953</v>
      </c>
      <c r="G222" t="s">
        <v>732</v>
      </c>
      <c r="H222" t="s">
        <v>730</v>
      </c>
      <c r="I222" s="48">
        <v>46161.589962685182</v>
      </c>
    </row>
    <row r="223" spans="1:9" x14ac:dyDescent="0.25">
      <c r="A223" t="s">
        <v>993</v>
      </c>
      <c r="D223" t="s">
        <v>994</v>
      </c>
      <c r="E223" t="s">
        <v>1952</v>
      </c>
      <c r="F223" t="s">
        <v>1953</v>
      </c>
      <c r="G223" t="s">
        <v>732</v>
      </c>
      <c r="H223" t="s">
        <v>730</v>
      </c>
      <c r="I223" s="48">
        <v>46161.589962685182</v>
      </c>
    </row>
    <row r="224" spans="1:9" x14ac:dyDescent="0.25">
      <c r="A224" t="s">
        <v>996</v>
      </c>
      <c r="D224" t="s">
        <v>997</v>
      </c>
      <c r="E224" t="s">
        <v>1952</v>
      </c>
      <c r="F224" t="s">
        <v>1953</v>
      </c>
      <c r="G224" t="s">
        <v>732</v>
      </c>
      <c r="H224" t="s">
        <v>730</v>
      </c>
      <c r="I224" s="48">
        <v>46161.589962685182</v>
      </c>
    </row>
    <row r="225" spans="1:9" x14ac:dyDescent="0.25">
      <c r="A225" t="s">
        <v>999</v>
      </c>
      <c r="D225" t="s">
        <v>1000</v>
      </c>
      <c r="E225" t="s">
        <v>1952</v>
      </c>
      <c r="F225" t="s">
        <v>1953</v>
      </c>
      <c r="G225" t="s">
        <v>732</v>
      </c>
      <c r="H225" t="s">
        <v>730</v>
      </c>
      <c r="I225" s="48">
        <v>46161.589962696758</v>
      </c>
    </row>
    <row r="226" spans="1:9" x14ac:dyDescent="0.25">
      <c r="A226" t="s">
        <v>1002</v>
      </c>
      <c r="D226" t="s">
        <v>1003</v>
      </c>
      <c r="E226" t="s">
        <v>1952</v>
      </c>
      <c r="F226" t="s">
        <v>1953</v>
      </c>
      <c r="G226" t="s">
        <v>732</v>
      </c>
      <c r="H226" t="s">
        <v>730</v>
      </c>
      <c r="I226" s="48">
        <v>46161.589962696758</v>
      </c>
    </row>
    <row r="227" spans="1:9" x14ac:dyDescent="0.25">
      <c r="A227" t="s">
        <v>1005</v>
      </c>
      <c r="D227" t="s">
        <v>1006</v>
      </c>
      <c r="E227" t="s">
        <v>1952</v>
      </c>
      <c r="F227" t="s">
        <v>1953</v>
      </c>
      <c r="G227" t="s">
        <v>732</v>
      </c>
      <c r="H227" t="s">
        <v>730</v>
      </c>
      <c r="I227" s="48">
        <v>46161.589962696758</v>
      </c>
    </row>
    <row r="228" spans="1:9" x14ac:dyDescent="0.25">
      <c r="A228" t="s">
        <v>1008</v>
      </c>
      <c r="D228" t="s">
        <v>1009</v>
      </c>
      <c r="E228" t="s">
        <v>1952</v>
      </c>
      <c r="F228" t="s">
        <v>1953</v>
      </c>
      <c r="G228" t="s">
        <v>732</v>
      </c>
      <c r="H228" t="s">
        <v>730</v>
      </c>
      <c r="I228" s="48">
        <v>46161.589962696758</v>
      </c>
    </row>
    <row r="229" spans="1:9" x14ac:dyDescent="0.25">
      <c r="A229" t="s">
        <v>1011</v>
      </c>
      <c r="D229" t="s">
        <v>1012</v>
      </c>
      <c r="E229" t="s">
        <v>1952</v>
      </c>
      <c r="F229" t="s">
        <v>1953</v>
      </c>
      <c r="G229" t="s">
        <v>732</v>
      </c>
      <c r="H229" t="s">
        <v>730</v>
      </c>
      <c r="I229" s="48">
        <v>46161.589962696758</v>
      </c>
    </row>
    <row r="230" spans="1:9" x14ac:dyDescent="0.25">
      <c r="A230" t="s">
        <v>1014</v>
      </c>
      <c r="D230" t="s">
        <v>1015</v>
      </c>
      <c r="E230" t="s">
        <v>1952</v>
      </c>
      <c r="F230" t="s">
        <v>1953</v>
      </c>
      <c r="G230" t="s">
        <v>732</v>
      </c>
      <c r="H230" t="s">
        <v>730</v>
      </c>
      <c r="I230" s="48">
        <v>46161.589962696758</v>
      </c>
    </row>
    <row r="231" spans="1:9" x14ac:dyDescent="0.25">
      <c r="A231" t="s">
        <v>1017</v>
      </c>
      <c r="D231" t="s">
        <v>1018</v>
      </c>
      <c r="E231" t="s">
        <v>1952</v>
      </c>
      <c r="F231" t="s">
        <v>1953</v>
      </c>
      <c r="G231" t="s">
        <v>732</v>
      </c>
      <c r="H231" t="s">
        <v>730</v>
      </c>
      <c r="I231" s="48">
        <v>46161.589962696758</v>
      </c>
    </row>
    <row r="232" spans="1:9" x14ac:dyDescent="0.25">
      <c r="A232" t="s">
        <v>1020</v>
      </c>
      <c r="D232" t="s">
        <v>1021</v>
      </c>
      <c r="E232" t="s">
        <v>1952</v>
      </c>
      <c r="F232" t="s">
        <v>1953</v>
      </c>
      <c r="G232" t="s">
        <v>732</v>
      </c>
      <c r="H232" t="s">
        <v>730</v>
      </c>
      <c r="I232" s="48">
        <v>46161.589962696758</v>
      </c>
    </row>
    <row r="233" spans="1:9" x14ac:dyDescent="0.25">
      <c r="A233" t="s">
        <v>1023</v>
      </c>
      <c r="D233" t="s">
        <v>1024</v>
      </c>
      <c r="E233" t="s">
        <v>1952</v>
      </c>
      <c r="F233" t="s">
        <v>1953</v>
      </c>
      <c r="G233" t="s">
        <v>732</v>
      </c>
      <c r="H233" t="s">
        <v>730</v>
      </c>
      <c r="I233" s="48">
        <v>46161.589962696758</v>
      </c>
    </row>
    <row r="234" spans="1:9" x14ac:dyDescent="0.25">
      <c r="A234" t="s">
        <v>1026</v>
      </c>
      <c r="D234" t="s">
        <v>1027</v>
      </c>
      <c r="E234" t="s">
        <v>1952</v>
      </c>
      <c r="F234" t="s">
        <v>1953</v>
      </c>
      <c r="G234" t="s">
        <v>732</v>
      </c>
      <c r="H234" t="s">
        <v>730</v>
      </c>
      <c r="I234" s="48">
        <v>46161.589962696758</v>
      </c>
    </row>
    <row r="235" spans="1:9" x14ac:dyDescent="0.25">
      <c r="A235" t="s">
        <v>1029</v>
      </c>
      <c r="D235" t="s">
        <v>1030</v>
      </c>
      <c r="E235" t="s">
        <v>1952</v>
      </c>
      <c r="F235" t="s">
        <v>1953</v>
      </c>
      <c r="G235" t="s">
        <v>732</v>
      </c>
      <c r="H235" t="s">
        <v>730</v>
      </c>
      <c r="I235" s="48">
        <v>46161.589962696758</v>
      </c>
    </row>
    <row r="236" spans="1:9" x14ac:dyDescent="0.25">
      <c r="A236" t="s">
        <v>1032</v>
      </c>
      <c r="D236" t="s">
        <v>1033</v>
      </c>
      <c r="E236" t="s">
        <v>1952</v>
      </c>
      <c r="F236" t="s">
        <v>1953</v>
      </c>
      <c r="G236" t="s">
        <v>732</v>
      </c>
      <c r="H236" t="s">
        <v>730</v>
      </c>
      <c r="I236" s="48">
        <v>46161.589962696758</v>
      </c>
    </row>
    <row r="237" spans="1:9" x14ac:dyDescent="0.25">
      <c r="A237" t="s">
        <v>1035</v>
      </c>
      <c r="D237" t="s">
        <v>1036</v>
      </c>
      <c r="E237" t="s">
        <v>1952</v>
      </c>
      <c r="F237" t="s">
        <v>1953</v>
      </c>
      <c r="G237" t="s">
        <v>732</v>
      </c>
      <c r="H237" t="s">
        <v>730</v>
      </c>
      <c r="I237" s="48">
        <v>46161.589962696758</v>
      </c>
    </row>
    <row r="238" spans="1:9" x14ac:dyDescent="0.25">
      <c r="A238" t="s">
        <v>1038</v>
      </c>
      <c r="D238" t="s">
        <v>1039</v>
      </c>
      <c r="E238" t="s">
        <v>1952</v>
      </c>
      <c r="F238" t="s">
        <v>1953</v>
      </c>
      <c r="G238" t="s">
        <v>732</v>
      </c>
      <c r="H238" t="s">
        <v>730</v>
      </c>
      <c r="I238" s="48">
        <v>46161.589962696758</v>
      </c>
    </row>
    <row r="239" spans="1:9" x14ac:dyDescent="0.25">
      <c r="A239" t="s">
        <v>1041</v>
      </c>
      <c r="D239" t="s">
        <v>1042</v>
      </c>
      <c r="E239" t="s">
        <v>1952</v>
      </c>
      <c r="F239" t="s">
        <v>1953</v>
      </c>
      <c r="G239" t="s">
        <v>732</v>
      </c>
      <c r="H239" t="s">
        <v>730</v>
      </c>
      <c r="I239" s="48">
        <v>46161.589962696758</v>
      </c>
    </row>
    <row r="240" spans="1:9" x14ac:dyDescent="0.25">
      <c r="A240" t="s">
        <v>1044</v>
      </c>
      <c r="D240" t="s">
        <v>1045</v>
      </c>
      <c r="E240" t="s">
        <v>1952</v>
      </c>
      <c r="F240" t="s">
        <v>1953</v>
      </c>
      <c r="G240" t="s">
        <v>732</v>
      </c>
      <c r="H240" t="s">
        <v>730</v>
      </c>
      <c r="I240" s="48">
        <v>46161.589962696758</v>
      </c>
    </row>
    <row r="241" spans="1:9" x14ac:dyDescent="0.25">
      <c r="A241" t="s">
        <v>1047</v>
      </c>
      <c r="D241" t="s">
        <v>1048</v>
      </c>
      <c r="E241" t="s">
        <v>1952</v>
      </c>
      <c r="F241" t="s">
        <v>1953</v>
      </c>
      <c r="G241" t="s">
        <v>732</v>
      </c>
      <c r="H241" t="s">
        <v>730</v>
      </c>
      <c r="I241" s="48">
        <v>46161.589962696758</v>
      </c>
    </row>
    <row r="242" spans="1:9" x14ac:dyDescent="0.25">
      <c r="A242" t="s">
        <v>1050</v>
      </c>
      <c r="D242" t="s">
        <v>1051</v>
      </c>
      <c r="E242" t="s">
        <v>1952</v>
      </c>
      <c r="F242" t="s">
        <v>1953</v>
      </c>
      <c r="G242" t="s">
        <v>732</v>
      </c>
      <c r="H242" t="s">
        <v>730</v>
      </c>
      <c r="I242" s="48">
        <v>46161.589962696758</v>
      </c>
    </row>
    <row r="243" spans="1:9" x14ac:dyDescent="0.25">
      <c r="A243" t="s">
        <v>1053</v>
      </c>
      <c r="D243" t="s">
        <v>1054</v>
      </c>
      <c r="E243" t="s">
        <v>1952</v>
      </c>
      <c r="F243" t="s">
        <v>1953</v>
      </c>
      <c r="G243" t="s">
        <v>732</v>
      </c>
      <c r="H243" t="s">
        <v>730</v>
      </c>
      <c r="I243" s="48">
        <v>46161.589962696758</v>
      </c>
    </row>
    <row r="244" spans="1:9" x14ac:dyDescent="0.25">
      <c r="A244" t="s">
        <v>1056</v>
      </c>
      <c r="D244" t="s">
        <v>1057</v>
      </c>
      <c r="E244" t="s">
        <v>1952</v>
      </c>
      <c r="F244" t="s">
        <v>1953</v>
      </c>
      <c r="G244" t="s">
        <v>732</v>
      </c>
      <c r="H244" t="s">
        <v>730</v>
      </c>
      <c r="I244" s="48">
        <v>46161.589962696758</v>
      </c>
    </row>
    <row r="245" spans="1:9" x14ac:dyDescent="0.25">
      <c r="A245" t="s">
        <v>1059</v>
      </c>
      <c r="D245" t="s">
        <v>1060</v>
      </c>
      <c r="E245" t="s">
        <v>1952</v>
      </c>
      <c r="F245" t="s">
        <v>1953</v>
      </c>
      <c r="G245" t="s">
        <v>732</v>
      </c>
      <c r="H245" t="s">
        <v>730</v>
      </c>
      <c r="I245" s="48">
        <v>46161.589962696758</v>
      </c>
    </row>
    <row r="246" spans="1:9" x14ac:dyDescent="0.25">
      <c r="A246" t="s">
        <v>1062</v>
      </c>
      <c r="D246" t="s">
        <v>1063</v>
      </c>
      <c r="E246" t="s">
        <v>1952</v>
      </c>
      <c r="F246" t="s">
        <v>1953</v>
      </c>
      <c r="G246" t="s">
        <v>732</v>
      </c>
      <c r="H246" t="s">
        <v>730</v>
      </c>
      <c r="I246" s="48">
        <v>46161.589962696758</v>
      </c>
    </row>
    <row r="247" spans="1:9" x14ac:dyDescent="0.25">
      <c r="A247" t="s">
        <v>1065</v>
      </c>
      <c r="D247" t="s">
        <v>1066</v>
      </c>
      <c r="E247" t="s">
        <v>1952</v>
      </c>
      <c r="F247" t="s">
        <v>1953</v>
      </c>
      <c r="G247" t="s">
        <v>732</v>
      </c>
      <c r="H247" t="s">
        <v>730</v>
      </c>
      <c r="I247" s="48">
        <v>46161.589962696758</v>
      </c>
    </row>
    <row r="248" spans="1:9" x14ac:dyDescent="0.25">
      <c r="A248" t="s">
        <v>1068</v>
      </c>
      <c r="D248" t="s">
        <v>1069</v>
      </c>
      <c r="E248" t="s">
        <v>1952</v>
      </c>
      <c r="F248" t="s">
        <v>1953</v>
      </c>
      <c r="G248" t="s">
        <v>732</v>
      </c>
      <c r="H248" t="s">
        <v>730</v>
      </c>
      <c r="I248" s="48">
        <v>46161.589962696758</v>
      </c>
    </row>
    <row r="249" spans="1:9" x14ac:dyDescent="0.25">
      <c r="A249" t="s">
        <v>1071</v>
      </c>
      <c r="D249" t="s">
        <v>1072</v>
      </c>
      <c r="E249" t="s">
        <v>1952</v>
      </c>
      <c r="F249" t="s">
        <v>1953</v>
      </c>
      <c r="G249" t="s">
        <v>732</v>
      </c>
      <c r="H249" t="s">
        <v>730</v>
      </c>
      <c r="I249" s="48">
        <v>46161.589962696758</v>
      </c>
    </row>
    <row r="250" spans="1:9" x14ac:dyDescent="0.25">
      <c r="A250" t="s">
        <v>1074</v>
      </c>
      <c r="D250" t="s">
        <v>1075</v>
      </c>
      <c r="E250" t="s">
        <v>1952</v>
      </c>
      <c r="F250" t="s">
        <v>1953</v>
      </c>
      <c r="G250" t="s">
        <v>732</v>
      </c>
      <c r="H250" t="s">
        <v>730</v>
      </c>
      <c r="I250" s="48">
        <v>46161.589962696758</v>
      </c>
    </row>
    <row r="251" spans="1:9" x14ac:dyDescent="0.25">
      <c r="A251" t="s">
        <v>1077</v>
      </c>
      <c r="D251" t="s">
        <v>1078</v>
      </c>
      <c r="E251" t="s">
        <v>1952</v>
      </c>
      <c r="F251" t="s">
        <v>1953</v>
      </c>
      <c r="G251" t="s">
        <v>732</v>
      </c>
      <c r="H251" t="s">
        <v>730</v>
      </c>
      <c r="I251" s="48">
        <v>46161.589962696758</v>
      </c>
    </row>
    <row r="252" spans="1:9" x14ac:dyDescent="0.25">
      <c r="A252" t="s">
        <v>1080</v>
      </c>
      <c r="D252" t="s">
        <v>1081</v>
      </c>
      <c r="E252" t="s">
        <v>1952</v>
      </c>
      <c r="F252" t="s">
        <v>1953</v>
      </c>
      <c r="G252" t="s">
        <v>732</v>
      </c>
      <c r="H252" t="s">
        <v>730</v>
      </c>
      <c r="I252" s="48">
        <v>46161.589962696758</v>
      </c>
    </row>
    <row r="253" spans="1:9" x14ac:dyDescent="0.25">
      <c r="A253" t="s">
        <v>1083</v>
      </c>
      <c r="D253" t="s">
        <v>1084</v>
      </c>
      <c r="E253" t="s">
        <v>1952</v>
      </c>
      <c r="F253" t="s">
        <v>1953</v>
      </c>
      <c r="G253" t="s">
        <v>732</v>
      </c>
      <c r="H253" t="s">
        <v>730</v>
      </c>
      <c r="I253" s="48">
        <v>46161.589962696758</v>
      </c>
    </row>
    <row r="254" spans="1:9" x14ac:dyDescent="0.25">
      <c r="A254" t="s">
        <v>1086</v>
      </c>
      <c r="D254" t="s">
        <v>1087</v>
      </c>
      <c r="E254" t="s">
        <v>1952</v>
      </c>
      <c r="F254" t="s">
        <v>1953</v>
      </c>
      <c r="G254" t="s">
        <v>732</v>
      </c>
      <c r="H254" t="s">
        <v>730</v>
      </c>
      <c r="I254" s="48">
        <v>46161.589962696758</v>
      </c>
    </row>
    <row r="255" spans="1:9" x14ac:dyDescent="0.25">
      <c r="A255" t="s">
        <v>1089</v>
      </c>
      <c r="D255" t="s">
        <v>1090</v>
      </c>
      <c r="E255" t="s">
        <v>1952</v>
      </c>
      <c r="F255" t="s">
        <v>1953</v>
      </c>
      <c r="G255" t="s">
        <v>732</v>
      </c>
      <c r="H255" t="s">
        <v>730</v>
      </c>
      <c r="I255" s="48">
        <v>46161.589962696758</v>
      </c>
    </row>
    <row r="256" spans="1:9" x14ac:dyDescent="0.25">
      <c r="A256" t="s">
        <v>1092</v>
      </c>
      <c r="D256" t="s">
        <v>1093</v>
      </c>
      <c r="E256" t="s">
        <v>1952</v>
      </c>
      <c r="F256" t="s">
        <v>1953</v>
      </c>
      <c r="G256" t="s">
        <v>732</v>
      </c>
      <c r="H256" t="s">
        <v>730</v>
      </c>
      <c r="I256" s="48">
        <v>46161.589962696758</v>
      </c>
    </row>
    <row r="257" spans="1:9" x14ac:dyDescent="0.25">
      <c r="A257" t="s">
        <v>1095</v>
      </c>
      <c r="D257" t="s">
        <v>1096</v>
      </c>
      <c r="E257" t="s">
        <v>1952</v>
      </c>
      <c r="F257" t="s">
        <v>1953</v>
      </c>
      <c r="G257" t="s">
        <v>732</v>
      </c>
      <c r="H257" t="s">
        <v>730</v>
      </c>
      <c r="I257" s="48">
        <v>46161.589962696758</v>
      </c>
    </row>
    <row r="258" spans="1:9" x14ac:dyDescent="0.25">
      <c r="A258" t="s">
        <v>1098</v>
      </c>
      <c r="D258" t="s">
        <v>1099</v>
      </c>
      <c r="E258" t="s">
        <v>1952</v>
      </c>
      <c r="F258" t="s">
        <v>1953</v>
      </c>
      <c r="G258" t="s">
        <v>732</v>
      </c>
      <c r="H258" t="s">
        <v>730</v>
      </c>
      <c r="I258" s="48">
        <v>46161.589962696758</v>
      </c>
    </row>
    <row r="259" spans="1:9" x14ac:dyDescent="0.25">
      <c r="A259" t="s">
        <v>1101</v>
      </c>
      <c r="D259" t="s">
        <v>1102</v>
      </c>
      <c r="E259" t="s">
        <v>1952</v>
      </c>
      <c r="F259" t="s">
        <v>1953</v>
      </c>
      <c r="G259" t="s">
        <v>732</v>
      </c>
      <c r="H259" t="s">
        <v>730</v>
      </c>
      <c r="I259" s="48">
        <v>46161.589962696758</v>
      </c>
    </row>
    <row r="260" spans="1:9" x14ac:dyDescent="0.25">
      <c r="A260" t="s">
        <v>1104</v>
      </c>
      <c r="D260" t="s">
        <v>1105</v>
      </c>
      <c r="E260" t="s">
        <v>1952</v>
      </c>
      <c r="F260" t="s">
        <v>1953</v>
      </c>
      <c r="G260" t="s">
        <v>732</v>
      </c>
      <c r="H260" t="s">
        <v>730</v>
      </c>
      <c r="I260" s="48">
        <v>46161.589962696758</v>
      </c>
    </row>
    <row r="261" spans="1:9" x14ac:dyDescent="0.25">
      <c r="A261" t="s">
        <v>1107</v>
      </c>
      <c r="D261" t="s">
        <v>1108</v>
      </c>
      <c r="E261" t="s">
        <v>1952</v>
      </c>
      <c r="F261" t="s">
        <v>1953</v>
      </c>
      <c r="G261" t="s">
        <v>732</v>
      </c>
      <c r="H261" t="s">
        <v>730</v>
      </c>
      <c r="I261" s="48">
        <v>46161.589962696758</v>
      </c>
    </row>
    <row r="262" spans="1:9" x14ac:dyDescent="0.25">
      <c r="A262" t="s">
        <v>1110</v>
      </c>
      <c r="D262" t="s">
        <v>1111</v>
      </c>
      <c r="E262" t="s">
        <v>1952</v>
      </c>
      <c r="F262" t="s">
        <v>1953</v>
      </c>
      <c r="G262" t="s">
        <v>732</v>
      </c>
      <c r="H262" t="s">
        <v>730</v>
      </c>
      <c r="I262" s="48">
        <v>46161.589962696758</v>
      </c>
    </row>
    <row r="263" spans="1:9" x14ac:dyDescent="0.25">
      <c r="A263" t="s">
        <v>1113</v>
      </c>
      <c r="D263" t="s">
        <v>1114</v>
      </c>
      <c r="E263" t="s">
        <v>1952</v>
      </c>
      <c r="F263" t="s">
        <v>1953</v>
      </c>
      <c r="G263" t="s">
        <v>732</v>
      </c>
      <c r="H263" t="s">
        <v>730</v>
      </c>
      <c r="I263" s="48">
        <v>46161.589962708327</v>
      </c>
    </row>
    <row r="264" spans="1:9" x14ac:dyDescent="0.25">
      <c r="A264" t="s">
        <v>1116</v>
      </c>
      <c r="D264" t="s">
        <v>1117</v>
      </c>
      <c r="E264" t="s">
        <v>1952</v>
      </c>
      <c r="F264" t="s">
        <v>1953</v>
      </c>
      <c r="G264" t="s">
        <v>732</v>
      </c>
      <c r="H264" t="s">
        <v>730</v>
      </c>
      <c r="I264" s="48">
        <v>46161.589962708327</v>
      </c>
    </row>
    <row r="265" spans="1:9" x14ac:dyDescent="0.25">
      <c r="A265" t="s">
        <v>1119</v>
      </c>
      <c r="D265" t="s">
        <v>1120</v>
      </c>
      <c r="E265" t="s">
        <v>1952</v>
      </c>
      <c r="F265" t="s">
        <v>1953</v>
      </c>
      <c r="G265" t="s">
        <v>732</v>
      </c>
      <c r="H265" t="s">
        <v>730</v>
      </c>
      <c r="I265" s="48">
        <v>46161.589962708327</v>
      </c>
    </row>
    <row r="266" spans="1:9" x14ac:dyDescent="0.25">
      <c r="A266" t="s">
        <v>1122</v>
      </c>
      <c r="D266" t="s">
        <v>1123</v>
      </c>
      <c r="E266" t="s">
        <v>1952</v>
      </c>
      <c r="F266" t="s">
        <v>1953</v>
      </c>
      <c r="G266" t="s">
        <v>732</v>
      </c>
      <c r="H266" t="s">
        <v>730</v>
      </c>
      <c r="I266" s="48">
        <v>46161.589962708327</v>
      </c>
    </row>
    <row r="267" spans="1:9" x14ac:dyDescent="0.25">
      <c r="A267" t="s">
        <v>1125</v>
      </c>
      <c r="D267" t="s">
        <v>1126</v>
      </c>
      <c r="E267" t="s">
        <v>1952</v>
      </c>
      <c r="F267" t="s">
        <v>1953</v>
      </c>
      <c r="G267" t="s">
        <v>732</v>
      </c>
      <c r="H267" t="s">
        <v>730</v>
      </c>
      <c r="I267" s="48">
        <v>46161.589962708327</v>
      </c>
    </row>
    <row r="268" spans="1:9" x14ac:dyDescent="0.25">
      <c r="A268" t="s">
        <v>1128</v>
      </c>
      <c r="B268" t="s">
        <v>1129</v>
      </c>
      <c r="C268" t="s">
        <v>1129</v>
      </c>
      <c r="D268" t="s">
        <v>1130</v>
      </c>
      <c r="E268" t="s">
        <v>1952</v>
      </c>
      <c r="F268" t="s">
        <v>1953</v>
      </c>
      <c r="G268" t="s">
        <v>732</v>
      </c>
      <c r="H268" t="s">
        <v>730</v>
      </c>
      <c r="I268" s="48">
        <v>46161.589962708327</v>
      </c>
    </row>
    <row r="269" spans="1:9" x14ac:dyDescent="0.25">
      <c r="A269" t="s">
        <v>1132</v>
      </c>
      <c r="D269" t="s">
        <v>1133</v>
      </c>
      <c r="E269" t="s">
        <v>1952</v>
      </c>
      <c r="F269" t="s">
        <v>1953</v>
      </c>
      <c r="G269" t="s">
        <v>732</v>
      </c>
      <c r="H269" t="s">
        <v>730</v>
      </c>
      <c r="I269" s="48">
        <v>46161.589962708327</v>
      </c>
    </row>
    <row r="270" spans="1:9" x14ac:dyDescent="0.25">
      <c r="A270" t="s">
        <v>1135</v>
      </c>
      <c r="D270" t="s">
        <v>1136</v>
      </c>
      <c r="E270" t="s">
        <v>1952</v>
      </c>
      <c r="F270" t="s">
        <v>1953</v>
      </c>
      <c r="G270" t="s">
        <v>732</v>
      </c>
      <c r="H270" t="s">
        <v>730</v>
      </c>
      <c r="I270" s="48">
        <v>46161.589962708327</v>
      </c>
    </row>
    <row r="271" spans="1:9" x14ac:dyDescent="0.25">
      <c r="A271" t="s">
        <v>1138</v>
      </c>
      <c r="D271" t="s">
        <v>1139</v>
      </c>
      <c r="E271" t="s">
        <v>1952</v>
      </c>
      <c r="F271" t="s">
        <v>1953</v>
      </c>
      <c r="G271" t="s">
        <v>732</v>
      </c>
      <c r="H271" t="s">
        <v>730</v>
      </c>
      <c r="I271" s="48">
        <v>46161.589962708327</v>
      </c>
    </row>
    <row r="272" spans="1:9" x14ac:dyDescent="0.25">
      <c r="A272" t="s">
        <v>1141</v>
      </c>
      <c r="D272" t="s">
        <v>1142</v>
      </c>
      <c r="E272" t="s">
        <v>1952</v>
      </c>
      <c r="F272" t="s">
        <v>1953</v>
      </c>
      <c r="G272" t="s">
        <v>732</v>
      </c>
      <c r="H272" t="s">
        <v>730</v>
      </c>
      <c r="I272" s="48">
        <v>46161.589962708327</v>
      </c>
    </row>
    <row r="273" spans="1:9" x14ac:dyDescent="0.25">
      <c r="A273" t="s">
        <v>1144</v>
      </c>
      <c r="D273" t="s">
        <v>1145</v>
      </c>
      <c r="E273" t="s">
        <v>1952</v>
      </c>
      <c r="F273" t="s">
        <v>1953</v>
      </c>
      <c r="G273" t="s">
        <v>732</v>
      </c>
      <c r="H273" t="s">
        <v>730</v>
      </c>
      <c r="I273" s="48">
        <v>46161.589962708327</v>
      </c>
    </row>
    <row r="274" spans="1:9" x14ac:dyDescent="0.25">
      <c r="A274" t="s">
        <v>1147</v>
      </c>
      <c r="D274" t="s">
        <v>1148</v>
      </c>
      <c r="E274" t="s">
        <v>1952</v>
      </c>
      <c r="F274" t="s">
        <v>1953</v>
      </c>
      <c r="G274" t="s">
        <v>732</v>
      </c>
      <c r="H274" t="s">
        <v>730</v>
      </c>
      <c r="I274" s="48">
        <v>46161.589962708327</v>
      </c>
    </row>
    <row r="275" spans="1:9" x14ac:dyDescent="0.25">
      <c r="A275" t="s">
        <v>1150</v>
      </c>
      <c r="D275" t="s">
        <v>1151</v>
      </c>
      <c r="E275" t="s">
        <v>1952</v>
      </c>
      <c r="F275" t="s">
        <v>1953</v>
      </c>
      <c r="G275" t="s">
        <v>732</v>
      </c>
      <c r="H275" t="s">
        <v>730</v>
      </c>
      <c r="I275" s="48">
        <v>46161.589962708327</v>
      </c>
    </row>
    <row r="276" spans="1:9" x14ac:dyDescent="0.25">
      <c r="A276" t="s">
        <v>1153</v>
      </c>
      <c r="D276" t="s">
        <v>1154</v>
      </c>
      <c r="E276" t="s">
        <v>1952</v>
      </c>
      <c r="F276" t="s">
        <v>1953</v>
      </c>
      <c r="G276" t="s">
        <v>732</v>
      </c>
      <c r="H276" t="s">
        <v>730</v>
      </c>
      <c r="I276" s="48">
        <v>46161.589962708327</v>
      </c>
    </row>
    <row r="277" spans="1:9" x14ac:dyDescent="0.25">
      <c r="A277" t="s">
        <v>1156</v>
      </c>
      <c r="D277" t="s">
        <v>1157</v>
      </c>
      <c r="E277" t="s">
        <v>1952</v>
      </c>
      <c r="F277" t="s">
        <v>1953</v>
      </c>
      <c r="G277" t="s">
        <v>732</v>
      </c>
      <c r="H277" t="s">
        <v>730</v>
      </c>
      <c r="I277" s="48">
        <v>46161.589962708327</v>
      </c>
    </row>
    <row r="278" spans="1:9" x14ac:dyDescent="0.25">
      <c r="A278" t="s">
        <v>1159</v>
      </c>
      <c r="D278" t="s">
        <v>1160</v>
      </c>
      <c r="E278" t="s">
        <v>1952</v>
      </c>
      <c r="F278" t="s">
        <v>1953</v>
      </c>
      <c r="G278" t="s">
        <v>732</v>
      </c>
      <c r="H278" t="s">
        <v>730</v>
      </c>
      <c r="I278" s="48">
        <v>46161.589962708327</v>
      </c>
    </row>
    <row r="279" spans="1:9" x14ac:dyDescent="0.25">
      <c r="A279" t="s">
        <v>1162</v>
      </c>
      <c r="D279" t="s">
        <v>1163</v>
      </c>
      <c r="E279" t="s">
        <v>1952</v>
      </c>
      <c r="F279" t="s">
        <v>1953</v>
      </c>
      <c r="G279" t="s">
        <v>732</v>
      </c>
      <c r="H279" t="s">
        <v>730</v>
      </c>
      <c r="I279" s="48">
        <v>46161.589962708327</v>
      </c>
    </row>
    <row r="280" spans="1:9" x14ac:dyDescent="0.25">
      <c r="A280" t="s">
        <v>1165</v>
      </c>
      <c r="D280" t="s">
        <v>1166</v>
      </c>
      <c r="E280" t="s">
        <v>1952</v>
      </c>
      <c r="F280" t="s">
        <v>1953</v>
      </c>
      <c r="G280" t="s">
        <v>732</v>
      </c>
      <c r="H280" t="s">
        <v>730</v>
      </c>
      <c r="I280" s="48">
        <v>46161.589962708327</v>
      </c>
    </row>
    <row r="281" spans="1:9" x14ac:dyDescent="0.25">
      <c r="A281" t="s">
        <v>1168</v>
      </c>
      <c r="D281" t="s">
        <v>1169</v>
      </c>
      <c r="E281" t="s">
        <v>1952</v>
      </c>
      <c r="F281" t="s">
        <v>1953</v>
      </c>
      <c r="G281" t="s">
        <v>732</v>
      </c>
      <c r="H281" t="s">
        <v>730</v>
      </c>
      <c r="I281" s="48">
        <v>46161.589962708327</v>
      </c>
    </row>
    <row r="282" spans="1:9" x14ac:dyDescent="0.25">
      <c r="A282" t="s">
        <v>1171</v>
      </c>
      <c r="D282" t="s">
        <v>1172</v>
      </c>
      <c r="E282" t="s">
        <v>1952</v>
      </c>
      <c r="F282" t="s">
        <v>1953</v>
      </c>
      <c r="G282" t="s">
        <v>732</v>
      </c>
      <c r="H282" t="s">
        <v>730</v>
      </c>
      <c r="I282" s="48">
        <v>46161.589962708327</v>
      </c>
    </row>
    <row r="283" spans="1:9" x14ac:dyDescent="0.25">
      <c r="A283" t="s">
        <v>1174</v>
      </c>
      <c r="D283" t="s">
        <v>1175</v>
      </c>
      <c r="E283" t="s">
        <v>1952</v>
      </c>
      <c r="F283" t="s">
        <v>1953</v>
      </c>
      <c r="G283" t="s">
        <v>732</v>
      </c>
      <c r="H283" t="s">
        <v>730</v>
      </c>
      <c r="I283" s="48">
        <v>46161.589962708327</v>
      </c>
    </row>
    <row r="284" spans="1:9" x14ac:dyDescent="0.25">
      <c r="A284" t="s">
        <v>1177</v>
      </c>
      <c r="D284" t="s">
        <v>1178</v>
      </c>
      <c r="E284" t="s">
        <v>1952</v>
      </c>
      <c r="F284" t="s">
        <v>1953</v>
      </c>
      <c r="G284" t="s">
        <v>732</v>
      </c>
      <c r="H284" t="s">
        <v>730</v>
      </c>
      <c r="I284" s="48">
        <v>46161.589962708327</v>
      </c>
    </row>
    <row r="285" spans="1:9" x14ac:dyDescent="0.25">
      <c r="A285" t="s">
        <v>1180</v>
      </c>
      <c r="D285" t="s">
        <v>1181</v>
      </c>
      <c r="E285" t="s">
        <v>1952</v>
      </c>
      <c r="F285" t="s">
        <v>1953</v>
      </c>
      <c r="G285" t="s">
        <v>732</v>
      </c>
      <c r="H285" t="s">
        <v>730</v>
      </c>
      <c r="I285" s="48">
        <v>46161.589962708327</v>
      </c>
    </row>
    <row r="286" spans="1:9" x14ac:dyDescent="0.25">
      <c r="A286" t="s">
        <v>1183</v>
      </c>
      <c r="D286" t="s">
        <v>1184</v>
      </c>
      <c r="E286" t="s">
        <v>1952</v>
      </c>
      <c r="F286" t="s">
        <v>1953</v>
      </c>
      <c r="G286" t="s">
        <v>732</v>
      </c>
      <c r="H286" t="s">
        <v>730</v>
      </c>
      <c r="I286" s="48">
        <v>46161.589962708327</v>
      </c>
    </row>
    <row r="287" spans="1:9" x14ac:dyDescent="0.25">
      <c r="A287" t="s">
        <v>1186</v>
      </c>
      <c r="D287" t="s">
        <v>1187</v>
      </c>
      <c r="E287" t="s">
        <v>1952</v>
      </c>
      <c r="F287" t="s">
        <v>1953</v>
      </c>
      <c r="G287" t="s">
        <v>732</v>
      </c>
      <c r="H287" t="s">
        <v>730</v>
      </c>
      <c r="I287" s="48">
        <v>46161.589962708327</v>
      </c>
    </row>
    <row r="288" spans="1:9" x14ac:dyDescent="0.25">
      <c r="A288" t="s">
        <v>1189</v>
      </c>
      <c r="D288" t="s">
        <v>1190</v>
      </c>
      <c r="E288" t="s">
        <v>1952</v>
      </c>
      <c r="F288" t="s">
        <v>1953</v>
      </c>
      <c r="G288" t="s">
        <v>732</v>
      </c>
      <c r="H288" t="s">
        <v>730</v>
      </c>
      <c r="I288" s="48">
        <v>46161.589962708327</v>
      </c>
    </row>
    <row r="289" spans="1:9" x14ac:dyDescent="0.25">
      <c r="A289" t="s">
        <v>1192</v>
      </c>
      <c r="D289" t="s">
        <v>1193</v>
      </c>
      <c r="E289" t="s">
        <v>1952</v>
      </c>
      <c r="F289" t="s">
        <v>1953</v>
      </c>
      <c r="G289" t="s">
        <v>732</v>
      </c>
      <c r="H289" t="s">
        <v>730</v>
      </c>
      <c r="I289" s="48">
        <v>46161.589962708327</v>
      </c>
    </row>
    <row r="290" spans="1:9" x14ac:dyDescent="0.25">
      <c r="A290" t="s">
        <v>1195</v>
      </c>
      <c r="D290" t="s">
        <v>1196</v>
      </c>
      <c r="E290" t="s">
        <v>1952</v>
      </c>
      <c r="F290" t="s">
        <v>1953</v>
      </c>
      <c r="G290" t="s">
        <v>732</v>
      </c>
      <c r="H290" t="s">
        <v>730</v>
      </c>
      <c r="I290" s="48">
        <v>46161.589962708327</v>
      </c>
    </row>
    <row r="291" spans="1:9" x14ac:dyDescent="0.25">
      <c r="A291" t="s">
        <v>1198</v>
      </c>
      <c r="D291" t="s">
        <v>1199</v>
      </c>
      <c r="E291" t="s">
        <v>1952</v>
      </c>
      <c r="F291" t="s">
        <v>1953</v>
      </c>
      <c r="G291" t="s">
        <v>732</v>
      </c>
      <c r="H291" t="s">
        <v>730</v>
      </c>
      <c r="I291" s="48">
        <v>46161.589962708327</v>
      </c>
    </row>
    <row r="292" spans="1:9" x14ac:dyDescent="0.25">
      <c r="A292" t="s">
        <v>1201</v>
      </c>
      <c r="D292" t="s">
        <v>1202</v>
      </c>
      <c r="E292" t="s">
        <v>1952</v>
      </c>
      <c r="F292" t="s">
        <v>1953</v>
      </c>
      <c r="G292" t="s">
        <v>732</v>
      </c>
      <c r="H292" t="s">
        <v>730</v>
      </c>
      <c r="I292" s="48">
        <v>46161.589962708327</v>
      </c>
    </row>
    <row r="293" spans="1:9" x14ac:dyDescent="0.25">
      <c r="A293" t="s">
        <v>1204</v>
      </c>
      <c r="D293" t="s">
        <v>1205</v>
      </c>
      <c r="E293" t="s">
        <v>1952</v>
      </c>
      <c r="F293" t="s">
        <v>1953</v>
      </c>
      <c r="G293" t="s">
        <v>732</v>
      </c>
      <c r="H293" t="s">
        <v>730</v>
      </c>
      <c r="I293" s="48">
        <v>46161.589962708327</v>
      </c>
    </row>
    <row r="294" spans="1:9" x14ac:dyDescent="0.25">
      <c r="A294" t="s">
        <v>1207</v>
      </c>
      <c r="D294" t="s">
        <v>1208</v>
      </c>
      <c r="E294" t="s">
        <v>1952</v>
      </c>
      <c r="F294" t="s">
        <v>1953</v>
      </c>
      <c r="G294" t="s">
        <v>732</v>
      </c>
      <c r="H294" t="s">
        <v>730</v>
      </c>
      <c r="I294" s="48">
        <v>46161.589962708327</v>
      </c>
    </row>
    <row r="295" spans="1:9" x14ac:dyDescent="0.25">
      <c r="A295" t="s">
        <v>1210</v>
      </c>
      <c r="D295" t="s">
        <v>1211</v>
      </c>
      <c r="E295" t="s">
        <v>1952</v>
      </c>
      <c r="F295" t="s">
        <v>1953</v>
      </c>
      <c r="G295" t="s">
        <v>732</v>
      </c>
      <c r="H295" t="s">
        <v>730</v>
      </c>
      <c r="I295" s="48">
        <v>46161.589962708327</v>
      </c>
    </row>
    <row r="296" spans="1:9" x14ac:dyDescent="0.25">
      <c r="A296" t="s">
        <v>1213</v>
      </c>
      <c r="D296" t="s">
        <v>1214</v>
      </c>
      <c r="E296" t="s">
        <v>1952</v>
      </c>
      <c r="F296" t="s">
        <v>1953</v>
      </c>
      <c r="G296" t="s">
        <v>732</v>
      </c>
      <c r="H296" t="s">
        <v>730</v>
      </c>
      <c r="I296" s="48">
        <v>46161.589962708327</v>
      </c>
    </row>
    <row r="297" spans="1:9" x14ac:dyDescent="0.25">
      <c r="A297" t="s">
        <v>1216</v>
      </c>
      <c r="D297" t="s">
        <v>1217</v>
      </c>
      <c r="E297" t="s">
        <v>1952</v>
      </c>
      <c r="F297" t="s">
        <v>1953</v>
      </c>
      <c r="G297" t="s">
        <v>732</v>
      </c>
      <c r="H297" t="s">
        <v>730</v>
      </c>
      <c r="I297" s="48">
        <v>46161.589962708327</v>
      </c>
    </row>
    <row r="298" spans="1:9" x14ac:dyDescent="0.25">
      <c r="A298" t="s">
        <v>1219</v>
      </c>
      <c r="D298" t="s">
        <v>1220</v>
      </c>
      <c r="E298" t="s">
        <v>1952</v>
      </c>
      <c r="F298" t="s">
        <v>1953</v>
      </c>
      <c r="G298" t="s">
        <v>732</v>
      </c>
      <c r="H298" t="s">
        <v>730</v>
      </c>
      <c r="I298" s="48">
        <v>46161.589962708327</v>
      </c>
    </row>
    <row r="299" spans="1:9" x14ac:dyDescent="0.25">
      <c r="A299" t="s">
        <v>1222</v>
      </c>
      <c r="D299" t="s">
        <v>1223</v>
      </c>
      <c r="E299" t="s">
        <v>1952</v>
      </c>
      <c r="F299" t="s">
        <v>1953</v>
      </c>
      <c r="G299" t="s">
        <v>732</v>
      </c>
      <c r="H299" t="s">
        <v>730</v>
      </c>
      <c r="I299" s="48">
        <v>46161.589962708327</v>
      </c>
    </row>
    <row r="300" spans="1:9" x14ac:dyDescent="0.25">
      <c r="A300" t="s">
        <v>1225</v>
      </c>
      <c r="D300" t="s">
        <v>1226</v>
      </c>
      <c r="E300" t="s">
        <v>1952</v>
      </c>
      <c r="F300" t="s">
        <v>1953</v>
      </c>
      <c r="G300" t="s">
        <v>732</v>
      </c>
      <c r="H300" t="s">
        <v>730</v>
      </c>
      <c r="I300" s="48">
        <v>46161.589962708327</v>
      </c>
    </row>
    <row r="301" spans="1:9" x14ac:dyDescent="0.25">
      <c r="A301" t="s">
        <v>1228</v>
      </c>
      <c r="D301" t="s">
        <v>1229</v>
      </c>
      <c r="E301" t="s">
        <v>1952</v>
      </c>
      <c r="F301" t="s">
        <v>1953</v>
      </c>
      <c r="G301" t="s">
        <v>732</v>
      </c>
      <c r="H301" t="s">
        <v>730</v>
      </c>
      <c r="I301" s="48">
        <v>46161.589962708327</v>
      </c>
    </row>
    <row r="302" spans="1:9" x14ac:dyDescent="0.25">
      <c r="A302" t="s">
        <v>1231</v>
      </c>
      <c r="D302" t="s">
        <v>1232</v>
      </c>
      <c r="E302" t="s">
        <v>1952</v>
      </c>
      <c r="F302" t="s">
        <v>1953</v>
      </c>
      <c r="G302" t="s">
        <v>732</v>
      </c>
      <c r="H302" t="s">
        <v>730</v>
      </c>
      <c r="I302" s="48">
        <v>46161.589962719911</v>
      </c>
    </row>
    <row r="303" spans="1:9" x14ac:dyDescent="0.25">
      <c r="A303" t="s">
        <v>1234</v>
      </c>
      <c r="D303" t="s">
        <v>1235</v>
      </c>
      <c r="E303" t="s">
        <v>1952</v>
      </c>
      <c r="F303" t="s">
        <v>1953</v>
      </c>
      <c r="G303" t="s">
        <v>732</v>
      </c>
      <c r="H303" t="s">
        <v>730</v>
      </c>
      <c r="I303" s="48">
        <v>46161.589962719911</v>
      </c>
    </row>
    <row r="304" spans="1:9" x14ac:dyDescent="0.25">
      <c r="A304" t="s">
        <v>1237</v>
      </c>
      <c r="D304" t="s">
        <v>1238</v>
      </c>
      <c r="E304" t="s">
        <v>1952</v>
      </c>
      <c r="F304" t="s">
        <v>1953</v>
      </c>
      <c r="G304" t="s">
        <v>732</v>
      </c>
      <c r="H304" t="s">
        <v>730</v>
      </c>
      <c r="I304" s="48">
        <v>46161.589962719911</v>
      </c>
    </row>
    <row r="305" spans="1:9" x14ac:dyDescent="0.25">
      <c r="A305" t="s">
        <v>1240</v>
      </c>
      <c r="D305" t="s">
        <v>1241</v>
      </c>
      <c r="E305" t="s">
        <v>1952</v>
      </c>
      <c r="F305" t="s">
        <v>1953</v>
      </c>
      <c r="G305" t="s">
        <v>732</v>
      </c>
      <c r="H305" t="s">
        <v>730</v>
      </c>
      <c r="I305" s="48">
        <v>46161.589962719911</v>
      </c>
    </row>
    <row r="306" spans="1:9" x14ac:dyDescent="0.25">
      <c r="A306" t="s">
        <v>1243</v>
      </c>
      <c r="D306" t="s">
        <v>1244</v>
      </c>
      <c r="E306" t="s">
        <v>1952</v>
      </c>
      <c r="F306" t="s">
        <v>1953</v>
      </c>
      <c r="G306" t="s">
        <v>732</v>
      </c>
      <c r="H306" t="s">
        <v>730</v>
      </c>
      <c r="I306" s="48">
        <v>46161.589962719911</v>
      </c>
    </row>
    <row r="307" spans="1:9" x14ac:dyDescent="0.25">
      <c r="A307" t="s">
        <v>1246</v>
      </c>
      <c r="D307" t="s">
        <v>1247</v>
      </c>
      <c r="E307" t="s">
        <v>1952</v>
      </c>
      <c r="F307" t="s">
        <v>1953</v>
      </c>
      <c r="G307" t="s">
        <v>732</v>
      </c>
      <c r="H307" t="s">
        <v>730</v>
      </c>
      <c r="I307" s="48">
        <v>46161.589962719911</v>
      </c>
    </row>
    <row r="308" spans="1:9" x14ac:dyDescent="0.25">
      <c r="A308" t="s">
        <v>1249</v>
      </c>
      <c r="D308" t="s">
        <v>1250</v>
      </c>
      <c r="E308" t="s">
        <v>1952</v>
      </c>
      <c r="F308" t="s">
        <v>1953</v>
      </c>
      <c r="G308" t="s">
        <v>732</v>
      </c>
      <c r="H308" t="s">
        <v>730</v>
      </c>
      <c r="I308" s="48">
        <v>46161.589962719911</v>
      </c>
    </row>
    <row r="309" spans="1:9" x14ac:dyDescent="0.25">
      <c r="A309" t="s">
        <v>1252</v>
      </c>
      <c r="D309" t="s">
        <v>1253</v>
      </c>
      <c r="E309" t="s">
        <v>1952</v>
      </c>
      <c r="F309" t="s">
        <v>1953</v>
      </c>
      <c r="G309" t="s">
        <v>732</v>
      </c>
      <c r="H309" t="s">
        <v>730</v>
      </c>
      <c r="I309" s="48">
        <v>46161.589962719911</v>
      </c>
    </row>
    <row r="310" spans="1:9" x14ac:dyDescent="0.25">
      <c r="A310" t="s">
        <v>1255</v>
      </c>
      <c r="D310" t="s">
        <v>1256</v>
      </c>
      <c r="E310" t="s">
        <v>1952</v>
      </c>
      <c r="F310" t="s">
        <v>1953</v>
      </c>
      <c r="G310" t="s">
        <v>732</v>
      </c>
      <c r="H310" t="s">
        <v>730</v>
      </c>
      <c r="I310" s="48">
        <v>46161.589962719911</v>
      </c>
    </row>
    <row r="311" spans="1:9" x14ac:dyDescent="0.25">
      <c r="A311" t="s">
        <v>1258</v>
      </c>
      <c r="D311" t="s">
        <v>1259</v>
      </c>
      <c r="E311" t="s">
        <v>1952</v>
      </c>
      <c r="F311" t="s">
        <v>1953</v>
      </c>
      <c r="G311" t="s">
        <v>732</v>
      </c>
      <c r="H311" t="s">
        <v>730</v>
      </c>
      <c r="I311" s="48">
        <v>46161.589962719911</v>
      </c>
    </row>
    <row r="312" spans="1:9" x14ac:dyDescent="0.25">
      <c r="A312" t="s">
        <v>1261</v>
      </c>
      <c r="D312" t="s">
        <v>1262</v>
      </c>
      <c r="E312" t="s">
        <v>1952</v>
      </c>
      <c r="F312" t="s">
        <v>1953</v>
      </c>
      <c r="G312" t="s">
        <v>732</v>
      </c>
      <c r="H312" t="s">
        <v>730</v>
      </c>
      <c r="I312" s="48">
        <v>46161.589962719911</v>
      </c>
    </row>
    <row r="313" spans="1:9" x14ac:dyDescent="0.25">
      <c r="A313" t="s">
        <v>1264</v>
      </c>
      <c r="D313" t="s">
        <v>1265</v>
      </c>
      <c r="E313" t="s">
        <v>1952</v>
      </c>
      <c r="F313" t="s">
        <v>1953</v>
      </c>
      <c r="G313" t="s">
        <v>732</v>
      </c>
      <c r="H313" t="s">
        <v>730</v>
      </c>
      <c r="I313" s="48">
        <v>46161.589962719911</v>
      </c>
    </row>
    <row r="314" spans="1:9" x14ac:dyDescent="0.25">
      <c r="A314" t="s">
        <v>1267</v>
      </c>
      <c r="D314" t="s">
        <v>1268</v>
      </c>
      <c r="E314" t="s">
        <v>1952</v>
      </c>
      <c r="F314" t="s">
        <v>1953</v>
      </c>
      <c r="G314" t="s">
        <v>732</v>
      </c>
      <c r="H314" t="s">
        <v>730</v>
      </c>
      <c r="I314" s="48">
        <v>46161.589962719911</v>
      </c>
    </row>
    <row r="315" spans="1:9" x14ac:dyDescent="0.25">
      <c r="A315" t="s">
        <v>1270</v>
      </c>
      <c r="D315" t="s">
        <v>1271</v>
      </c>
      <c r="E315" t="s">
        <v>1952</v>
      </c>
      <c r="F315" t="s">
        <v>1953</v>
      </c>
      <c r="G315" t="s">
        <v>732</v>
      </c>
      <c r="H315" t="s">
        <v>730</v>
      </c>
      <c r="I315" s="48">
        <v>46161.589962719911</v>
      </c>
    </row>
    <row r="316" spans="1:9" x14ac:dyDescent="0.25">
      <c r="A316" t="s">
        <v>1273</v>
      </c>
      <c r="D316" t="s">
        <v>1274</v>
      </c>
      <c r="E316" t="s">
        <v>1952</v>
      </c>
      <c r="F316" t="s">
        <v>1953</v>
      </c>
      <c r="G316" t="s">
        <v>732</v>
      </c>
      <c r="H316" t="s">
        <v>730</v>
      </c>
      <c r="I316" s="48">
        <v>46161.589962719911</v>
      </c>
    </row>
    <row r="317" spans="1:9" x14ac:dyDescent="0.25">
      <c r="A317" t="s">
        <v>1276</v>
      </c>
      <c r="B317" t="s">
        <v>1277</v>
      </c>
      <c r="C317" t="s">
        <v>1277</v>
      </c>
      <c r="D317" t="s">
        <v>1278</v>
      </c>
      <c r="E317" t="s">
        <v>1952</v>
      </c>
      <c r="F317" t="s">
        <v>1953</v>
      </c>
      <c r="G317" t="s">
        <v>732</v>
      </c>
      <c r="H317" t="s">
        <v>730</v>
      </c>
      <c r="I317" s="48">
        <v>46161.589962719911</v>
      </c>
    </row>
    <row r="318" spans="1:9" x14ac:dyDescent="0.25">
      <c r="A318" t="s">
        <v>1280</v>
      </c>
      <c r="D318" t="s">
        <v>1281</v>
      </c>
      <c r="E318" t="s">
        <v>1952</v>
      </c>
      <c r="F318" t="s">
        <v>1953</v>
      </c>
      <c r="G318" t="s">
        <v>732</v>
      </c>
      <c r="H318" t="s">
        <v>730</v>
      </c>
      <c r="I318" s="48">
        <v>46161.589962719911</v>
      </c>
    </row>
    <row r="319" spans="1:9" x14ac:dyDescent="0.25">
      <c r="A319" t="s">
        <v>1283</v>
      </c>
      <c r="D319" t="s">
        <v>1284</v>
      </c>
      <c r="E319" t="s">
        <v>1952</v>
      </c>
      <c r="F319" t="s">
        <v>1953</v>
      </c>
      <c r="G319" t="s">
        <v>732</v>
      </c>
      <c r="H319" t="s">
        <v>730</v>
      </c>
      <c r="I319" s="48">
        <v>46161.589962719911</v>
      </c>
    </row>
    <row r="320" spans="1:9" x14ac:dyDescent="0.25">
      <c r="A320" t="s">
        <v>1286</v>
      </c>
      <c r="D320" t="s">
        <v>1287</v>
      </c>
      <c r="E320" t="s">
        <v>1952</v>
      </c>
      <c r="F320" t="s">
        <v>1953</v>
      </c>
      <c r="G320" t="s">
        <v>732</v>
      </c>
      <c r="H320" t="s">
        <v>730</v>
      </c>
      <c r="I320" s="48">
        <v>46161.589962719911</v>
      </c>
    </row>
    <row r="321" spans="1:9" x14ac:dyDescent="0.25">
      <c r="A321" t="s">
        <v>1289</v>
      </c>
      <c r="D321" t="s">
        <v>1290</v>
      </c>
      <c r="E321" t="s">
        <v>1952</v>
      </c>
      <c r="F321" t="s">
        <v>1953</v>
      </c>
      <c r="G321" t="s">
        <v>732</v>
      </c>
      <c r="H321" t="s">
        <v>730</v>
      </c>
      <c r="I321" s="48">
        <v>46161.589962719911</v>
      </c>
    </row>
    <row r="322" spans="1:9" x14ac:dyDescent="0.25">
      <c r="A322" t="s">
        <v>1292</v>
      </c>
      <c r="D322" t="s">
        <v>1293</v>
      </c>
      <c r="E322" t="s">
        <v>1952</v>
      </c>
      <c r="F322" t="s">
        <v>1953</v>
      </c>
      <c r="G322" t="s">
        <v>732</v>
      </c>
      <c r="H322" t="s">
        <v>730</v>
      </c>
      <c r="I322" s="48">
        <v>46161.589962719911</v>
      </c>
    </row>
    <row r="323" spans="1:9" x14ac:dyDescent="0.25">
      <c r="A323" t="s">
        <v>1295</v>
      </c>
      <c r="D323" t="s">
        <v>1296</v>
      </c>
      <c r="E323" t="s">
        <v>1952</v>
      </c>
      <c r="F323" t="s">
        <v>1953</v>
      </c>
      <c r="G323" t="s">
        <v>732</v>
      </c>
      <c r="H323" t="s">
        <v>730</v>
      </c>
      <c r="I323" s="48">
        <v>46161.589962719911</v>
      </c>
    </row>
    <row r="324" spans="1:9" x14ac:dyDescent="0.25">
      <c r="A324" t="s">
        <v>1298</v>
      </c>
      <c r="D324" t="s">
        <v>1299</v>
      </c>
      <c r="E324" t="s">
        <v>1952</v>
      </c>
      <c r="F324" t="s">
        <v>1953</v>
      </c>
      <c r="G324" t="s">
        <v>732</v>
      </c>
      <c r="H324" t="s">
        <v>730</v>
      </c>
      <c r="I324" s="48">
        <v>46161.589962719911</v>
      </c>
    </row>
    <row r="325" spans="1:9" x14ac:dyDescent="0.25">
      <c r="A325" t="s">
        <v>1301</v>
      </c>
      <c r="D325" t="s">
        <v>1302</v>
      </c>
      <c r="E325" t="s">
        <v>1952</v>
      </c>
      <c r="F325" t="s">
        <v>1953</v>
      </c>
      <c r="G325" t="s">
        <v>732</v>
      </c>
      <c r="H325" t="s">
        <v>730</v>
      </c>
      <c r="I325" s="48">
        <v>46161.589962719911</v>
      </c>
    </row>
    <row r="326" spans="1:9" x14ac:dyDescent="0.25">
      <c r="A326" t="s">
        <v>1304</v>
      </c>
      <c r="D326" t="s">
        <v>1305</v>
      </c>
      <c r="E326" t="s">
        <v>1952</v>
      </c>
      <c r="F326" t="s">
        <v>1953</v>
      </c>
      <c r="G326" t="s">
        <v>732</v>
      </c>
      <c r="H326" t="s">
        <v>730</v>
      </c>
      <c r="I326" s="48">
        <v>46161.589962719911</v>
      </c>
    </row>
    <row r="327" spans="1:9" x14ac:dyDescent="0.25">
      <c r="A327" t="s">
        <v>1307</v>
      </c>
      <c r="D327" t="s">
        <v>1308</v>
      </c>
      <c r="E327" t="s">
        <v>1952</v>
      </c>
      <c r="F327" t="s">
        <v>1953</v>
      </c>
      <c r="G327" t="s">
        <v>732</v>
      </c>
      <c r="H327" t="s">
        <v>730</v>
      </c>
      <c r="I327" s="48">
        <v>46161.589962719911</v>
      </c>
    </row>
    <row r="328" spans="1:9" x14ac:dyDescent="0.25">
      <c r="A328" t="s">
        <v>1310</v>
      </c>
      <c r="D328" t="s">
        <v>1311</v>
      </c>
      <c r="E328" t="s">
        <v>1952</v>
      </c>
      <c r="F328" t="s">
        <v>1953</v>
      </c>
      <c r="G328" t="s">
        <v>732</v>
      </c>
      <c r="H328" t="s">
        <v>730</v>
      </c>
      <c r="I328" s="48">
        <v>46161.589962719911</v>
      </c>
    </row>
    <row r="329" spans="1:9" x14ac:dyDescent="0.25">
      <c r="A329" t="s">
        <v>1313</v>
      </c>
      <c r="D329" t="s">
        <v>1314</v>
      </c>
      <c r="E329" t="s">
        <v>1952</v>
      </c>
      <c r="F329" t="s">
        <v>1953</v>
      </c>
      <c r="G329" t="s">
        <v>732</v>
      </c>
      <c r="H329" t="s">
        <v>730</v>
      </c>
      <c r="I329" s="48">
        <v>46161.589962719911</v>
      </c>
    </row>
    <row r="330" spans="1:9" x14ac:dyDescent="0.25">
      <c r="A330" t="s">
        <v>1316</v>
      </c>
      <c r="D330" t="s">
        <v>1317</v>
      </c>
      <c r="E330" t="s">
        <v>1952</v>
      </c>
      <c r="F330" t="s">
        <v>1953</v>
      </c>
      <c r="G330" t="s">
        <v>732</v>
      </c>
      <c r="H330" t="s">
        <v>730</v>
      </c>
      <c r="I330" s="48">
        <v>46161.589962719911</v>
      </c>
    </row>
    <row r="331" spans="1:9" x14ac:dyDescent="0.25">
      <c r="A331" t="s">
        <v>1319</v>
      </c>
      <c r="D331" t="s">
        <v>1320</v>
      </c>
      <c r="E331" t="s">
        <v>1952</v>
      </c>
      <c r="F331" t="s">
        <v>1953</v>
      </c>
      <c r="G331" t="s">
        <v>732</v>
      </c>
      <c r="H331" t="s">
        <v>730</v>
      </c>
      <c r="I331" s="48">
        <v>46161.589962719911</v>
      </c>
    </row>
    <row r="332" spans="1:9" x14ac:dyDescent="0.25">
      <c r="A332" t="s">
        <v>1322</v>
      </c>
      <c r="D332" t="s">
        <v>1323</v>
      </c>
      <c r="E332" t="s">
        <v>1952</v>
      </c>
      <c r="F332" t="s">
        <v>1953</v>
      </c>
      <c r="G332" t="s">
        <v>732</v>
      </c>
      <c r="H332" t="s">
        <v>730</v>
      </c>
      <c r="I332" s="48">
        <v>46161.589962719911</v>
      </c>
    </row>
    <row r="333" spans="1:9" x14ac:dyDescent="0.25">
      <c r="A333" t="s">
        <v>1325</v>
      </c>
      <c r="D333" t="s">
        <v>1326</v>
      </c>
      <c r="E333" t="s">
        <v>1952</v>
      </c>
      <c r="F333" t="s">
        <v>1953</v>
      </c>
      <c r="G333" t="s">
        <v>732</v>
      </c>
      <c r="H333" t="s">
        <v>730</v>
      </c>
      <c r="I333" s="48">
        <v>46161.589962719911</v>
      </c>
    </row>
    <row r="334" spans="1:9" x14ac:dyDescent="0.25">
      <c r="A334" t="s">
        <v>1328</v>
      </c>
      <c r="D334" t="s">
        <v>1329</v>
      </c>
      <c r="E334" t="s">
        <v>1952</v>
      </c>
      <c r="F334" t="s">
        <v>1953</v>
      </c>
      <c r="G334" t="s">
        <v>732</v>
      </c>
      <c r="H334" t="s">
        <v>730</v>
      </c>
      <c r="I334" s="48">
        <v>46161.589962719911</v>
      </c>
    </row>
    <row r="335" spans="1:9" x14ac:dyDescent="0.25">
      <c r="A335" t="s">
        <v>1331</v>
      </c>
      <c r="D335" t="s">
        <v>1332</v>
      </c>
      <c r="E335" t="s">
        <v>1952</v>
      </c>
      <c r="F335" t="s">
        <v>1953</v>
      </c>
      <c r="G335" t="s">
        <v>732</v>
      </c>
      <c r="H335" t="s">
        <v>730</v>
      </c>
      <c r="I335" s="48">
        <v>46161.589962719911</v>
      </c>
    </row>
    <row r="336" spans="1:9" x14ac:dyDescent="0.25">
      <c r="A336" t="s">
        <v>1334</v>
      </c>
      <c r="D336" t="s">
        <v>1335</v>
      </c>
      <c r="E336" t="s">
        <v>1952</v>
      </c>
      <c r="F336" t="s">
        <v>1953</v>
      </c>
      <c r="G336" t="s">
        <v>732</v>
      </c>
      <c r="H336" t="s">
        <v>730</v>
      </c>
      <c r="I336" s="48">
        <v>46161.589962719911</v>
      </c>
    </row>
    <row r="337" spans="1:9" x14ac:dyDescent="0.25">
      <c r="A337" t="s">
        <v>1337</v>
      </c>
      <c r="D337" t="s">
        <v>1338</v>
      </c>
      <c r="E337" t="s">
        <v>1952</v>
      </c>
      <c r="F337" t="s">
        <v>1953</v>
      </c>
      <c r="G337" t="s">
        <v>732</v>
      </c>
      <c r="H337" t="s">
        <v>730</v>
      </c>
      <c r="I337" s="48">
        <v>46161.589962719911</v>
      </c>
    </row>
    <row r="338" spans="1:9" x14ac:dyDescent="0.25">
      <c r="A338" t="s">
        <v>1340</v>
      </c>
      <c r="D338" t="s">
        <v>1341</v>
      </c>
      <c r="E338" t="s">
        <v>1952</v>
      </c>
      <c r="F338" t="s">
        <v>1953</v>
      </c>
      <c r="G338" t="s">
        <v>732</v>
      </c>
      <c r="H338" t="s">
        <v>730</v>
      </c>
      <c r="I338" s="48">
        <v>46161.589962719911</v>
      </c>
    </row>
    <row r="339" spans="1:9" x14ac:dyDescent="0.25">
      <c r="A339" t="s">
        <v>1343</v>
      </c>
      <c r="D339" t="s">
        <v>1344</v>
      </c>
      <c r="E339" t="s">
        <v>1952</v>
      </c>
      <c r="F339" t="s">
        <v>1953</v>
      </c>
      <c r="G339" t="s">
        <v>732</v>
      </c>
      <c r="H339" t="s">
        <v>730</v>
      </c>
      <c r="I339" s="48">
        <v>46161.589962719911</v>
      </c>
    </row>
    <row r="340" spans="1:9" x14ac:dyDescent="0.25">
      <c r="A340" t="s">
        <v>1346</v>
      </c>
      <c r="D340" t="s">
        <v>1347</v>
      </c>
      <c r="E340" t="s">
        <v>1952</v>
      </c>
      <c r="F340" t="s">
        <v>1953</v>
      </c>
      <c r="G340" t="s">
        <v>732</v>
      </c>
      <c r="H340" t="s">
        <v>730</v>
      </c>
      <c r="I340" s="48">
        <v>46161.589962731479</v>
      </c>
    </row>
    <row r="341" spans="1:9" x14ac:dyDescent="0.25">
      <c r="A341" t="s">
        <v>1349</v>
      </c>
      <c r="D341" t="s">
        <v>1350</v>
      </c>
      <c r="E341" t="s">
        <v>1952</v>
      </c>
      <c r="F341" t="s">
        <v>1953</v>
      </c>
      <c r="G341" t="s">
        <v>732</v>
      </c>
      <c r="H341" t="s">
        <v>730</v>
      </c>
      <c r="I341" s="48">
        <v>46161.589962731479</v>
      </c>
    </row>
    <row r="342" spans="1:9" x14ac:dyDescent="0.25">
      <c r="A342" t="s">
        <v>1352</v>
      </c>
      <c r="D342" t="s">
        <v>1353</v>
      </c>
      <c r="E342" t="s">
        <v>1952</v>
      </c>
      <c r="F342" t="s">
        <v>1953</v>
      </c>
      <c r="G342" t="s">
        <v>732</v>
      </c>
      <c r="H342" t="s">
        <v>730</v>
      </c>
      <c r="I342" s="48">
        <v>46161.589962731479</v>
      </c>
    </row>
    <row r="343" spans="1:9" x14ac:dyDescent="0.25">
      <c r="A343" t="s">
        <v>1355</v>
      </c>
      <c r="D343" t="s">
        <v>1356</v>
      </c>
      <c r="E343" t="s">
        <v>1952</v>
      </c>
      <c r="F343" t="s">
        <v>1953</v>
      </c>
      <c r="G343" t="s">
        <v>732</v>
      </c>
      <c r="H343" t="s">
        <v>730</v>
      </c>
      <c r="I343" s="48">
        <v>46161.589962731479</v>
      </c>
    </row>
    <row r="344" spans="1:9" x14ac:dyDescent="0.25">
      <c r="A344" t="s">
        <v>1358</v>
      </c>
      <c r="D344" t="s">
        <v>1359</v>
      </c>
      <c r="E344" t="s">
        <v>1952</v>
      </c>
      <c r="F344" t="s">
        <v>1953</v>
      </c>
      <c r="G344" t="s">
        <v>732</v>
      </c>
      <c r="H344" t="s">
        <v>730</v>
      </c>
      <c r="I344" s="48">
        <v>46161.589962731479</v>
      </c>
    </row>
    <row r="345" spans="1:9" x14ac:dyDescent="0.25">
      <c r="A345" t="s">
        <v>1361</v>
      </c>
      <c r="D345" t="s">
        <v>1362</v>
      </c>
      <c r="E345" t="s">
        <v>1952</v>
      </c>
      <c r="F345" t="s">
        <v>1953</v>
      </c>
      <c r="G345" t="s">
        <v>732</v>
      </c>
      <c r="H345" t="s">
        <v>730</v>
      </c>
      <c r="I345" s="48">
        <v>46161.589962731479</v>
      </c>
    </row>
    <row r="346" spans="1:9" x14ac:dyDescent="0.25">
      <c r="A346" t="s">
        <v>1364</v>
      </c>
      <c r="D346" t="s">
        <v>1365</v>
      </c>
      <c r="E346" t="s">
        <v>1952</v>
      </c>
      <c r="F346" t="s">
        <v>1953</v>
      </c>
      <c r="G346" t="s">
        <v>732</v>
      </c>
      <c r="H346" t="s">
        <v>730</v>
      </c>
      <c r="I346" s="48">
        <v>46161.589962731479</v>
      </c>
    </row>
    <row r="347" spans="1:9" x14ac:dyDescent="0.25">
      <c r="A347" t="s">
        <v>1367</v>
      </c>
      <c r="D347" t="s">
        <v>1368</v>
      </c>
      <c r="E347" t="s">
        <v>1952</v>
      </c>
      <c r="F347" t="s">
        <v>1953</v>
      </c>
      <c r="G347" t="s">
        <v>732</v>
      </c>
      <c r="H347" t="s">
        <v>730</v>
      </c>
      <c r="I347" s="48">
        <v>46161.589962731479</v>
      </c>
    </row>
    <row r="348" spans="1:9" x14ac:dyDescent="0.25">
      <c r="A348" t="s">
        <v>1370</v>
      </c>
      <c r="D348" t="s">
        <v>1371</v>
      </c>
      <c r="E348" t="s">
        <v>1952</v>
      </c>
      <c r="F348" t="s">
        <v>1953</v>
      </c>
      <c r="G348" t="s">
        <v>732</v>
      </c>
      <c r="H348" t="s">
        <v>730</v>
      </c>
      <c r="I348" s="48">
        <v>46161.589962731479</v>
      </c>
    </row>
    <row r="349" spans="1:9" x14ac:dyDescent="0.25">
      <c r="A349" t="s">
        <v>1373</v>
      </c>
      <c r="D349" t="s">
        <v>1374</v>
      </c>
      <c r="E349" t="s">
        <v>1952</v>
      </c>
      <c r="F349" t="s">
        <v>1953</v>
      </c>
      <c r="G349" t="s">
        <v>732</v>
      </c>
      <c r="H349" t="s">
        <v>730</v>
      </c>
      <c r="I349" s="48">
        <v>46161.589962731479</v>
      </c>
    </row>
    <row r="350" spans="1:9" x14ac:dyDescent="0.25">
      <c r="A350" t="s">
        <v>1376</v>
      </c>
      <c r="D350" t="s">
        <v>1377</v>
      </c>
      <c r="E350" t="s">
        <v>1952</v>
      </c>
      <c r="F350" t="s">
        <v>1953</v>
      </c>
      <c r="G350" t="s">
        <v>732</v>
      </c>
      <c r="H350" t="s">
        <v>730</v>
      </c>
      <c r="I350" s="48">
        <v>46161.589962731479</v>
      </c>
    </row>
    <row r="351" spans="1:9" x14ac:dyDescent="0.25">
      <c r="A351" t="s">
        <v>1379</v>
      </c>
      <c r="D351" t="s">
        <v>1380</v>
      </c>
      <c r="E351" t="s">
        <v>1952</v>
      </c>
      <c r="F351" t="s">
        <v>1953</v>
      </c>
      <c r="G351" t="s">
        <v>732</v>
      </c>
      <c r="H351" t="s">
        <v>730</v>
      </c>
      <c r="I351" s="48">
        <v>46161.589962731479</v>
      </c>
    </row>
    <row r="352" spans="1:9" x14ac:dyDescent="0.25">
      <c r="A352" t="s">
        <v>1382</v>
      </c>
      <c r="D352" t="s">
        <v>1383</v>
      </c>
      <c r="E352" t="s">
        <v>1952</v>
      </c>
      <c r="F352" t="s">
        <v>1953</v>
      </c>
      <c r="G352" t="s">
        <v>732</v>
      </c>
      <c r="H352" t="s">
        <v>730</v>
      </c>
      <c r="I352" s="48">
        <v>46161.589962731479</v>
      </c>
    </row>
    <row r="353" spans="1:9" x14ac:dyDescent="0.25">
      <c r="A353" t="s">
        <v>1385</v>
      </c>
      <c r="D353" t="s">
        <v>1386</v>
      </c>
      <c r="E353" t="s">
        <v>1952</v>
      </c>
      <c r="F353" t="s">
        <v>1953</v>
      </c>
      <c r="G353" t="s">
        <v>732</v>
      </c>
      <c r="H353" t="s">
        <v>730</v>
      </c>
      <c r="I353" s="48">
        <v>46161.589962731479</v>
      </c>
    </row>
    <row r="354" spans="1:9" x14ac:dyDescent="0.25">
      <c r="A354" t="s">
        <v>1388</v>
      </c>
      <c r="D354" t="s">
        <v>1389</v>
      </c>
      <c r="E354" t="s">
        <v>1952</v>
      </c>
      <c r="F354" t="s">
        <v>1953</v>
      </c>
      <c r="G354" t="s">
        <v>732</v>
      </c>
      <c r="H354" t="s">
        <v>730</v>
      </c>
      <c r="I354" s="48">
        <v>46161.589962731479</v>
      </c>
    </row>
    <row r="355" spans="1:9" x14ac:dyDescent="0.25">
      <c r="A355" t="s">
        <v>1391</v>
      </c>
      <c r="D355" t="s">
        <v>1392</v>
      </c>
      <c r="E355" t="s">
        <v>1952</v>
      </c>
      <c r="F355" t="s">
        <v>1953</v>
      </c>
      <c r="G355" t="s">
        <v>732</v>
      </c>
      <c r="H355" t="s">
        <v>730</v>
      </c>
      <c r="I355" s="48">
        <v>46161.589962731479</v>
      </c>
    </row>
    <row r="356" spans="1:9" x14ac:dyDescent="0.25">
      <c r="A356" t="s">
        <v>1394</v>
      </c>
      <c r="D356" t="s">
        <v>1395</v>
      </c>
      <c r="E356" t="s">
        <v>1952</v>
      </c>
      <c r="F356" t="s">
        <v>1953</v>
      </c>
      <c r="G356" t="s">
        <v>732</v>
      </c>
      <c r="H356" t="s">
        <v>730</v>
      </c>
      <c r="I356" s="48">
        <v>46161.589962731479</v>
      </c>
    </row>
    <row r="357" spans="1:9" x14ac:dyDescent="0.25">
      <c r="A357" t="s">
        <v>1397</v>
      </c>
      <c r="D357" t="s">
        <v>1398</v>
      </c>
      <c r="E357" t="s">
        <v>1952</v>
      </c>
      <c r="F357" t="s">
        <v>1953</v>
      </c>
      <c r="G357" t="s">
        <v>732</v>
      </c>
      <c r="H357" t="s">
        <v>730</v>
      </c>
      <c r="I357" s="48">
        <v>46161.589962731479</v>
      </c>
    </row>
    <row r="358" spans="1:9" x14ac:dyDescent="0.25">
      <c r="A358" t="s">
        <v>1400</v>
      </c>
      <c r="D358" t="s">
        <v>1401</v>
      </c>
      <c r="E358" t="s">
        <v>1952</v>
      </c>
      <c r="F358" t="s">
        <v>1953</v>
      </c>
      <c r="G358" t="s">
        <v>732</v>
      </c>
      <c r="H358" t="s">
        <v>730</v>
      </c>
      <c r="I358" s="48">
        <v>46161.589962731479</v>
      </c>
    </row>
    <row r="359" spans="1:9" x14ac:dyDescent="0.25">
      <c r="A359" t="s">
        <v>1403</v>
      </c>
      <c r="D359" t="s">
        <v>1404</v>
      </c>
      <c r="E359" t="s">
        <v>1952</v>
      </c>
      <c r="F359" t="s">
        <v>1953</v>
      </c>
      <c r="G359" t="s">
        <v>732</v>
      </c>
      <c r="H359" t="s">
        <v>730</v>
      </c>
      <c r="I359" s="48">
        <v>46161.589962731479</v>
      </c>
    </row>
    <row r="360" spans="1:9" x14ac:dyDescent="0.25">
      <c r="A360" t="s">
        <v>1406</v>
      </c>
      <c r="D360" t="s">
        <v>1407</v>
      </c>
      <c r="E360" t="s">
        <v>1952</v>
      </c>
      <c r="F360" t="s">
        <v>1953</v>
      </c>
      <c r="G360" t="s">
        <v>732</v>
      </c>
      <c r="H360" t="s">
        <v>730</v>
      </c>
      <c r="I360" s="48">
        <v>46161.589962731479</v>
      </c>
    </row>
    <row r="361" spans="1:9" x14ac:dyDescent="0.25">
      <c r="A361" t="s">
        <v>1409</v>
      </c>
      <c r="D361" t="s">
        <v>1410</v>
      </c>
      <c r="E361" t="s">
        <v>1952</v>
      </c>
      <c r="F361" t="s">
        <v>1953</v>
      </c>
      <c r="G361" t="s">
        <v>732</v>
      </c>
      <c r="H361" t="s">
        <v>730</v>
      </c>
      <c r="I361" s="48">
        <v>46161.589962731479</v>
      </c>
    </row>
    <row r="362" spans="1:9" x14ac:dyDescent="0.25">
      <c r="A362" t="s">
        <v>1412</v>
      </c>
      <c r="D362" t="s">
        <v>1413</v>
      </c>
      <c r="E362" t="s">
        <v>1952</v>
      </c>
      <c r="F362" t="s">
        <v>1953</v>
      </c>
      <c r="G362" t="s">
        <v>732</v>
      </c>
      <c r="H362" t="s">
        <v>730</v>
      </c>
      <c r="I362" s="48">
        <v>46161.589962731479</v>
      </c>
    </row>
    <row r="363" spans="1:9" x14ac:dyDescent="0.25">
      <c r="A363" t="s">
        <v>1415</v>
      </c>
      <c r="D363" t="s">
        <v>1416</v>
      </c>
      <c r="E363" t="s">
        <v>1952</v>
      </c>
      <c r="F363" t="s">
        <v>1953</v>
      </c>
      <c r="G363" t="s">
        <v>732</v>
      </c>
      <c r="H363" t="s">
        <v>730</v>
      </c>
      <c r="I363" s="48">
        <v>46161.589962731479</v>
      </c>
    </row>
    <row r="364" spans="1:9" x14ac:dyDescent="0.25">
      <c r="A364" t="s">
        <v>1418</v>
      </c>
      <c r="D364" t="s">
        <v>1419</v>
      </c>
      <c r="E364" t="s">
        <v>1952</v>
      </c>
      <c r="F364" t="s">
        <v>1953</v>
      </c>
      <c r="G364" t="s">
        <v>732</v>
      </c>
      <c r="H364" t="s">
        <v>730</v>
      </c>
      <c r="I364" s="48">
        <v>46161.589962731479</v>
      </c>
    </row>
    <row r="365" spans="1:9" x14ac:dyDescent="0.25">
      <c r="A365" t="s">
        <v>1421</v>
      </c>
      <c r="D365" t="s">
        <v>1422</v>
      </c>
      <c r="E365" t="s">
        <v>1952</v>
      </c>
      <c r="F365" t="s">
        <v>1953</v>
      </c>
      <c r="G365" t="s">
        <v>732</v>
      </c>
      <c r="H365" t="s">
        <v>730</v>
      </c>
      <c r="I365" s="48">
        <v>46161.589962731479</v>
      </c>
    </row>
    <row r="366" spans="1:9" x14ac:dyDescent="0.25">
      <c r="A366" t="s">
        <v>1424</v>
      </c>
      <c r="D366" t="s">
        <v>1425</v>
      </c>
      <c r="E366" t="s">
        <v>1952</v>
      </c>
      <c r="F366" t="s">
        <v>1953</v>
      </c>
      <c r="G366" t="s">
        <v>732</v>
      </c>
      <c r="H366" t="s">
        <v>730</v>
      </c>
      <c r="I366" s="48">
        <v>46161.589962731479</v>
      </c>
    </row>
    <row r="367" spans="1:9" x14ac:dyDescent="0.25">
      <c r="A367" t="s">
        <v>1427</v>
      </c>
      <c r="D367" t="s">
        <v>1428</v>
      </c>
      <c r="E367" t="s">
        <v>1952</v>
      </c>
      <c r="F367" t="s">
        <v>1953</v>
      </c>
      <c r="G367" t="s">
        <v>732</v>
      </c>
      <c r="H367" t="s">
        <v>730</v>
      </c>
      <c r="I367" s="48">
        <v>46161.589962731479</v>
      </c>
    </row>
    <row r="368" spans="1:9" x14ac:dyDescent="0.25">
      <c r="A368" t="s">
        <v>1430</v>
      </c>
      <c r="D368" t="s">
        <v>1431</v>
      </c>
      <c r="E368" t="s">
        <v>1952</v>
      </c>
      <c r="F368" t="s">
        <v>1953</v>
      </c>
      <c r="G368" t="s">
        <v>732</v>
      </c>
      <c r="H368" t="s">
        <v>730</v>
      </c>
      <c r="I368" s="48">
        <v>46161.589962731479</v>
      </c>
    </row>
    <row r="369" spans="1:9" x14ac:dyDescent="0.25">
      <c r="A369" t="s">
        <v>1433</v>
      </c>
      <c r="D369" t="s">
        <v>1434</v>
      </c>
      <c r="E369" t="s">
        <v>1952</v>
      </c>
      <c r="F369" t="s">
        <v>1953</v>
      </c>
      <c r="G369" t="s">
        <v>732</v>
      </c>
      <c r="H369" t="s">
        <v>730</v>
      </c>
      <c r="I369" s="48">
        <v>46161.589962731479</v>
      </c>
    </row>
    <row r="370" spans="1:9" x14ac:dyDescent="0.25">
      <c r="A370" t="s">
        <v>1436</v>
      </c>
      <c r="D370" t="s">
        <v>1437</v>
      </c>
      <c r="E370" t="s">
        <v>1952</v>
      </c>
      <c r="F370" t="s">
        <v>1953</v>
      </c>
      <c r="G370" t="s">
        <v>732</v>
      </c>
      <c r="H370" t="s">
        <v>730</v>
      </c>
      <c r="I370" s="48">
        <v>46161.589962731479</v>
      </c>
    </row>
    <row r="371" spans="1:9" x14ac:dyDescent="0.25">
      <c r="A371" t="s">
        <v>1439</v>
      </c>
      <c r="D371" t="s">
        <v>1440</v>
      </c>
      <c r="E371" t="s">
        <v>1952</v>
      </c>
      <c r="F371" t="s">
        <v>1953</v>
      </c>
      <c r="G371" t="s">
        <v>732</v>
      </c>
      <c r="H371" t="s">
        <v>730</v>
      </c>
      <c r="I371" s="48">
        <v>46161.589962731479</v>
      </c>
    </row>
    <row r="372" spans="1:9" x14ac:dyDescent="0.25">
      <c r="A372" t="s">
        <v>1442</v>
      </c>
      <c r="D372" t="s">
        <v>1443</v>
      </c>
      <c r="E372" t="s">
        <v>1952</v>
      </c>
      <c r="F372" t="s">
        <v>1953</v>
      </c>
      <c r="G372" t="s">
        <v>732</v>
      </c>
      <c r="H372" t="s">
        <v>730</v>
      </c>
      <c r="I372" s="48">
        <v>46161.589962731479</v>
      </c>
    </row>
    <row r="373" spans="1:9" x14ac:dyDescent="0.25">
      <c r="A373" t="s">
        <v>1445</v>
      </c>
      <c r="D373" t="s">
        <v>1446</v>
      </c>
      <c r="E373" t="s">
        <v>1952</v>
      </c>
      <c r="F373" t="s">
        <v>1953</v>
      </c>
      <c r="G373" t="s">
        <v>732</v>
      </c>
      <c r="H373" t="s">
        <v>730</v>
      </c>
      <c r="I373" s="48">
        <v>46161.589962731479</v>
      </c>
    </row>
    <row r="374" spans="1:9" x14ac:dyDescent="0.25">
      <c r="A374" t="s">
        <v>1448</v>
      </c>
      <c r="D374" t="s">
        <v>1449</v>
      </c>
      <c r="E374" t="s">
        <v>1952</v>
      </c>
      <c r="F374" t="s">
        <v>1953</v>
      </c>
      <c r="G374" t="s">
        <v>732</v>
      </c>
      <c r="H374" t="s">
        <v>730</v>
      </c>
      <c r="I374" s="48">
        <v>46161.589962731479</v>
      </c>
    </row>
    <row r="375" spans="1:9" x14ac:dyDescent="0.25">
      <c r="A375" t="s">
        <v>1451</v>
      </c>
      <c r="D375" t="s">
        <v>1452</v>
      </c>
      <c r="E375" t="s">
        <v>1952</v>
      </c>
      <c r="F375" t="s">
        <v>1953</v>
      </c>
      <c r="G375" t="s">
        <v>732</v>
      </c>
      <c r="H375" t="s">
        <v>730</v>
      </c>
      <c r="I375" s="48">
        <v>46161.589962731479</v>
      </c>
    </row>
    <row r="376" spans="1:9" x14ac:dyDescent="0.25">
      <c r="A376" t="s">
        <v>1454</v>
      </c>
      <c r="D376" t="s">
        <v>1455</v>
      </c>
      <c r="E376" t="s">
        <v>1952</v>
      </c>
      <c r="F376" t="s">
        <v>1953</v>
      </c>
      <c r="G376" t="s">
        <v>732</v>
      </c>
      <c r="H376" t="s">
        <v>730</v>
      </c>
      <c r="I376" s="48">
        <v>46161.589962731479</v>
      </c>
    </row>
    <row r="377" spans="1:9" x14ac:dyDescent="0.25">
      <c r="A377" t="s">
        <v>1457</v>
      </c>
      <c r="D377" t="s">
        <v>1458</v>
      </c>
      <c r="E377" t="s">
        <v>1952</v>
      </c>
      <c r="F377" t="s">
        <v>1953</v>
      </c>
      <c r="G377" t="s">
        <v>732</v>
      </c>
      <c r="H377" t="s">
        <v>730</v>
      </c>
      <c r="I377" s="48">
        <v>46161.589962731479</v>
      </c>
    </row>
    <row r="378" spans="1:9" x14ac:dyDescent="0.25">
      <c r="A378" t="s">
        <v>1460</v>
      </c>
      <c r="D378" t="s">
        <v>1461</v>
      </c>
      <c r="E378" t="s">
        <v>1952</v>
      </c>
      <c r="F378" t="s">
        <v>1953</v>
      </c>
      <c r="G378" t="s">
        <v>732</v>
      </c>
      <c r="H378" t="s">
        <v>730</v>
      </c>
      <c r="I378" s="48">
        <v>46161.589962731479</v>
      </c>
    </row>
    <row r="379" spans="1:9" x14ac:dyDescent="0.25">
      <c r="A379" t="s">
        <v>1463</v>
      </c>
      <c r="D379" t="s">
        <v>1464</v>
      </c>
      <c r="E379" t="s">
        <v>1952</v>
      </c>
      <c r="F379" t="s">
        <v>1953</v>
      </c>
      <c r="G379" t="s">
        <v>732</v>
      </c>
      <c r="H379" t="s">
        <v>730</v>
      </c>
      <c r="I379" s="48">
        <v>46161.589962743063</v>
      </c>
    </row>
    <row r="380" spans="1:9" x14ac:dyDescent="0.25">
      <c r="A380" t="s">
        <v>1466</v>
      </c>
      <c r="D380" t="s">
        <v>1467</v>
      </c>
      <c r="E380" t="s">
        <v>1952</v>
      </c>
      <c r="F380" t="s">
        <v>1953</v>
      </c>
      <c r="G380" t="s">
        <v>732</v>
      </c>
      <c r="H380" t="s">
        <v>730</v>
      </c>
      <c r="I380" s="48">
        <v>46161.589962743063</v>
      </c>
    </row>
    <row r="381" spans="1:9" x14ac:dyDescent="0.25">
      <c r="A381" t="s">
        <v>1469</v>
      </c>
      <c r="D381" t="s">
        <v>1470</v>
      </c>
      <c r="E381" t="s">
        <v>1952</v>
      </c>
      <c r="F381" t="s">
        <v>1953</v>
      </c>
      <c r="G381" t="s">
        <v>732</v>
      </c>
      <c r="H381" t="s">
        <v>730</v>
      </c>
      <c r="I381" s="48">
        <v>46161.589962743063</v>
      </c>
    </row>
    <row r="382" spans="1:9" x14ac:dyDescent="0.25">
      <c r="A382" t="s">
        <v>1472</v>
      </c>
      <c r="D382" t="s">
        <v>1473</v>
      </c>
      <c r="E382" t="s">
        <v>1952</v>
      </c>
      <c r="F382" t="s">
        <v>1953</v>
      </c>
      <c r="G382" t="s">
        <v>732</v>
      </c>
      <c r="H382" t="s">
        <v>730</v>
      </c>
      <c r="I382" s="48">
        <v>46161.589962743063</v>
      </c>
    </row>
    <row r="383" spans="1:9" x14ac:dyDescent="0.25">
      <c r="A383" t="s">
        <v>1475</v>
      </c>
      <c r="D383" t="s">
        <v>1476</v>
      </c>
      <c r="E383" t="s">
        <v>1952</v>
      </c>
      <c r="F383" t="s">
        <v>1953</v>
      </c>
      <c r="G383" t="s">
        <v>732</v>
      </c>
      <c r="H383" t="s">
        <v>730</v>
      </c>
      <c r="I383" s="48">
        <v>46161.589962743063</v>
      </c>
    </row>
    <row r="384" spans="1:9" x14ac:dyDescent="0.25">
      <c r="A384" t="s">
        <v>1478</v>
      </c>
      <c r="D384" t="s">
        <v>1479</v>
      </c>
      <c r="E384" t="s">
        <v>1952</v>
      </c>
      <c r="F384" t="s">
        <v>1953</v>
      </c>
      <c r="G384" t="s">
        <v>732</v>
      </c>
      <c r="H384" t="s">
        <v>730</v>
      </c>
      <c r="I384" s="48">
        <v>46161.589962743063</v>
      </c>
    </row>
    <row r="385" spans="1:9" x14ac:dyDescent="0.25">
      <c r="A385" t="s">
        <v>1481</v>
      </c>
      <c r="D385" t="s">
        <v>1482</v>
      </c>
      <c r="E385" t="s">
        <v>1952</v>
      </c>
      <c r="F385" t="s">
        <v>1953</v>
      </c>
      <c r="G385" t="s">
        <v>732</v>
      </c>
      <c r="H385" t="s">
        <v>730</v>
      </c>
      <c r="I385" s="48">
        <v>46161.589962743063</v>
      </c>
    </row>
    <row r="386" spans="1:9" x14ac:dyDescent="0.25">
      <c r="A386" t="s">
        <v>1484</v>
      </c>
      <c r="D386" t="s">
        <v>1485</v>
      </c>
      <c r="E386" t="s">
        <v>1952</v>
      </c>
      <c r="F386" t="s">
        <v>1953</v>
      </c>
      <c r="G386" t="s">
        <v>732</v>
      </c>
      <c r="H386" t="s">
        <v>730</v>
      </c>
      <c r="I386" s="48">
        <v>46161.589962743063</v>
      </c>
    </row>
    <row r="387" spans="1:9" x14ac:dyDescent="0.25">
      <c r="A387" t="s">
        <v>1487</v>
      </c>
      <c r="D387" t="s">
        <v>1488</v>
      </c>
      <c r="E387" t="s">
        <v>1952</v>
      </c>
      <c r="F387" t="s">
        <v>1953</v>
      </c>
      <c r="G387" t="s">
        <v>732</v>
      </c>
      <c r="H387" t="s">
        <v>730</v>
      </c>
      <c r="I387" s="48">
        <v>46161.589962743063</v>
      </c>
    </row>
    <row r="388" spans="1:9" x14ac:dyDescent="0.25">
      <c r="A388" t="s">
        <v>1490</v>
      </c>
      <c r="D388" t="s">
        <v>1491</v>
      </c>
      <c r="E388" t="s">
        <v>1952</v>
      </c>
      <c r="F388" t="s">
        <v>1953</v>
      </c>
      <c r="G388" t="s">
        <v>732</v>
      </c>
      <c r="H388" t="s">
        <v>730</v>
      </c>
      <c r="I388" s="48">
        <v>46161.589962743063</v>
      </c>
    </row>
    <row r="389" spans="1:9" x14ac:dyDescent="0.25">
      <c r="A389" t="s">
        <v>1493</v>
      </c>
      <c r="D389" t="s">
        <v>1494</v>
      </c>
      <c r="E389" t="s">
        <v>1952</v>
      </c>
      <c r="F389" t="s">
        <v>1953</v>
      </c>
      <c r="G389" t="s">
        <v>732</v>
      </c>
      <c r="H389" t="s">
        <v>730</v>
      </c>
      <c r="I389" s="48">
        <v>46161.589962743063</v>
      </c>
    </row>
    <row r="390" spans="1:9" x14ac:dyDescent="0.25">
      <c r="A390" t="s">
        <v>1496</v>
      </c>
      <c r="D390" t="s">
        <v>1497</v>
      </c>
      <c r="E390" t="s">
        <v>1952</v>
      </c>
      <c r="F390" t="s">
        <v>1953</v>
      </c>
      <c r="G390" t="s">
        <v>732</v>
      </c>
      <c r="H390" t="s">
        <v>730</v>
      </c>
      <c r="I390" s="48">
        <v>46161.589962743063</v>
      </c>
    </row>
    <row r="391" spans="1:9" x14ac:dyDescent="0.25">
      <c r="A391" t="s">
        <v>1499</v>
      </c>
      <c r="D391" t="s">
        <v>1500</v>
      </c>
      <c r="E391" t="s">
        <v>1952</v>
      </c>
      <c r="F391" t="s">
        <v>1953</v>
      </c>
      <c r="G391" t="s">
        <v>732</v>
      </c>
      <c r="H391" t="s">
        <v>730</v>
      </c>
      <c r="I391" s="48">
        <v>46161.589962743063</v>
      </c>
    </row>
    <row r="392" spans="1:9" x14ac:dyDescent="0.25">
      <c r="A392" t="s">
        <v>1502</v>
      </c>
      <c r="D392" t="s">
        <v>1503</v>
      </c>
      <c r="E392" t="s">
        <v>1952</v>
      </c>
      <c r="F392" t="s">
        <v>1953</v>
      </c>
      <c r="G392" t="s">
        <v>732</v>
      </c>
      <c r="H392" t="s">
        <v>730</v>
      </c>
      <c r="I392" s="48">
        <v>46161.589962743063</v>
      </c>
    </row>
    <row r="393" spans="1:9" x14ac:dyDescent="0.25">
      <c r="A393" t="s">
        <v>1505</v>
      </c>
      <c r="D393" t="s">
        <v>1506</v>
      </c>
      <c r="E393" t="s">
        <v>1952</v>
      </c>
      <c r="F393" t="s">
        <v>1953</v>
      </c>
      <c r="G393" t="s">
        <v>732</v>
      </c>
      <c r="H393" t="s">
        <v>730</v>
      </c>
      <c r="I393" s="48">
        <v>46161.589962743063</v>
      </c>
    </row>
    <row r="394" spans="1:9" x14ac:dyDescent="0.25">
      <c r="A394" t="s">
        <v>1508</v>
      </c>
      <c r="B394" t="s">
        <v>1509</v>
      </c>
      <c r="C394" t="s">
        <v>1509</v>
      </c>
      <c r="D394" t="s">
        <v>1510</v>
      </c>
      <c r="E394" t="s">
        <v>1952</v>
      </c>
      <c r="F394" t="s">
        <v>1953</v>
      </c>
      <c r="G394" t="s">
        <v>732</v>
      </c>
      <c r="H394" t="s">
        <v>730</v>
      </c>
      <c r="I394" s="48">
        <v>46161.589962743063</v>
      </c>
    </row>
    <row r="395" spans="1:9" x14ac:dyDescent="0.25">
      <c r="A395" t="s">
        <v>1512</v>
      </c>
      <c r="D395" t="s">
        <v>1513</v>
      </c>
      <c r="E395" t="s">
        <v>1952</v>
      </c>
      <c r="F395" t="s">
        <v>1953</v>
      </c>
      <c r="G395" t="s">
        <v>732</v>
      </c>
      <c r="H395" t="s">
        <v>730</v>
      </c>
      <c r="I395" s="48">
        <v>46161.589962743063</v>
      </c>
    </row>
    <row r="396" spans="1:9" x14ac:dyDescent="0.25">
      <c r="A396" t="s">
        <v>1515</v>
      </c>
      <c r="D396" t="s">
        <v>1516</v>
      </c>
      <c r="E396" t="s">
        <v>1952</v>
      </c>
      <c r="F396" t="s">
        <v>1953</v>
      </c>
      <c r="G396" t="s">
        <v>732</v>
      </c>
      <c r="H396" t="s">
        <v>730</v>
      </c>
      <c r="I396" s="48">
        <v>46161.589962743063</v>
      </c>
    </row>
    <row r="397" spans="1:9" x14ac:dyDescent="0.25">
      <c r="A397" t="s">
        <v>1518</v>
      </c>
      <c r="D397" t="s">
        <v>1519</v>
      </c>
      <c r="E397" t="s">
        <v>1952</v>
      </c>
      <c r="F397" t="s">
        <v>1953</v>
      </c>
      <c r="G397" t="s">
        <v>732</v>
      </c>
      <c r="H397" t="s">
        <v>730</v>
      </c>
      <c r="I397" s="48">
        <v>46161.589962743063</v>
      </c>
    </row>
    <row r="398" spans="1:9" x14ac:dyDescent="0.25">
      <c r="A398" t="s">
        <v>1521</v>
      </c>
      <c r="D398" t="s">
        <v>1522</v>
      </c>
      <c r="E398" t="s">
        <v>1952</v>
      </c>
      <c r="F398" t="s">
        <v>1953</v>
      </c>
      <c r="G398" t="s">
        <v>732</v>
      </c>
      <c r="H398" t="s">
        <v>730</v>
      </c>
      <c r="I398" s="48">
        <v>46161.589962743063</v>
      </c>
    </row>
    <row r="399" spans="1:9" x14ac:dyDescent="0.25">
      <c r="A399" t="s">
        <v>1524</v>
      </c>
      <c r="D399" t="s">
        <v>1525</v>
      </c>
      <c r="E399" t="s">
        <v>1952</v>
      </c>
      <c r="F399" t="s">
        <v>1953</v>
      </c>
      <c r="G399" t="s">
        <v>732</v>
      </c>
      <c r="H399" t="s">
        <v>730</v>
      </c>
      <c r="I399" s="48">
        <v>46161.589962743063</v>
      </c>
    </row>
    <row r="400" spans="1:9" x14ac:dyDescent="0.25">
      <c r="A400" t="s">
        <v>1527</v>
      </c>
      <c r="D400" t="s">
        <v>1528</v>
      </c>
      <c r="E400" t="s">
        <v>1952</v>
      </c>
      <c r="F400" t="s">
        <v>1953</v>
      </c>
      <c r="G400" t="s">
        <v>732</v>
      </c>
      <c r="H400" t="s">
        <v>730</v>
      </c>
      <c r="I400" s="48">
        <v>46161.589962743063</v>
      </c>
    </row>
    <row r="401" spans="1:9" x14ac:dyDescent="0.25">
      <c r="A401" t="s">
        <v>1530</v>
      </c>
      <c r="D401" t="s">
        <v>1531</v>
      </c>
      <c r="E401" t="s">
        <v>1952</v>
      </c>
      <c r="F401" t="s">
        <v>1953</v>
      </c>
      <c r="G401" t="s">
        <v>732</v>
      </c>
      <c r="H401" t="s">
        <v>730</v>
      </c>
      <c r="I401" s="48">
        <v>46161.589962743063</v>
      </c>
    </row>
    <row r="402" spans="1:9" x14ac:dyDescent="0.25">
      <c r="A402" t="s">
        <v>1533</v>
      </c>
      <c r="D402" t="s">
        <v>1534</v>
      </c>
      <c r="E402" t="s">
        <v>1952</v>
      </c>
      <c r="F402" t="s">
        <v>1953</v>
      </c>
      <c r="G402" t="s">
        <v>732</v>
      </c>
      <c r="H402" t="s">
        <v>730</v>
      </c>
      <c r="I402" s="48">
        <v>46161.589962743063</v>
      </c>
    </row>
    <row r="403" spans="1:9" x14ac:dyDescent="0.25">
      <c r="A403" t="s">
        <v>1536</v>
      </c>
      <c r="D403" t="s">
        <v>1537</v>
      </c>
      <c r="E403" t="s">
        <v>1952</v>
      </c>
      <c r="F403" t="s">
        <v>1953</v>
      </c>
      <c r="G403" t="s">
        <v>732</v>
      </c>
      <c r="H403" t="s">
        <v>730</v>
      </c>
      <c r="I403" s="48">
        <v>46161.589962743063</v>
      </c>
    </row>
    <row r="404" spans="1:9" x14ac:dyDescent="0.25">
      <c r="A404" t="s">
        <v>1539</v>
      </c>
      <c r="D404" t="s">
        <v>1540</v>
      </c>
      <c r="E404" t="s">
        <v>1952</v>
      </c>
      <c r="F404" t="s">
        <v>1953</v>
      </c>
      <c r="G404" t="s">
        <v>732</v>
      </c>
      <c r="H404" t="s">
        <v>730</v>
      </c>
      <c r="I404" s="48">
        <v>46161.589962743063</v>
      </c>
    </row>
    <row r="405" spans="1:9" x14ac:dyDescent="0.25">
      <c r="A405" t="s">
        <v>1542</v>
      </c>
      <c r="D405" t="s">
        <v>1543</v>
      </c>
      <c r="E405" t="s">
        <v>1952</v>
      </c>
      <c r="F405" t="s">
        <v>1953</v>
      </c>
      <c r="G405" t="s">
        <v>732</v>
      </c>
      <c r="H405" t="s">
        <v>730</v>
      </c>
      <c r="I405" s="48">
        <v>46161.589962743063</v>
      </c>
    </row>
    <row r="406" spans="1:9" x14ac:dyDescent="0.25">
      <c r="A406" t="s">
        <v>1545</v>
      </c>
      <c r="D406" t="s">
        <v>1546</v>
      </c>
      <c r="E406" t="s">
        <v>1952</v>
      </c>
      <c r="F406" t="s">
        <v>1953</v>
      </c>
      <c r="G406" t="s">
        <v>732</v>
      </c>
      <c r="H406" t="s">
        <v>730</v>
      </c>
      <c r="I406" s="48">
        <v>46161.589962743063</v>
      </c>
    </row>
    <row r="407" spans="1:9" x14ac:dyDescent="0.25">
      <c r="A407" t="s">
        <v>1548</v>
      </c>
      <c r="D407" t="s">
        <v>1549</v>
      </c>
      <c r="E407" t="s">
        <v>1952</v>
      </c>
      <c r="F407" t="s">
        <v>1953</v>
      </c>
      <c r="G407" t="s">
        <v>732</v>
      </c>
      <c r="H407" t="s">
        <v>730</v>
      </c>
      <c r="I407" s="48">
        <v>46161.589962743063</v>
      </c>
    </row>
    <row r="408" spans="1:9" x14ac:dyDescent="0.25">
      <c r="A408" t="s">
        <v>1551</v>
      </c>
      <c r="D408" t="s">
        <v>1552</v>
      </c>
      <c r="E408" t="s">
        <v>1952</v>
      </c>
      <c r="F408" t="s">
        <v>1953</v>
      </c>
      <c r="G408" t="s">
        <v>732</v>
      </c>
      <c r="H408" t="s">
        <v>730</v>
      </c>
      <c r="I408" s="48">
        <v>46161.589962743063</v>
      </c>
    </row>
    <row r="409" spans="1:9" x14ac:dyDescent="0.25">
      <c r="A409" t="s">
        <v>1554</v>
      </c>
      <c r="D409" t="s">
        <v>1555</v>
      </c>
      <c r="E409" t="s">
        <v>1952</v>
      </c>
      <c r="F409" t="s">
        <v>1953</v>
      </c>
      <c r="G409" t="s">
        <v>732</v>
      </c>
      <c r="H409" t="s">
        <v>730</v>
      </c>
      <c r="I409" s="48">
        <v>46161.589962743063</v>
      </c>
    </row>
    <row r="410" spans="1:9" x14ac:dyDescent="0.25">
      <c r="A410" t="s">
        <v>1557</v>
      </c>
      <c r="D410" t="s">
        <v>1558</v>
      </c>
      <c r="E410" t="s">
        <v>1952</v>
      </c>
      <c r="F410" t="s">
        <v>1953</v>
      </c>
      <c r="G410" t="s">
        <v>732</v>
      </c>
      <c r="H410" t="s">
        <v>730</v>
      </c>
      <c r="I410" s="48">
        <v>46161.589962743063</v>
      </c>
    </row>
    <row r="411" spans="1:9" x14ac:dyDescent="0.25">
      <c r="A411" t="s">
        <v>1560</v>
      </c>
      <c r="D411" t="s">
        <v>1561</v>
      </c>
      <c r="E411" t="s">
        <v>1952</v>
      </c>
      <c r="F411" t="s">
        <v>1953</v>
      </c>
      <c r="G411" t="s">
        <v>732</v>
      </c>
      <c r="H411" t="s">
        <v>730</v>
      </c>
      <c r="I411" s="48">
        <v>46161.589962743063</v>
      </c>
    </row>
    <row r="412" spans="1:9" x14ac:dyDescent="0.25">
      <c r="A412" t="s">
        <v>1563</v>
      </c>
      <c r="D412" t="s">
        <v>1564</v>
      </c>
      <c r="E412" t="s">
        <v>1952</v>
      </c>
      <c r="F412" t="s">
        <v>1953</v>
      </c>
      <c r="G412" t="s">
        <v>732</v>
      </c>
      <c r="H412" t="s">
        <v>730</v>
      </c>
      <c r="I412" s="48">
        <v>46161.589962743063</v>
      </c>
    </row>
    <row r="413" spans="1:9" x14ac:dyDescent="0.25">
      <c r="A413" t="s">
        <v>1566</v>
      </c>
      <c r="D413" t="s">
        <v>1567</v>
      </c>
      <c r="E413" t="s">
        <v>1952</v>
      </c>
      <c r="F413" t="s">
        <v>1953</v>
      </c>
      <c r="G413" t="s">
        <v>732</v>
      </c>
      <c r="H413" t="s">
        <v>730</v>
      </c>
      <c r="I413" s="48">
        <v>46161.589962743063</v>
      </c>
    </row>
    <row r="414" spans="1:9" x14ac:dyDescent="0.25">
      <c r="A414" t="s">
        <v>1569</v>
      </c>
      <c r="D414" t="s">
        <v>1570</v>
      </c>
      <c r="E414" t="s">
        <v>1952</v>
      </c>
      <c r="F414" t="s">
        <v>1953</v>
      </c>
      <c r="G414" t="s">
        <v>732</v>
      </c>
      <c r="H414" t="s">
        <v>730</v>
      </c>
      <c r="I414" s="48">
        <v>46161.589962743063</v>
      </c>
    </row>
    <row r="415" spans="1:9" x14ac:dyDescent="0.25">
      <c r="A415" t="s">
        <v>1572</v>
      </c>
      <c r="D415" t="s">
        <v>1573</v>
      </c>
      <c r="E415" t="s">
        <v>1952</v>
      </c>
      <c r="F415" t="s">
        <v>1953</v>
      </c>
      <c r="G415" t="s">
        <v>732</v>
      </c>
      <c r="H415" t="s">
        <v>730</v>
      </c>
      <c r="I415" s="48">
        <v>46161.589962743063</v>
      </c>
    </row>
    <row r="416" spans="1:9" x14ac:dyDescent="0.25">
      <c r="A416" t="s">
        <v>1575</v>
      </c>
      <c r="D416" t="s">
        <v>1576</v>
      </c>
      <c r="E416" t="s">
        <v>1952</v>
      </c>
      <c r="F416" t="s">
        <v>1953</v>
      </c>
      <c r="G416" t="s">
        <v>732</v>
      </c>
      <c r="H416" t="s">
        <v>730</v>
      </c>
      <c r="I416" s="48">
        <v>46161.589962743063</v>
      </c>
    </row>
    <row r="417" spans="1:9" x14ac:dyDescent="0.25">
      <c r="A417" t="s">
        <v>1578</v>
      </c>
      <c r="B417" t="s">
        <v>824</v>
      </c>
      <c r="C417" t="s">
        <v>824</v>
      </c>
      <c r="D417" t="s">
        <v>1579</v>
      </c>
      <c r="E417" t="s">
        <v>1952</v>
      </c>
      <c r="F417" t="s">
        <v>1953</v>
      </c>
      <c r="G417" t="s">
        <v>732</v>
      </c>
      <c r="H417" t="s">
        <v>730</v>
      </c>
      <c r="I417" s="48">
        <v>46161.589962743063</v>
      </c>
    </row>
    <row r="418" spans="1:9" x14ac:dyDescent="0.25">
      <c r="A418" t="s">
        <v>1581</v>
      </c>
      <c r="D418" t="s">
        <v>1582</v>
      </c>
      <c r="E418" t="s">
        <v>1952</v>
      </c>
      <c r="F418" t="s">
        <v>1953</v>
      </c>
      <c r="G418" t="s">
        <v>732</v>
      </c>
      <c r="H418" t="s">
        <v>730</v>
      </c>
      <c r="I418" s="48">
        <v>46161.589962754631</v>
      </c>
    </row>
    <row r="419" spans="1:9" x14ac:dyDescent="0.25">
      <c r="A419" t="s">
        <v>1584</v>
      </c>
      <c r="D419" t="s">
        <v>1585</v>
      </c>
      <c r="E419" t="s">
        <v>1952</v>
      </c>
      <c r="F419" t="s">
        <v>1953</v>
      </c>
      <c r="G419" t="s">
        <v>732</v>
      </c>
      <c r="H419" t="s">
        <v>730</v>
      </c>
      <c r="I419" s="48">
        <v>46161.589962754631</v>
      </c>
    </row>
    <row r="420" spans="1:9" x14ac:dyDescent="0.25">
      <c r="A420" t="s">
        <v>1587</v>
      </c>
      <c r="D420" t="s">
        <v>1588</v>
      </c>
      <c r="E420" t="s">
        <v>1952</v>
      </c>
      <c r="F420" t="s">
        <v>1953</v>
      </c>
      <c r="G420" t="s">
        <v>732</v>
      </c>
      <c r="H420" t="s">
        <v>730</v>
      </c>
      <c r="I420" s="48">
        <v>46161.589962754631</v>
      </c>
    </row>
    <row r="421" spans="1:9" x14ac:dyDescent="0.25">
      <c r="A421" t="s">
        <v>1590</v>
      </c>
      <c r="D421" t="s">
        <v>1591</v>
      </c>
      <c r="E421" t="s">
        <v>1952</v>
      </c>
      <c r="F421" t="s">
        <v>1953</v>
      </c>
      <c r="G421" t="s">
        <v>732</v>
      </c>
      <c r="H421" t="s">
        <v>730</v>
      </c>
      <c r="I421" s="48">
        <v>46161.589962754631</v>
      </c>
    </row>
    <row r="422" spans="1:9" x14ac:dyDescent="0.25">
      <c r="A422" t="s">
        <v>1593</v>
      </c>
      <c r="D422" t="s">
        <v>1594</v>
      </c>
      <c r="E422" t="s">
        <v>1952</v>
      </c>
      <c r="F422" t="s">
        <v>1953</v>
      </c>
      <c r="G422" t="s">
        <v>732</v>
      </c>
      <c r="H422" t="s">
        <v>730</v>
      </c>
      <c r="I422" s="48">
        <v>46161.589962754631</v>
      </c>
    </row>
    <row r="423" spans="1:9" x14ac:dyDescent="0.25">
      <c r="A423" t="s">
        <v>1596</v>
      </c>
      <c r="D423" t="s">
        <v>1597</v>
      </c>
      <c r="E423" t="s">
        <v>1952</v>
      </c>
      <c r="F423" t="s">
        <v>1953</v>
      </c>
      <c r="G423" t="s">
        <v>732</v>
      </c>
      <c r="H423" t="s">
        <v>730</v>
      </c>
      <c r="I423" s="48">
        <v>46161.589962754631</v>
      </c>
    </row>
    <row r="424" spans="1:9" x14ac:dyDescent="0.25">
      <c r="A424" t="s">
        <v>1599</v>
      </c>
      <c r="D424" t="s">
        <v>1600</v>
      </c>
      <c r="E424" t="s">
        <v>1952</v>
      </c>
      <c r="F424" t="s">
        <v>1953</v>
      </c>
      <c r="G424" t="s">
        <v>732</v>
      </c>
      <c r="H424" t="s">
        <v>730</v>
      </c>
      <c r="I424" s="48">
        <v>46161.589962754631</v>
      </c>
    </row>
    <row r="425" spans="1:9" x14ac:dyDescent="0.25">
      <c r="A425" t="s">
        <v>1602</v>
      </c>
      <c r="D425" t="s">
        <v>1603</v>
      </c>
      <c r="E425" t="s">
        <v>1952</v>
      </c>
      <c r="F425" t="s">
        <v>1953</v>
      </c>
      <c r="G425" t="s">
        <v>732</v>
      </c>
      <c r="H425" t="s">
        <v>730</v>
      </c>
      <c r="I425" s="48">
        <v>46161.589962754631</v>
      </c>
    </row>
    <row r="426" spans="1:9" x14ac:dyDescent="0.25">
      <c r="A426" t="s">
        <v>1605</v>
      </c>
      <c r="D426" t="s">
        <v>1606</v>
      </c>
      <c r="E426" t="s">
        <v>1952</v>
      </c>
      <c r="F426" t="s">
        <v>1953</v>
      </c>
      <c r="G426" t="s">
        <v>732</v>
      </c>
      <c r="H426" t="s">
        <v>730</v>
      </c>
      <c r="I426" s="48">
        <v>46161.589962754631</v>
      </c>
    </row>
    <row r="427" spans="1:9" x14ac:dyDescent="0.25">
      <c r="A427" t="s">
        <v>1608</v>
      </c>
      <c r="D427" t="s">
        <v>1609</v>
      </c>
      <c r="E427" t="s">
        <v>1952</v>
      </c>
      <c r="F427" t="s">
        <v>1953</v>
      </c>
      <c r="G427" t="s">
        <v>732</v>
      </c>
      <c r="H427" t="s">
        <v>730</v>
      </c>
      <c r="I427" s="48">
        <v>46161.589962754631</v>
      </c>
    </row>
    <row r="428" spans="1:9" x14ac:dyDescent="0.25">
      <c r="A428" t="s">
        <v>1611</v>
      </c>
      <c r="D428" t="s">
        <v>1612</v>
      </c>
      <c r="E428" t="s">
        <v>1952</v>
      </c>
      <c r="F428" t="s">
        <v>1953</v>
      </c>
      <c r="G428" t="s">
        <v>732</v>
      </c>
      <c r="H428" t="s">
        <v>730</v>
      </c>
      <c r="I428" s="48">
        <v>46161.589962754631</v>
      </c>
    </row>
    <row r="429" spans="1:9" x14ac:dyDescent="0.25">
      <c r="A429" t="s">
        <v>1614</v>
      </c>
      <c r="D429" t="s">
        <v>1615</v>
      </c>
      <c r="E429" t="s">
        <v>1952</v>
      </c>
      <c r="F429" t="s">
        <v>1953</v>
      </c>
      <c r="G429" t="s">
        <v>732</v>
      </c>
      <c r="H429" t="s">
        <v>730</v>
      </c>
      <c r="I429" s="48">
        <v>46161.589962754631</v>
      </c>
    </row>
    <row r="430" spans="1:9" x14ac:dyDescent="0.25">
      <c r="A430" t="s">
        <v>1617</v>
      </c>
      <c r="D430" t="s">
        <v>1618</v>
      </c>
      <c r="E430" t="s">
        <v>1952</v>
      </c>
      <c r="F430" t="s">
        <v>1953</v>
      </c>
      <c r="G430" t="s">
        <v>732</v>
      </c>
      <c r="H430" t="s">
        <v>730</v>
      </c>
      <c r="I430" s="48">
        <v>46161.589962754631</v>
      </c>
    </row>
    <row r="431" spans="1:9" x14ac:dyDescent="0.25">
      <c r="A431" t="s">
        <v>1620</v>
      </c>
      <c r="D431" t="s">
        <v>1621</v>
      </c>
      <c r="E431" t="s">
        <v>1952</v>
      </c>
      <c r="F431" t="s">
        <v>1953</v>
      </c>
      <c r="G431" t="s">
        <v>732</v>
      </c>
      <c r="H431" t="s">
        <v>730</v>
      </c>
      <c r="I431" s="48">
        <v>46161.589962754631</v>
      </c>
    </row>
    <row r="432" spans="1:9" x14ac:dyDescent="0.25">
      <c r="A432" t="s">
        <v>1623</v>
      </c>
      <c r="D432" t="s">
        <v>1624</v>
      </c>
      <c r="E432" t="s">
        <v>1952</v>
      </c>
      <c r="F432" t="s">
        <v>1953</v>
      </c>
      <c r="G432" t="s">
        <v>732</v>
      </c>
      <c r="H432" t="s">
        <v>730</v>
      </c>
      <c r="I432" s="48">
        <v>46161.589962754631</v>
      </c>
    </row>
    <row r="433" spans="1:9" x14ac:dyDescent="0.25">
      <c r="A433" t="s">
        <v>1626</v>
      </c>
      <c r="D433" t="s">
        <v>1627</v>
      </c>
      <c r="E433" t="s">
        <v>1952</v>
      </c>
      <c r="F433" t="s">
        <v>1953</v>
      </c>
      <c r="G433" t="s">
        <v>732</v>
      </c>
      <c r="H433" t="s">
        <v>730</v>
      </c>
      <c r="I433" s="48">
        <v>46161.589962754631</v>
      </c>
    </row>
    <row r="434" spans="1:9" x14ac:dyDescent="0.25">
      <c r="A434" t="s">
        <v>1629</v>
      </c>
      <c r="D434" t="s">
        <v>1630</v>
      </c>
      <c r="E434" t="s">
        <v>1952</v>
      </c>
      <c r="F434" t="s">
        <v>1953</v>
      </c>
      <c r="G434" t="s">
        <v>732</v>
      </c>
      <c r="H434" t="s">
        <v>730</v>
      </c>
      <c r="I434" s="48">
        <v>46161.589962754631</v>
      </c>
    </row>
    <row r="435" spans="1:9" x14ac:dyDescent="0.25">
      <c r="A435" t="s">
        <v>1632</v>
      </c>
      <c r="D435" t="s">
        <v>1633</v>
      </c>
      <c r="E435" t="s">
        <v>1952</v>
      </c>
      <c r="F435" t="s">
        <v>1953</v>
      </c>
      <c r="G435" t="s">
        <v>732</v>
      </c>
      <c r="H435" t="s">
        <v>730</v>
      </c>
      <c r="I435" s="48">
        <v>46161.589962754631</v>
      </c>
    </row>
    <row r="436" spans="1:9" x14ac:dyDescent="0.25">
      <c r="A436" t="s">
        <v>1635</v>
      </c>
      <c r="D436" t="s">
        <v>1636</v>
      </c>
      <c r="E436" t="s">
        <v>1952</v>
      </c>
      <c r="F436" t="s">
        <v>1953</v>
      </c>
      <c r="G436" t="s">
        <v>732</v>
      </c>
      <c r="H436" t="s">
        <v>730</v>
      </c>
      <c r="I436" s="48">
        <v>46161.589962754631</v>
      </c>
    </row>
    <row r="437" spans="1:9" x14ac:dyDescent="0.25">
      <c r="A437" t="s">
        <v>1638</v>
      </c>
      <c r="D437" t="s">
        <v>1639</v>
      </c>
      <c r="E437" t="s">
        <v>1952</v>
      </c>
      <c r="F437" t="s">
        <v>1953</v>
      </c>
      <c r="G437" t="s">
        <v>732</v>
      </c>
      <c r="H437" t="s">
        <v>730</v>
      </c>
      <c r="I437" s="48">
        <v>46161.589962754631</v>
      </c>
    </row>
    <row r="438" spans="1:9" x14ac:dyDescent="0.25">
      <c r="A438" t="s">
        <v>1641</v>
      </c>
      <c r="D438" t="s">
        <v>1642</v>
      </c>
      <c r="E438" t="s">
        <v>1952</v>
      </c>
      <c r="F438" t="s">
        <v>1953</v>
      </c>
      <c r="G438" t="s">
        <v>732</v>
      </c>
      <c r="H438" t="s">
        <v>730</v>
      </c>
      <c r="I438" s="48">
        <v>46161.589962754631</v>
      </c>
    </row>
    <row r="439" spans="1:9" x14ac:dyDescent="0.25">
      <c r="A439" t="s">
        <v>1644</v>
      </c>
      <c r="D439" t="s">
        <v>1645</v>
      </c>
      <c r="E439" t="s">
        <v>1952</v>
      </c>
      <c r="F439" t="s">
        <v>1953</v>
      </c>
      <c r="G439" t="s">
        <v>732</v>
      </c>
      <c r="H439" t="s">
        <v>730</v>
      </c>
      <c r="I439" s="48">
        <v>46161.589962754631</v>
      </c>
    </row>
    <row r="440" spans="1:9" x14ac:dyDescent="0.25">
      <c r="A440" t="s">
        <v>1647</v>
      </c>
      <c r="D440" t="s">
        <v>1648</v>
      </c>
      <c r="E440" t="s">
        <v>1952</v>
      </c>
      <c r="F440" t="s">
        <v>1953</v>
      </c>
      <c r="G440" t="s">
        <v>732</v>
      </c>
      <c r="H440" t="s">
        <v>730</v>
      </c>
      <c r="I440" s="48">
        <v>46161.589962754631</v>
      </c>
    </row>
    <row r="441" spans="1:9" x14ac:dyDescent="0.25">
      <c r="A441" t="s">
        <v>1650</v>
      </c>
      <c r="D441" t="s">
        <v>1651</v>
      </c>
      <c r="E441" t="s">
        <v>1952</v>
      </c>
      <c r="F441" t="s">
        <v>1953</v>
      </c>
      <c r="G441" t="s">
        <v>732</v>
      </c>
      <c r="H441" t="s">
        <v>730</v>
      </c>
      <c r="I441" s="48">
        <v>46161.589962754631</v>
      </c>
    </row>
    <row r="442" spans="1:9" x14ac:dyDescent="0.25">
      <c r="A442" t="s">
        <v>1653</v>
      </c>
      <c r="D442" t="s">
        <v>1654</v>
      </c>
      <c r="E442" t="s">
        <v>1952</v>
      </c>
      <c r="F442" t="s">
        <v>1953</v>
      </c>
      <c r="G442" t="s">
        <v>732</v>
      </c>
      <c r="H442" t="s">
        <v>730</v>
      </c>
      <c r="I442" s="48">
        <v>46161.589962754631</v>
      </c>
    </row>
    <row r="443" spans="1:9" x14ac:dyDescent="0.25">
      <c r="A443" t="s">
        <v>1656</v>
      </c>
      <c r="D443" t="s">
        <v>1657</v>
      </c>
      <c r="E443" t="s">
        <v>1952</v>
      </c>
      <c r="F443" t="s">
        <v>1953</v>
      </c>
      <c r="G443" t="s">
        <v>732</v>
      </c>
      <c r="H443" t="s">
        <v>730</v>
      </c>
      <c r="I443" s="48">
        <v>46161.589962754631</v>
      </c>
    </row>
    <row r="444" spans="1:9" x14ac:dyDescent="0.25">
      <c r="A444" t="s">
        <v>1659</v>
      </c>
      <c r="D444" t="s">
        <v>1660</v>
      </c>
      <c r="E444" t="s">
        <v>1952</v>
      </c>
      <c r="F444" t="s">
        <v>1953</v>
      </c>
      <c r="G444" t="s">
        <v>732</v>
      </c>
      <c r="H444" t="s">
        <v>730</v>
      </c>
      <c r="I444" s="48">
        <v>46161.589962754631</v>
      </c>
    </row>
    <row r="445" spans="1:9" x14ac:dyDescent="0.25">
      <c r="A445" t="s">
        <v>1662</v>
      </c>
      <c r="D445" t="s">
        <v>1663</v>
      </c>
      <c r="E445" t="s">
        <v>1952</v>
      </c>
      <c r="F445" t="s">
        <v>1953</v>
      </c>
      <c r="G445" t="s">
        <v>732</v>
      </c>
      <c r="H445" t="s">
        <v>730</v>
      </c>
      <c r="I445" s="48">
        <v>46161.589962754631</v>
      </c>
    </row>
    <row r="446" spans="1:9" x14ac:dyDescent="0.25">
      <c r="A446" t="s">
        <v>1665</v>
      </c>
      <c r="D446" t="s">
        <v>1666</v>
      </c>
      <c r="E446" t="s">
        <v>1952</v>
      </c>
      <c r="F446" t="s">
        <v>1953</v>
      </c>
      <c r="G446" t="s">
        <v>732</v>
      </c>
      <c r="H446" t="s">
        <v>730</v>
      </c>
      <c r="I446" s="48">
        <v>46161.589962754631</v>
      </c>
    </row>
    <row r="447" spans="1:9" x14ac:dyDescent="0.25">
      <c r="A447" t="s">
        <v>1668</v>
      </c>
      <c r="D447" t="s">
        <v>1669</v>
      </c>
      <c r="E447" t="s">
        <v>1952</v>
      </c>
      <c r="F447" t="s">
        <v>1953</v>
      </c>
      <c r="G447" t="s">
        <v>732</v>
      </c>
      <c r="H447" t="s">
        <v>730</v>
      </c>
      <c r="I447" s="48">
        <v>46161.589962754631</v>
      </c>
    </row>
    <row r="448" spans="1:9" x14ac:dyDescent="0.25">
      <c r="A448" t="s">
        <v>1671</v>
      </c>
      <c r="D448" t="s">
        <v>1672</v>
      </c>
      <c r="E448" t="s">
        <v>1952</v>
      </c>
      <c r="F448" t="s">
        <v>1953</v>
      </c>
      <c r="G448" t="s">
        <v>732</v>
      </c>
      <c r="H448" t="s">
        <v>730</v>
      </c>
      <c r="I448" s="48">
        <v>46161.589962754631</v>
      </c>
    </row>
    <row r="449" spans="1:9" x14ac:dyDescent="0.25">
      <c r="A449" t="s">
        <v>1674</v>
      </c>
      <c r="D449" t="s">
        <v>1675</v>
      </c>
      <c r="E449" t="s">
        <v>1952</v>
      </c>
      <c r="F449" t="s">
        <v>1953</v>
      </c>
      <c r="G449" t="s">
        <v>732</v>
      </c>
      <c r="H449" t="s">
        <v>730</v>
      </c>
      <c r="I449" s="48">
        <v>46161.589962754631</v>
      </c>
    </row>
    <row r="450" spans="1:9" x14ac:dyDescent="0.25">
      <c r="A450" t="s">
        <v>1677</v>
      </c>
      <c r="D450" t="s">
        <v>1678</v>
      </c>
      <c r="E450" t="s">
        <v>1952</v>
      </c>
      <c r="F450" t="s">
        <v>1953</v>
      </c>
      <c r="G450" t="s">
        <v>732</v>
      </c>
      <c r="H450" t="s">
        <v>730</v>
      </c>
      <c r="I450" s="48">
        <v>46161.589962754631</v>
      </c>
    </row>
    <row r="451" spans="1:9" x14ac:dyDescent="0.25">
      <c r="A451" t="s">
        <v>1680</v>
      </c>
      <c r="D451" t="s">
        <v>1681</v>
      </c>
      <c r="E451" t="s">
        <v>1952</v>
      </c>
      <c r="F451" t="s">
        <v>1953</v>
      </c>
      <c r="G451" t="s">
        <v>732</v>
      </c>
      <c r="H451" t="s">
        <v>730</v>
      </c>
      <c r="I451" s="48">
        <v>46161.589962754631</v>
      </c>
    </row>
    <row r="452" spans="1:9" x14ac:dyDescent="0.25">
      <c r="A452" t="s">
        <v>1683</v>
      </c>
      <c r="B452" t="s">
        <v>1684</v>
      </c>
      <c r="C452" t="s">
        <v>1684</v>
      </c>
      <c r="D452" t="s">
        <v>1685</v>
      </c>
      <c r="E452" t="s">
        <v>1952</v>
      </c>
      <c r="F452" t="s">
        <v>1953</v>
      </c>
      <c r="G452" t="s">
        <v>732</v>
      </c>
      <c r="H452" t="s">
        <v>730</v>
      </c>
      <c r="I452" s="48">
        <v>46161.589962754631</v>
      </c>
    </row>
    <row r="453" spans="1:9" x14ac:dyDescent="0.25">
      <c r="A453" t="s">
        <v>1687</v>
      </c>
      <c r="D453" t="s">
        <v>1688</v>
      </c>
      <c r="E453" t="s">
        <v>1952</v>
      </c>
      <c r="F453" t="s">
        <v>1953</v>
      </c>
      <c r="G453" t="s">
        <v>732</v>
      </c>
      <c r="H453" t="s">
        <v>730</v>
      </c>
      <c r="I453" s="48">
        <v>46161.589962754631</v>
      </c>
    </row>
    <row r="454" spans="1:9" x14ac:dyDescent="0.25">
      <c r="A454" t="s">
        <v>1690</v>
      </c>
      <c r="D454" t="s">
        <v>1691</v>
      </c>
      <c r="E454" t="s">
        <v>1952</v>
      </c>
      <c r="F454" t="s">
        <v>1953</v>
      </c>
      <c r="G454" t="s">
        <v>732</v>
      </c>
      <c r="H454" t="s">
        <v>730</v>
      </c>
      <c r="I454" s="48">
        <v>46161.589962754631</v>
      </c>
    </row>
    <row r="455" spans="1:9" x14ac:dyDescent="0.25">
      <c r="A455" t="s">
        <v>1693</v>
      </c>
      <c r="D455" t="s">
        <v>1694</v>
      </c>
      <c r="E455" t="s">
        <v>1952</v>
      </c>
      <c r="F455" t="s">
        <v>1953</v>
      </c>
      <c r="G455" t="s">
        <v>732</v>
      </c>
      <c r="H455" t="s">
        <v>730</v>
      </c>
      <c r="I455" s="48">
        <v>46161.589962754631</v>
      </c>
    </row>
    <row r="456" spans="1:9" x14ac:dyDescent="0.25">
      <c r="A456" t="s">
        <v>1696</v>
      </c>
      <c r="D456" t="s">
        <v>1697</v>
      </c>
      <c r="E456" t="s">
        <v>1952</v>
      </c>
      <c r="F456" t="s">
        <v>1953</v>
      </c>
      <c r="G456" t="s">
        <v>732</v>
      </c>
      <c r="H456" t="s">
        <v>730</v>
      </c>
      <c r="I456" s="48">
        <v>46161.589962754631</v>
      </c>
    </row>
    <row r="457" spans="1:9" x14ac:dyDescent="0.25">
      <c r="A457" t="s">
        <v>1699</v>
      </c>
      <c r="D457" t="s">
        <v>1700</v>
      </c>
      <c r="E457" t="s">
        <v>1952</v>
      </c>
      <c r="F457" t="s">
        <v>1953</v>
      </c>
      <c r="G457" t="s">
        <v>732</v>
      </c>
      <c r="H457" t="s">
        <v>730</v>
      </c>
      <c r="I457" s="48">
        <v>46161.5899627662</v>
      </c>
    </row>
    <row r="458" spans="1:9" x14ac:dyDescent="0.25">
      <c r="A458" t="s">
        <v>1702</v>
      </c>
      <c r="D458" t="s">
        <v>1703</v>
      </c>
      <c r="E458" t="s">
        <v>1952</v>
      </c>
      <c r="F458" t="s">
        <v>1953</v>
      </c>
      <c r="G458" t="s">
        <v>732</v>
      </c>
      <c r="H458" t="s">
        <v>730</v>
      </c>
      <c r="I458" s="48">
        <v>46161.5899627662</v>
      </c>
    </row>
    <row r="459" spans="1:9" x14ac:dyDescent="0.25">
      <c r="A459" t="s">
        <v>1705</v>
      </c>
      <c r="D459" t="s">
        <v>1706</v>
      </c>
      <c r="E459" t="s">
        <v>1952</v>
      </c>
      <c r="F459" t="s">
        <v>1953</v>
      </c>
      <c r="G459" t="s">
        <v>732</v>
      </c>
      <c r="H459" t="s">
        <v>730</v>
      </c>
      <c r="I459" s="48">
        <v>46161.5899627662</v>
      </c>
    </row>
    <row r="460" spans="1:9" x14ac:dyDescent="0.25">
      <c r="A460" t="s">
        <v>1708</v>
      </c>
      <c r="D460" t="s">
        <v>1709</v>
      </c>
      <c r="E460" t="s">
        <v>1952</v>
      </c>
      <c r="F460" t="s">
        <v>1953</v>
      </c>
      <c r="G460" t="s">
        <v>732</v>
      </c>
      <c r="H460" t="s">
        <v>730</v>
      </c>
      <c r="I460" s="48">
        <v>46161.5899627662</v>
      </c>
    </row>
    <row r="461" spans="1:9" x14ac:dyDescent="0.25">
      <c r="A461" t="s">
        <v>1711</v>
      </c>
      <c r="D461" t="s">
        <v>1712</v>
      </c>
      <c r="E461" t="s">
        <v>1952</v>
      </c>
      <c r="F461" t="s">
        <v>1953</v>
      </c>
      <c r="G461" t="s">
        <v>732</v>
      </c>
      <c r="H461" t="s">
        <v>730</v>
      </c>
      <c r="I461" s="48">
        <v>46161.5899627662</v>
      </c>
    </row>
    <row r="462" spans="1:9" x14ac:dyDescent="0.25">
      <c r="A462" t="s">
        <v>1714</v>
      </c>
      <c r="D462" t="s">
        <v>1715</v>
      </c>
      <c r="E462" t="s">
        <v>1952</v>
      </c>
      <c r="F462" t="s">
        <v>1953</v>
      </c>
      <c r="G462" t="s">
        <v>732</v>
      </c>
      <c r="H462" t="s">
        <v>730</v>
      </c>
      <c r="I462" s="48">
        <v>46161.5899627662</v>
      </c>
    </row>
    <row r="463" spans="1:9" x14ac:dyDescent="0.25">
      <c r="A463" t="s">
        <v>1717</v>
      </c>
      <c r="D463" t="s">
        <v>1718</v>
      </c>
      <c r="E463" t="s">
        <v>1952</v>
      </c>
      <c r="F463" t="s">
        <v>1953</v>
      </c>
      <c r="G463" t="s">
        <v>732</v>
      </c>
      <c r="H463" t="s">
        <v>730</v>
      </c>
      <c r="I463" s="48">
        <v>46161.5899627662</v>
      </c>
    </row>
    <row r="464" spans="1:9" x14ac:dyDescent="0.25">
      <c r="A464" t="s">
        <v>1720</v>
      </c>
      <c r="D464" t="s">
        <v>1721</v>
      </c>
      <c r="E464" t="s">
        <v>1952</v>
      </c>
      <c r="F464" t="s">
        <v>1953</v>
      </c>
      <c r="G464" t="s">
        <v>732</v>
      </c>
      <c r="H464" t="s">
        <v>730</v>
      </c>
      <c r="I464" s="48">
        <v>46161.5899627662</v>
      </c>
    </row>
    <row r="465" spans="1:9" x14ac:dyDescent="0.25">
      <c r="A465" t="s">
        <v>1723</v>
      </c>
      <c r="D465" t="s">
        <v>1724</v>
      </c>
      <c r="E465" t="s">
        <v>1952</v>
      </c>
      <c r="F465" t="s">
        <v>1953</v>
      </c>
      <c r="G465" t="s">
        <v>732</v>
      </c>
      <c r="H465" t="s">
        <v>730</v>
      </c>
      <c r="I465" s="48">
        <v>46161.5899627662</v>
      </c>
    </row>
    <row r="466" spans="1:9" x14ac:dyDescent="0.25">
      <c r="A466" t="s">
        <v>1726</v>
      </c>
      <c r="D466" t="s">
        <v>1727</v>
      </c>
      <c r="E466" t="s">
        <v>1952</v>
      </c>
      <c r="F466" t="s">
        <v>1953</v>
      </c>
      <c r="G466" t="s">
        <v>732</v>
      </c>
      <c r="H466" t="s">
        <v>730</v>
      </c>
      <c r="I466" s="48">
        <v>46161.5899627662</v>
      </c>
    </row>
    <row r="467" spans="1:9" x14ac:dyDescent="0.25">
      <c r="A467" t="s">
        <v>1729</v>
      </c>
      <c r="B467" t="s">
        <v>1277</v>
      </c>
      <c r="C467" t="s">
        <v>1277</v>
      </c>
      <c r="D467" t="s">
        <v>1730</v>
      </c>
      <c r="E467" t="s">
        <v>1952</v>
      </c>
      <c r="F467" t="s">
        <v>1953</v>
      </c>
      <c r="G467" t="s">
        <v>732</v>
      </c>
      <c r="H467" t="s">
        <v>730</v>
      </c>
      <c r="I467" s="48">
        <v>46161.5899627662</v>
      </c>
    </row>
    <row r="468" spans="1:9" x14ac:dyDescent="0.25">
      <c r="A468" t="s">
        <v>1732</v>
      </c>
      <c r="D468" t="s">
        <v>1733</v>
      </c>
      <c r="E468" t="s">
        <v>1952</v>
      </c>
      <c r="F468" t="s">
        <v>1953</v>
      </c>
      <c r="G468" t="s">
        <v>732</v>
      </c>
      <c r="H468" t="s">
        <v>730</v>
      </c>
      <c r="I468" s="48">
        <v>46161.5899627662</v>
      </c>
    </row>
    <row r="469" spans="1:9" x14ac:dyDescent="0.25">
      <c r="A469" t="s">
        <v>1735</v>
      </c>
      <c r="D469" t="s">
        <v>1736</v>
      </c>
      <c r="E469" t="s">
        <v>1952</v>
      </c>
      <c r="F469" t="s">
        <v>1953</v>
      </c>
      <c r="G469" t="s">
        <v>732</v>
      </c>
      <c r="H469" t="s">
        <v>730</v>
      </c>
      <c r="I469" s="48">
        <v>46161.5899627662</v>
      </c>
    </row>
    <row r="470" spans="1:9" x14ac:dyDescent="0.25">
      <c r="A470" t="s">
        <v>1738</v>
      </c>
      <c r="D470" t="s">
        <v>1739</v>
      </c>
      <c r="E470" t="s">
        <v>1952</v>
      </c>
      <c r="F470" t="s">
        <v>1953</v>
      </c>
      <c r="G470" t="s">
        <v>732</v>
      </c>
      <c r="H470" t="s">
        <v>730</v>
      </c>
      <c r="I470" s="48">
        <v>46161.5899627662</v>
      </c>
    </row>
    <row r="471" spans="1:9" x14ac:dyDescent="0.25">
      <c r="A471" t="s">
        <v>1741</v>
      </c>
      <c r="D471" t="s">
        <v>1742</v>
      </c>
      <c r="E471" t="s">
        <v>1952</v>
      </c>
      <c r="F471" t="s">
        <v>1953</v>
      </c>
      <c r="G471" t="s">
        <v>732</v>
      </c>
      <c r="H471" t="s">
        <v>730</v>
      </c>
      <c r="I471" s="48">
        <v>46161.5899627662</v>
      </c>
    </row>
    <row r="472" spans="1:9" x14ac:dyDescent="0.25">
      <c r="A472" t="s">
        <v>1744</v>
      </c>
      <c r="D472" t="s">
        <v>1745</v>
      </c>
      <c r="E472" t="s">
        <v>1952</v>
      </c>
      <c r="F472" t="s">
        <v>1953</v>
      </c>
      <c r="G472" t="s">
        <v>732</v>
      </c>
      <c r="H472" t="s">
        <v>730</v>
      </c>
      <c r="I472" s="48">
        <v>46161.5899627662</v>
      </c>
    </row>
    <row r="473" spans="1:9" x14ac:dyDescent="0.25">
      <c r="A473" t="s">
        <v>1747</v>
      </c>
      <c r="D473" t="s">
        <v>1748</v>
      </c>
      <c r="E473" t="s">
        <v>1952</v>
      </c>
      <c r="F473" t="s">
        <v>1953</v>
      </c>
      <c r="G473" t="s">
        <v>732</v>
      </c>
      <c r="H473" t="s">
        <v>730</v>
      </c>
      <c r="I473" s="48">
        <v>46161.5899627662</v>
      </c>
    </row>
    <row r="474" spans="1:9" x14ac:dyDescent="0.25">
      <c r="A474" t="s">
        <v>1750</v>
      </c>
      <c r="D474" t="s">
        <v>1751</v>
      </c>
      <c r="E474" t="s">
        <v>1952</v>
      </c>
      <c r="F474" t="s">
        <v>1953</v>
      </c>
      <c r="G474" t="s">
        <v>732</v>
      </c>
      <c r="H474" t="s">
        <v>730</v>
      </c>
      <c r="I474" s="48">
        <v>46161.5899627662</v>
      </c>
    </row>
    <row r="475" spans="1:9" x14ac:dyDescent="0.25">
      <c r="A475" t="s">
        <v>1753</v>
      </c>
      <c r="D475" t="s">
        <v>1754</v>
      </c>
      <c r="E475" t="s">
        <v>1952</v>
      </c>
      <c r="F475" t="s">
        <v>1953</v>
      </c>
      <c r="G475" t="s">
        <v>732</v>
      </c>
      <c r="H475" t="s">
        <v>730</v>
      </c>
      <c r="I475" s="48">
        <v>46161.5899627662</v>
      </c>
    </row>
    <row r="476" spans="1:9" x14ac:dyDescent="0.25">
      <c r="A476" t="s">
        <v>1756</v>
      </c>
      <c r="D476" t="s">
        <v>1757</v>
      </c>
      <c r="E476" t="s">
        <v>1952</v>
      </c>
      <c r="F476" t="s">
        <v>1953</v>
      </c>
      <c r="G476" t="s">
        <v>732</v>
      </c>
      <c r="H476" t="s">
        <v>730</v>
      </c>
      <c r="I476" s="48">
        <v>46161.5899627662</v>
      </c>
    </row>
    <row r="477" spans="1:9" x14ac:dyDescent="0.25">
      <c r="A477" t="s">
        <v>1759</v>
      </c>
      <c r="D477" t="s">
        <v>1760</v>
      </c>
      <c r="E477" t="s">
        <v>1952</v>
      </c>
      <c r="F477" t="s">
        <v>1953</v>
      </c>
      <c r="G477" t="s">
        <v>732</v>
      </c>
      <c r="H477" t="s">
        <v>730</v>
      </c>
      <c r="I477" s="48">
        <v>46161.5899627662</v>
      </c>
    </row>
    <row r="478" spans="1:9" x14ac:dyDescent="0.25">
      <c r="A478" t="s">
        <v>1762</v>
      </c>
      <c r="D478" t="s">
        <v>1763</v>
      </c>
      <c r="E478" t="s">
        <v>1952</v>
      </c>
      <c r="F478" t="s">
        <v>1953</v>
      </c>
      <c r="G478" t="s">
        <v>732</v>
      </c>
      <c r="H478" t="s">
        <v>730</v>
      </c>
      <c r="I478" s="48">
        <v>46161.5899627662</v>
      </c>
    </row>
    <row r="479" spans="1:9" x14ac:dyDescent="0.25">
      <c r="A479" t="s">
        <v>1765</v>
      </c>
      <c r="D479" t="s">
        <v>1766</v>
      </c>
      <c r="E479" t="s">
        <v>1952</v>
      </c>
      <c r="F479" t="s">
        <v>1953</v>
      </c>
      <c r="G479" t="s">
        <v>732</v>
      </c>
      <c r="H479" t="s">
        <v>730</v>
      </c>
      <c r="I479" s="48">
        <v>46161.5899627662</v>
      </c>
    </row>
    <row r="480" spans="1:9" x14ac:dyDescent="0.25">
      <c r="A480" t="s">
        <v>1768</v>
      </c>
      <c r="D480" t="s">
        <v>1769</v>
      </c>
      <c r="E480" t="s">
        <v>1952</v>
      </c>
      <c r="F480" t="s">
        <v>1953</v>
      </c>
      <c r="G480" t="s">
        <v>732</v>
      </c>
      <c r="H480" t="s">
        <v>730</v>
      </c>
      <c r="I480" s="48">
        <v>46161.5899627662</v>
      </c>
    </row>
    <row r="481" spans="1:9" x14ac:dyDescent="0.25">
      <c r="A481" t="s">
        <v>1771</v>
      </c>
      <c r="D481" t="s">
        <v>1772</v>
      </c>
      <c r="E481" t="s">
        <v>1952</v>
      </c>
      <c r="F481" t="s">
        <v>1953</v>
      </c>
      <c r="G481" t="s">
        <v>732</v>
      </c>
      <c r="H481" t="s">
        <v>730</v>
      </c>
      <c r="I481" s="48">
        <v>46161.5899627662</v>
      </c>
    </row>
    <row r="482" spans="1:9" x14ac:dyDescent="0.25">
      <c r="A482" t="s">
        <v>1774</v>
      </c>
      <c r="D482" t="s">
        <v>1775</v>
      </c>
      <c r="E482" t="s">
        <v>1952</v>
      </c>
      <c r="F482" t="s">
        <v>1953</v>
      </c>
      <c r="G482" t="s">
        <v>732</v>
      </c>
      <c r="H482" t="s">
        <v>730</v>
      </c>
      <c r="I482" s="48">
        <v>46161.5899627662</v>
      </c>
    </row>
    <row r="483" spans="1:9" x14ac:dyDescent="0.25">
      <c r="A483" t="s">
        <v>1777</v>
      </c>
      <c r="D483" t="s">
        <v>1778</v>
      </c>
      <c r="E483" t="s">
        <v>1952</v>
      </c>
      <c r="F483" t="s">
        <v>1953</v>
      </c>
      <c r="G483" t="s">
        <v>732</v>
      </c>
      <c r="H483" t="s">
        <v>730</v>
      </c>
      <c r="I483" s="48">
        <v>46161.5899627662</v>
      </c>
    </row>
    <row r="484" spans="1:9" x14ac:dyDescent="0.25">
      <c r="A484" t="s">
        <v>1780</v>
      </c>
      <c r="D484" t="s">
        <v>1781</v>
      </c>
      <c r="E484" t="s">
        <v>1952</v>
      </c>
      <c r="F484" t="s">
        <v>1953</v>
      </c>
      <c r="G484" t="s">
        <v>732</v>
      </c>
      <c r="H484" t="s">
        <v>730</v>
      </c>
      <c r="I484" s="48">
        <v>46161.5899627662</v>
      </c>
    </row>
    <row r="485" spans="1:9" x14ac:dyDescent="0.25">
      <c r="A485" t="s">
        <v>1783</v>
      </c>
      <c r="D485" t="s">
        <v>1784</v>
      </c>
      <c r="E485" t="s">
        <v>1952</v>
      </c>
      <c r="F485" t="s">
        <v>1953</v>
      </c>
      <c r="G485" t="s">
        <v>732</v>
      </c>
      <c r="H485" t="s">
        <v>730</v>
      </c>
      <c r="I485" s="48">
        <v>46161.5899627662</v>
      </c>
    </row>
    <row r="486" spans="1:9" x14ac:dyDescent="0.25">
      <c r="A486" t="s">
        <v>1786</v>
      </c>
      <c r="D486" t="s">
        <v>1787</v>
      </c>
      <c r="E486" t="s">
        <v>1952</v>
      </c>
      <c r="F486" t="s">
        <v>1953</v>
      </c>
      <c r="G486" t="s">
        <v>732</v>
      </c>
      <c r="H486" t="s">
        <v>730</v>
      </c>
      <c r="I486" s="48">
        <v>46161.5899627662</v>
      </c>
    </row>
    <row r="487" spans="1:9" x14ac:dyDescent="0.25">
      <c r="A487" t="s">
        <v>1789</v>
      </c>
      <c r="D487" t="s">
        <v>1790</v>
      </c>
      <c r="E487" t="s">
        <v>1952</v>
      </c>
      <c r="F487" t="s">
        <v>1953</v>
      </c>
      <c r="G487" t="s">
        <v>732</v>
      </c>
      <c r="H487" t="s">
        <v>730</v>
      </c>
      <c r="I487" s="48">
        <v>46161.5899627662</v>
      </c>
    </row>
    <row r="488" spans="1:9" x14ac:dyDescent="0.25">
      <c r="A488" t="s">
        <v>1792</v>
      </c>
      <c r="D488" t="s">
        <v>1793</v>
      </c>
      <c r="E488" t="s">
        <v>1952</v>
      </c>
      <c r="F488" t="s">
        <v>1953</v>
      </c>
      <c r="G488" t="s">
        <v>732</v>
      </c>
      <c r="H488" t="s">
        <v>730</v>
      </c>
      <c r="I488" s="48">
        <v>46161.5899627662</v>
      </c>
    </row>
    <row r="489" spans="1:9" x14ac:dyDescent="0.25">
      <c r="A489" t="s">
        <v>1795</v>
      </c>
      <c r="D489" t="s">
        <v>1796</v>
      </c>
      <c r="E489" t="s">
        <v>1952</v>
      </c>
      <c r="F489" t="s">
        <v>1953</v>
      </c>
      <c r="G489" t="s">
        <v>732</v>
      </c>
      <c r="H489" t="s">
        <v>730</v>
      </c>
      <c r="I489" s="48">
        <v>46161.5899627662</v>
      </c>
    </row>
    <row r="490" spans="1:9" x14ac:dyDescent="0.25">
      <c r="A490" t="s">
        <v>1798</v>
      </c>
      <c r="D490" t="s">
        <v>1799</v>
      </c>
      <c r="E490" t="s">
        <v>1952</v>
      </c>
      <c r="F490" t="s">
        <v>1953</v>
      </c>
      <c r="G490" t="s">
        <v>732</v>
      </c>
      <c r="H490" t="s">
        <v>730</v>
      </c>
      <c r="I490" s="48">
        <v>46161.5899627662</v>
      </c>
    </row>
    <row r="491" spans="1:9" x14ac:dyDescent="0.25">
      <c r="A491" t="s">
        <v>1801</v>
      </c>
      <c r="D491" t="s">
        <v>1802</v>
      </c>
      <c r="E491" t="s">
        <v>1952</v>
      </c>
      <c r="F491" t="s">
        <v>1953</v>
      </c>
      <c r="G491" t="s">
        <v>732</v>
      </c>
      <c r="H491" t="s">
        <v>730</v>
      </c>
      <c r="I491" s="48">
        <v>46161.5899627662</v>
      </c>
    </row>
    <row r="492" spans="1:9" x14ac:dyDescent="0.25">
      <c r="A492" t="s">
        <v>1804</v>
      </c>
      <c r="D492" t="s">
        <v>1805</v>
      </c>
      <c r="E492" t="s">
        <v>1952</v>
      </c>
      <c r="F492" t="s">
        <v>1953</v>
      </c>
      <c r="G492" t="s">
        <v>732</v>
      </c>
      <c r="H492" t="s">
        <v>730</v>
      </c>
      <c r="I492" s="48">
        <v>46161.5899627662</v>
      </c>
    </row>
    <row r="493" spans="1:9" x14ac:dyDescent="0.25">
      <c r="A493" t="s">
        <v>1807</v>
      </c>
      <c r="D493" t="s">
        <v>1808</v>
      </c>
      <c r="E493" t="s">
        <v>1952</v>
      </c>
      <c r="F493" t="s">
        <v>1953</v>
      </c>
      <c r="G493" t="s">
        <v>732</v>
      </c>
      <c r="H493" t="s">
        <v>730</v>
      </c>
      <c r="I493" s="48">
        <v>46161.5899627662</v>
      </c>
    </row>
    <row r="494" spans="1:9" x14ac:dyDescent="0.25">
      <c r="A494" t="s">
        <v>1810</v>
      </c>
      <c r="B494" t="s">
        <v>1811</v>
      </c>
      <c r="C494" t="s">
        <v>1811</v>
      </c>
      <c r="D494" t="s">
        <v>1812</v>
      </c>
      <c r="E494" t="s">
        <v>1952</v>
      </c>
      <c r="F494" t="s">
        <v>1953</v>
      </c>
      <c r="G494" t="s">
        <v>732</v>
      </c>
      <c r="H494" t="s">
        <v>730</v>
      </c>
      <c r="I494" s="48">
        <v>46161.5899627662</v>
      </c>
    </row>
    <row r="495" spans="1:9" x14ac:dyDescent="0.25">
      <c r="A495" t="s">
        <v>1814</v>
      </c>
      <c r="D495" t="s">
        <v>1815</v>
      </c>
      <c r="E495" t="s">
        <v>1952</v>
      </c>
      <c r="F495" t="s">
        <v>1953</v>
      </c>
      <c r="G495" t="s">
        <v>732</v>
      </c>
      <c r="H495" t="s">
        <v>730</v>
      </c>
      <c r="I495" s="48">
        <v>46161.5899627662</v>
      </c>
    </row>
    <row r="496" spans="1:9" x14ac:dyDescent="0.25">
      <c r="A496" t="s">
        <v>1817</v>
      </c>
      <c r="D496" t="s">
        <v>1818</v>
      </c>
      <c r="E496" t="s">
        <v>1952</v>
      </c>
      <c r="F496" t="s">
        <v>1953</v>
      </c>
      <c r="G496" t="s">
        <v>732</v>
      </c>
      <c r="H496" t="s">
        <v>730</v>
      </c>
      <c r="I496" s="48">
        <v>46161.589962777784</v>
      </c>
    </row>
    <row r="497" spans="1:9" x14ac:dyDescent="0.25">
      <c r="A497" t="s">
        <v>1820</v>
      </c>
      <c r="D497" t="s">
        <v>1821</v>
      </c>
      <c r="E497" t="s">
        <v>1952</v>
      </c>
      <c r="F497" t="s">
        <v>1953</v>
      </c>
      <c r="G497" t="s">
        <v>732</v>
      </c>
      <c r="H497" t="s">
        <v>730</v>
      </c>
      <c r="I497" s="48">
        <v>46161.589962777784</v>
      </c>
    </row>
    <row r="498" spans="1:9" x14ac:dyDescent="0.25">
      <c r="A498" t="s">
        <v>1823</v>
      </c>
      <c r="D498" t="s">
        <v>1824</v>
      </c>
      <c r="E498" t="s">
        <v>1952</v>
      </c>
      <c r="F498" t="s">
        <v>1953</v>
      </c>
      <c r="G498" t="s">
        <v>732</v>
      </c>
      <c r="H498" t="s">
        <v>730</v>
      </c>
      <c r="I498" s="48">
        <v>46161.589962777784</v>
      </c>
    </row>
    <row r="499" spans="1:9" x14ac:dyDescent="0.25">
      <c r="A499" t="s">
        <v>1826</v>
      </c>
      <c r="D499" t="s">
        <v>1827</v>
      </c>
      <c r="E499" t="s">
        <v>1952</v>
      </c>
      <c r="F499" t="s">
        <v>1953</v>
      </c>
      <c r="G499" t="s">
        <v>732</v>
      </c>
      <c r="H499" t="s">
        <v>730</v>
      </c>
      <c r="I499" s="48">
        <v>46161.589962777784</v>
      </c>
    </row>
    <row r="500" spans="1:9" x14ac:dyDescent="0.25">
      <c r="A500" t="s">
        <v>1829</v>
      </c>
      <c r="D500" t="s">
        <v>1830</v>
      </c>
      <c r="E500" t="s">
        <v>1952</v>
      </c>
      <c r="F500" t="s">
        <v>1953</v>
      </c>
      <c r="G500" t="s">
        <v>732</v>
      </c>
      <c r="H500" t="s">
        <v>730</v>
      </c>
      <c r="I500" s="48">
        <v>46161.589962777784</v>
      </c>
    </row>
    <row r="501" spans="1:9" x14ac:dyDescent="0.25">
      <c r="A501" t="s">
        <v>1832</v>
      </c>
      <c r="D501" t="s">
        <v>1833</v>
      </c>
      <c r="E501" t="s">
        <v>1952</v>
      </c>
      <c r="F501" t="s">
        <v>1953</v>
      </c>
      <c r="G501" t="s">
        <v>732</v>
      </c>
      <c r="H501" t="s">
        <v>730</v>
      </c>
      <c r="I501" s="48">
        <v>46161.589962777784</v>
      </c>
    </row>
    <row r="502" spans="1:9" x14ac:dyDescent="0.25">
      <c r="A502" t="s">
        <v>1835</v>
      </c>
      <c r="D502" t="s">
        <v>1836</v>
      </c>
      <c r="E502" t="s">
        <v>1952</v>
      </c>
      <c r="F502" t="s">
        <v>1953</v>
      </c>
      <c r="G502" t="s">
        <v>732</v>
      </c>
      <c r="H502" t="s">
        <v>730</v>
      </c>
      <c r="I502" s="48">
        <v>46161.589962777784</v>
      </c>
    </row>
    <row r="503" spans="1:9" x14ac:dyDescent="0.25">
      <c r="A503" t="s">
        <v>1838</v>
      </c>
      <c r="D503" t="s">
        <v>1839</v>
      </c>
      <c r="E503" t="s">
        <v>1952</v>
      </c>
      <c r="F503" t="s">
        <v>1953</v>
      </c>
      <c r="G503" t="s">
        <v>732</v>
      </c>
      <c r="H503" t="s">
        <v>730</v>
      </c>
      <c r="I503" s="48">
        <v>46161.589962777784</v>
      </c>
    </row>
    <row r="504" spans="1:9" x14ac:dyDescent="0.25">
      <c r="A504" t="s">
        <v>1841</v>
      </c>
      <c r="D504" t="s">
        <v>1842</v>
      </c>
      <c r="E504" t="s">
        <v>1952</v>
      </c>
      <c r="F504" t="s">
        <v>1953</v>
      </c>
      <c r="G504" t="s">
        <v>732</v>
      </c>
      <c r="H504" t="s">
        <v>730</v>
      </c>
      <c r="I504" s="48">
        <v>46161.589962777784</v>
      </c>
    </row>
    <row r="505" spans="1:9" x14ac:dyDescent="0.25">
      <c r="A505" t="s">
        <v>1844</v>
      </c>
      <c r="D505" t="s">
        <v>1845</v>
      </c>
      <c r="E505" t="s">
        <v>1952</v>
      </c>
      <c r="F505" t="s">
        <v>1953</v>
      </c>
      <c r="G505" t="s">
        <v>732</v>
      </c>
      <c r="H505" t="s">
        <v>730</v>
      </c>
      <c r="I505" s="48">
        <v>46161.589962777784</v>
      </c>
    </row>
    <row r="506" spans="1:9" x14ac:dyDescent="0.25">
      <c r="A506" t="s">
        <v>1847</v>
      </c>
      <c r="B506" t="s">
        <v>1848</v>
      </c>
      <c r="C506" t="s">
        <v>1848</v>
      </c>
      <c r="D506" t="s">
        <v>1849</v>
      </c>
      <c r="E506" t="s">
        <v>1952</v>
      </c>
      <c r="F506" t="s">
        <v>1953</v>
      </c>
      <c r="G506" t="s">
        <v>732</v>
      </c>
      <c r="H506" t="s">
        <v>730</v>
      </c>
      <c r="I506" s="48">
        <v>46161.589962777784</v>
      </c>
    </row>
    <row r="507" spans="1:9" x14ac:dyDescent="0.25">
      <c r="A507" t="s">
        <v>1851</v>
      </c>
      <c r="D507" t="s">
        <v>1852</v>
      </c>
      <c r="E507" t="s">
        <v>1952</v>
      </c>
      <c r="F507" t="s">
        <v>1953</v>
      </c>
      <c r="G507" t="s">
        <v>732</v>
      </c>
      <c r="H507" t="s">
        <v>730</v>
      </c>
      <c r="I507" s="48">
        <v>46161.589962777784</v>
      </c>
    </row>
    <row r="508" spans="1:9" x14ac:dyDescent="0.25">
      <c r="A508" t="s">
        <v>1854</v>
      </c>
      <c r="D508" t="s">
        <v>1855</v>
      </c>
      <c r="E508" t="s">
        <v>1952</v>
      </c>
      <c r="F508" t="s">
        <v>1953</v>
      </c>
      <c r="G508" t="s">
        <v>732</v>
      </c>
      <c r="H508" t="s">
        <v>730</v>
      </c>
      <c r="I508" s="48">
        <v>46161.589962777784</v>
      </c>
    </row>
    <row r="509" spans="1:9" x14ac:dyDescent="0.25">
      <c r="A509" t="s">
        <v>1857</v>
      </c>
      <c r="D509" t="s">
        <v>1858</v>
      </c>
      <c r="E509" t="s">
        <v>1952</v>
      </c>
      <c r="F509" t="s">
        <v>1953</v>
      </c>
      <c r="G509" t="s">
        <v>732</v>
      </c>
      <c r="H509" t="s">
        <v>730</v>
      </c>
      <c r="I509" s="48">
        <v>46161.589962777784</v>
      </c>
    </row>
    <row r="510" spans="1:9" x14ac:dyDescent="0.25">
      <c r="A510" t="s">
        <v>1860</v>
      </c>
      <c r="D510" t="s">
        <v>1861</v>
      </c>
      <c r="E510" t="s">
        <v>1952</v>
      </c>
      <c r="F510" t="s">
        <v>1953</v>
      </c>
      <c r="G510" t="s">
        <v>732</v>
      </c>
      <c r="H510" t="s">
        <v>730</v>
      </c>
      <c r="I510" s="48">
        <v>46161.589962777784</v>
      </c>
    </row>
    <row r="511" spans="1:9" x14ac:dyDescent="0.25">
      <c r="A511" t="s">
        <v>1863</v>
      </c>
      <c r="D511" t="s">
        <v>1864</v>
      </c>
      <c r="E511" t="s">
        <v>1952</v>
      </c>
      <c r="F511" t="s">
        <v>1953</v>
      </c>
      <c r="G511" t="s">
        <v>732</v>
      </c>
      <c r="H511" t="s">
        <v>730</v>
      </c>
      <c r="I511" s="48">
        <v>46161.589962777784</v>
      </c>
    </row>
    <row r="512" spans="1:9" x14ac:dyDescent="0.25">
      <c r="A512" t="s">
        <v>1866</v>
      </c>
      <c r="D512" t="s">
        <v>1867</v>
      </c>
      <c r="E512" t="s">
        <v>1952</v>
      </c>
      <c r="F512" t="s">
        <v>1953</v>
      </c>
      <c r="G512" t="s">
        <v>732</v>
      </c>
      <c r="H512" t="s">
        <v>730</v>
      </c>
      <c r="I512" s="48">
        <v>46161.589962777784</v>
      </c>
    </row>
    <row r="513" spans="1:9" x14ac:dyDescent="0.25">
      <c r="A513" t="s">
        <v>1869</v>
      </c>
      <c r="D513" t="s">
        <v>1870</v>
      </c>
      <c r="E513" t="s">
        <v>1952</v>
      </c>
      <c r="F513" t="s">
        <v>1953</v>
      </c>
      <c r="G513" t="s">
        <v>732</v>
      </c>
      <c r="H513" t="s">
        <v>730</v>
      </c>
      <c r="I513" s="48">
        <v>46161.589962777784</v>
      </c>
    </row>
    <row r="514" spans="1:9" x14ac:dyDescent="0.25">
      <c r="A514" t="s">
        <v>1872</v>
      </c>
      <c r="D514" t="s">
        <v>1873</v>
      </c>
      <c r="E514" t="s">
        <v>1952</v>
      </c>
      <c r="F514" t="s">
        <v>1953</v>
      </c>
      <c r="G514" t="s">
        <v>732</v>
      </c>
      <c r="H514" t="s">
        <v>730</v>
      </c>
      <c r="I514" s="48">
        <v>46161.589962777784</v>
      </c>
    </row>
    <row r="515" spans="1:9" x14ac:dyDescent="0.25">
      <c r="A515" t="s">
        <v>1875</v>
      </c>
      <c r="D515" t="s">
        <v>1876</v>
      </c>
      <c r="E515" t="s">
        <v>1952</v>
      </c>
      <c r="F515" t="s">
        <v>1953</v>
      </c>
      <c r="G515" t="s">
        <v>732</v>
      </c>
      <c r="H515" t="s">
        <v>730</v>
      </c>
      <c r="I515" s="48">
        <v>46161.589962777784</v>
      </c>
    </row>
    <row r="516" spans="1:9" x14ac:dyDescent="0.25">
      <c r="A516" t="s">
        <v>1878</v>
      </c>
      <c r="D516" t="s">
        <v>1879</v>
      </c>
      <c r="E516" t="s">
        <v>1952</v>
      </c>
      <c r="F516" t="s">
        <v>1953</v>
      </c>
      <c r="G516" t="s">
        <v>732</v>
      </c>
      <c r="H516" t="s">
        <v>730</v>
      </c>
      <c r="I516" s="48">
        <v>46161.589962777784</v>
      </c>
    </row>
    <row r="517" spans="1:9" x14ac:dyDescent="0.25">
      <c r="A517" t="s">
        <v>1881</v>
      </c>
      <c r="D517" t="s">
        <v>1882</v>
      </c>
      <c r="E517" t="s">
        <v>1952</v>
      </c>
      <c r="F517" t="s">
        <v>1953</v>
      </c>
      <c r="G517" t="s">
        <v>732</v>
      </c>
      <c r="H517" t="s">
        <v>730</v>
      </c>
      <c r="I517" s="48">
        <v>46161.589962777784</v>
      </c>
    </row>
    <row r="518" spans="1:9" x14ac:dyDescent="0.25">
      <c r="A518" t="s">
        <v>1884</v>
      </c>
      <c r="D518" t="s">
        <v>1885</v>
      </c>
      <c r="E518" t="s">
        <v>1952</v>
      </c>
      <c r="F518" t="s">
        <v>1953</v>
      </c>
      <c r="G518" t="s">
        <v>732</v>
      </c>
      <c r="H518" t="s">
        <v>730</v>
      </c>
      <c r="I518" s="48">
        <v>46161.589962777784</v>
      </c>
    </row>
    <row r="519" spans="1:9" x14ac:dyDescent="0.25">
      <c r="A519" t="s">
        <v>1887</v>
      </c>
      <c r="D519" t="s">
        <v>1888</v>
      </c>
      <c r="E519" t="s">
        <v>1952</v>
      </c>
      <c r="F519" t="s">
        <v>1953</v>
      </c>
      <c r="G519" t="s">
        <v>732</v>
      </c>
      <c r="H519" t="s">
        <v>730</v>
      </c>
      <c r="I519" s="48">
        <v>46161.589962777784</v>
      </c>
    </row>
    <row r="520" spans="1:9" x14ac:dyDescent="0.25">
      <c r="A520" t="s">
        <v>1890</v>
      </c>
      <c r="D520" t="s">
        <v>1891</v>
      </c>
      <c r="E520" t="s">
        <v>1952</v>
      </c>
      <c r="F520" t="s">
        <v>1953</v>
      </c>
      <c r="G520" t="s">
        <v>732</v>
      </c>
      <c r="H520" t="s">
        <v>730</v>
      </c>
      <c r="I520" s="48">
        <v>46161.589962777784</v>
      </c>
    </row>
    <row r="521" spans="1:9" x14ac:dyDescent="0.25">
      <c r="A521" t="s">
        <v>1893</v>
      </c>
      <c r="D521" t="s">
        <v>1894</v>
      </c>
      <c r="E521" t="s">
        <v>1952</v>
      </c>
      <c r="F521" t="s">
        <v>1953</v>
      </c>
      <c r="G521" t="s">
        <v>732</v>
      </c>
      <c r="H521" t="s">
        <v>730</v>
      </c>
      <c r="I521" s="48">
        <v>46161.589962777784</v>
      </c>
    </row>
    <row r="522" spans="1:9" x14ac:dyDescent="0.25">
      <c r="A522" t="s">
        <v>1896</v>
      </c>
      <c r="D522" t="s">
        <v>1897</v>
      </c>
      <c r="E522" t="s">
        <v>1952</v>
      </c>
      <c r="F522" t="s">
        <v>1953</v>
      </c>
      <c r="G522" t="s">
        <v>732</v>
      </c>
      <c r="H522" t="s">
        <v>730</v>
      </c>
      <c r="I522" s="48">
        <v>46161.589962777784</v>
      </c>
    </row>
    <row r="523" spans="1:9" x14ac:dyDescent="0.25">
      <c r="A523" t="s">
        <v>1899</v>
      </c>
      <c r="D523" t="s">
        <v>1900</v>
      </c>
      <c r="E523" t="s">
        <v>1952</v>
      </c>
      <c r="F523" t="s">
        <v>1953</v>
      </c>
      <c r="G523" t="s">
        <v>732</v>
      </c>
      <c r="H523" t="s">
        <v>730</v>
      </c>
      <c r="I523" s="48">
        <v>46161.589962777784</v>
      </c>
    </row>
    <row r="524" spans="1:9" x14ac:dyDescent="0.25">
      <c r="A524" t="s">
        <v>1902</v>
      </c>
      <c r="D524" t="s">
        <v>1903</v>
      </c>
      <c r="E524" t="s">
        <v>1952</v>
      </c>
      <c r="F524" t="s">
        <v>1953</v>
      </c>
      <c r="G524" t="s">
        <v>732</v>
      </c>
      <c r="H524" t="s">
        <v>730</v>
      </c>
      <c r="I524" s="48">
        <v>46161.589962777784</v>
      </c>
    </row>
    <row r="525" spans="1:9" x14ac:dyDescent="0.25">
      <c r="A525" t="s">
        <v>1905</v>
      </c>
      <c r="D525" t="s">
        <v>1906</v>
      </c>
      <c r="E525" t="s">
        <v>1952</v>
      </c>
      <c r="F525" t="s">
        <v>1953</v>
      </c>
      <c r="G525" t="s">
        <v>732</v>
      </c>
      <c r="H525" t="s">
        <v>730</v>
      </c>
      <c r="I525" s="48">
        <v>46161.589962777784</v>
      </c>
    </row>
  </sheetData>
  <autoFilter ref="A1:J3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Work Queue</vt:lpstr>
      <vt:lpstr>WhatsApp Tracker</vt:lpstr>
      <vt:lpstr>Campaign Setup</vt:lpstr>
      <vt:lpstr>Source CRM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Kinnor Majumder</cp:lastModifiedBy>
  <dcterms:created xsi:type="dcterms:W3CDTF">2026-05-19T06:48:12Z</dcterms:created>
  <dcterms:modified xsi:type="dcterms:W3CDTF">2026-05-19T10:06:45Z</dcterms:modified>
</cp:coreProperties>
</file>